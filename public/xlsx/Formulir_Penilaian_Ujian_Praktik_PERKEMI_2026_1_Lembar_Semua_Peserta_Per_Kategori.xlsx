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UJITSU\Downloads\"/>
    </mc:Choice>
  </mc:AlternateContent>
  <xr:revisionPtr revIDLastSave="0" documentId="13_ncr:1_{FDA66FC4-60F4-4749-8576-F22B56FCF154}" xr6:coauthVersionLast="47" xr6:coauthVersionMax="47" xr10:uidLastSave="{00000000-0000-0000-0000-000000000000}"/>
  <bookViews>
    <workbookView xWindow="-120" yWindow="-120" windowWidth="20730" windowHeight="11400" firstSheet="1" activeTab="1" xr2:uid="{00000000-000D-0000-FFFF-FFFF00000000}"/>
  </bookViews>
  <sheets>
    <sheet name="Pelatih Daerah" sheetId="1" r:id="rId1"/>
    <sheet name="Pelatih Nasional" sheetId="2" r:id="rId2"/>
    <sheet name="Penguji Daerah" sheetId="3" r:id="rId3"/>
    <sheet name="Penguji Nasional" sheetId="4" r:id="rId4"/>
    <sheet name="Wasit Daerah" sheetId="5" r:id="rId5"/>
    <sheet name="Wasit Nasional" sheetId="6" r:id="rId6"/>
  </sheets>
  <calcPr calcId="191029"/>
</workbook>
</file>

<file path=xl/calcChain.xml><?xml version="1.0" encoding="utf-8"?>
<calcChain xmlns="http://schemas.openxmlformats.org/spreadsheetml/2006/main">
  <c r="N12" i="6" l="1"/>
  <c r="M12" i="6"/>
  <c r="O12" i="6" s="1"/>
  <c r="M11" i="6"/>
  <c r="O11" i="6" s="1"/>
  <c r="M10" i="6"/>
  <c r="O10" i="6" s="1"/>
  <c r="O9" i="6"/>
  <c r="N9" i="6"/>
  <c r="M9" i="6"/>
  <c r="M8" i="6"/>
  <c r="O8" i="6" s="1"/>
  <c r="M7" i="6"/>
  <c r="N7" i="6" s="1"/>
  <c r="O16" i="5"/>
  <c r="N16" i="5"/>
  <c r="M16" i="5"/>
  <c r="O15" i="5"/>
  <c r="N15" i="5"/>
  <c r="M15" i="5"/>
  <c r="M14" i="5"/>
  <c r="O14" i="5" s="1"/>
  <c r="O13" i="5"/>
  <c r="M13" i="5"/>
  <c r="N13" i="5" s="1"/>
  <c r="O12" i="5"/>
  <c r="M12" i="5"/>
  <c r="N12" i="5" s="1"/>
  <c r="M11" i="5"/>
  <c r="N11" i="5" s="1"/>
  <c r="M10" i="5"/>
  <c r="O10" i="5" s="1"/>
  <c r="M9" i="5"/>
  <c r="N9" i="5" s="1"/>
  <c r="O8" i="5"/>
  <c r="N8" i="5"/>
  <c r="M8" i="5"/>
  <c r="O7" i="5"/>
  <c r="N7" i="5"/>
  <c r="M7" i="5"/>
  <c r="M14" i="4"/>
  <c r="O14" i="4" s="1"/>
  <c r="O13" i="4"/>
  <c r="M13" i="4"/>
  <c r="N13" i="4" s="1"/>
  <c r="O12" i="4"/>
  <c r="M12" i="4"/>
  <c r="N12" i="4" s="1"/>
  <c r="M11" i="4"/>
  <c r="N11" i="4" s="1"/>
  <c r="M10" i="4"/>
  <c r="O10" i="4" s="1"/>
  <c r="M9" i="4"/>
  <c r="N9" i="4" s="1"/>
  <c r="O8" i="4"/>
  <c r="N8" i="4"/>
  <c r="M8" i="4"/>
  <c r="O7" i="4"/>
  <c r="N7" i="4"/>
  <c r="M7" i="4"/>
  <c r="M34" i="3"/>
  <c r="O34" i="3" s="1"/>
  <c r="O33" i="3"/>
  <c r="M33" i="3"/>
  <c r="N33" i="3" s="1"/>
  <c r="O32" i="3"/>
  <c r="M32" i="3"/>
  <c r="N32" i="3" s="1"/>
  <c r="M31" i="3"/>
  <c r="O31" i="3" s="1"/>
  <c r="M30" i="3"/>
  <c r="O30" i="3" s="1"/>
  <c r="M29" i="3"/>
  <c r="N29" i="3" s="1"/>
  <c r="O28" i="3"/>
  <c r="N28" i="3"/>
  <c r="M28" i="3"/>
  <c r="O27" i="3"/>
  <c r="N27" i="3"/>
  <c r="M27" i="3"/>
  <c r="M26" i="3"/>
  <c r="O26" i="3" s="1"/>
  <c r="O25" i="3"/>
  <c r="M25" i="3"/>
  <c r="N25" i="3" s="1"/>
  <c r="O24" i="3"/>
  <c r="M24" i="3"/>
  <c r="N24" i="3" s="1"/>
  <c r="M23" i="3"/>
  <c r="O23" i="3" s="1"/>
  <c r="M22" i="3"/>
  <c r="O22" i="3" s="1"/>
  <c r="M21" i="3"/>
  <c r="N21" i="3" s="1"/>
  <c r="O20" i="3"/>
  <c r="N20" i="3"/>
  <c r="M20" i="3"/>
  <c r="O19" i="3"/>
  <c r="N19" i="3"/>
  <c r="M19" i="3"/>
  <c r="M18" i="3"/>
  <c r="O18" i="3" s="1"/>
  <c r="O17" i="3"/>
  <c r="M17" i="3"/>
  <c r="N17" i="3" s="1"/>
  <c r="O16" i="3"/>
  <c r="M16" i="3"/>
  <c r="N16" i="3" s="1"/>
  <c r="M15" i="3"/>
  <c r="O15" i="3" s="1"/>
  <c r="M14" i="3"/>
  <c r="O14" i="3" s="1"/>
  <c r="M13" i="3"/>
  <c r="N13" i="3" s="1"/>
  <c r="O12" i="3"/>
  <c r="N12" i="3"/>
  <c r="M12" i="3"/>
  <c r="O11" i="3"/>
  <c r="N11" i="3"/>
  <c r="M11" i="3"/>
  <c r="M10" i="3"/>
  <c r="O10" i="3" s="1"/>
  <c r="O9" i="3"/>
  <c r="M9" i="3"/>
  <c r="N9" i="3" s="1"/>
  <c r="O8" i="3"/>
  <c r="M8" i="3"/>
  <c r="N8" i="3" s="1"/>
  <c r="M7" i="3"/>
  <c r="N7" i="3" s="1"/>
  <c r="N18" i="2"/>
  <c r="P18" i="2" s="1"/>
  <c r="N17" i="2"/>
  <c r="O17" i="2" s="1"/>
  <c r="P16" i="2"/>
  <c r="O16" i="2"/>
  <c r="N16" i="2"/>
  <c r="P15" i="2"/>
  <c r="O15" i="2"/>
  <c r="N15" i="2"/>
  <c r="N14" i="2"/>
  <c r="P14" i="2" s="1"/>
  <c r="P13" i="2"/>
  <c r="N13" i="2"/>
  <c r="O13" i="2" s="1"/>
  <c r="P12" i="2"/>
  <c r="O12" i="2"/>
  <c r="N12" i="2"/>
  <c r="N11" i="2"/>
  <c r="P11" i="2" s="1"/>
  <c r="N10" i="2"/>
  <c r="P10" i="2" s="1"/>
  <c r="N9" i="2"/>
  <c r="O9" i="2" s="1"/>
  <c r="P8" i="2"/>
  <c r="O8" i="2"/>
  <c r="N8" i="2"/>
  <c r="N7" i="2"/>
  <c r="P7" i="2" s="1"/>
  <c r="N29" i="1"/>
  <c r="P29" i="1" s="1"/>
  <c r="P28" i="1"/>
  <c r="N28" i="1"/>
  <c r="O28" i="1" s="1"/>
  <c r="P27" i="1"/>
  <c r="O27" i="1"/>
  <c r="N27" i="1"/>
  <c r="N26" i="1"/>
  <c r="P26" i="1" s="1"/>
  <c r="N25" i="1"/>
  <c r="P25" i="1" s="1"/>
  <c r="N24" i="1"/>
  <c r="O24" i="1" s="1"/>
  <c r="P23" i="1"/>
  <c r="O23" i="1"/>
  <c r="N23" i="1"/>
  <c r="N22" i="1"/>
  <c r="P22" i="1" s="1"/>
  <c r="N21" i="1"/>
  <c r="P21" i="1" s="1"/>
  <c r="P20" i="1"/>
  <c r="N20" i="1"/>
  <c r="O20" i="1" s="1"/>
  <c r="P19" i="1"/>
  <c r="O19" i="1"/>
  <c r="N19" i="1"/>
  <c r="N18" i="1"/>
  <c r="P18" i="1" s="1"/>
  <c r="N17" i="1"/>
  <c r="P17" i="1" s="1"/>
  <c r="N16" i="1"/>
  <c r="O16" i="1" s="1"/>
  <c r="P15" i="1"/>
  <c r="O15" i="1"/>
  <c r="N15" i="1"/>
  <c r="N14" i="1"/>
  <c r="P14" i="1" s="1"/>
  <c r="N13" i="1"/>
  <c r="P13" i="1" s="1"/>
  <c r="P12" i="1"/>
  <c r="N12" i="1"/>
  <c r="O12" i="1" s="1"/>
  <c r="P11" i="1"/>
  <c r="O11" i="1"/>
  <c r="N11" i="1"/>
  <c r="N10" i="1"/>
  <c r="O10" i="1" s="1"/>
  <c r="N9" i="1"/>
  <c r="P9" i="1" s="1"/>
  <c r="N8" i="1"/>
  <c r="O8" i="1" s="1"/>
  <c r="P7" i="1"/>
  <c r="O7" i="1"/>
  <c r="N7" i="1"/>
  <c r="P17" i="2" l="1"/>
  <c r="O13" i="3"/>
  <c r="O21" i="3"/>
  <c r="O29" i="3"/>
  <c r="O9" i="4"/>
  <c r="O9" i="5"/>
  <c r="O7" i="6"/>
  <c r="N10" i="6"/>
  <c r="O26" i="1"/>
  <c r="N15" i="3"/>
  <c r="N23" i="3"/>
  <c r="N31" i="3"/>
  <c r="O21" i="1"/>
  <c r="O7" i="3"/>
  <c r="N10" i="3"/>
  <c r="N18" i="3"/>
  <c r="O11" i="4"/>
  <c r="N14" i="4"/>
  <c r="O11" i="5"/>
  <c r="N14" i="5"/>
  <c r="P9" i="2"/>
  <c r="O7" i="2"/>
  <c r="O18" i="1"/>
  <c r="O11" i="2"/>
  <c r="P10" i="1"/>
  <c r="O13" i="1"/>
  <c r="O29" i="1"/>
  <c r="O14" i="2"/>
  <c r="N26" i="3"/>
  <c r="N34" i="3"/>
  <c r="P8" i="1"/>
  <c r="P16" i="1"/>
  <c r="P24" i="1"/>
  <c r="O14" i="1"/>
  <c r="O22" i="1"/>
  <c r="O9" i="1"/>
  <c r="O17" i="1"/>
  <c r="O25" i="1"/>
  <c r="O10" i="2"/>
  <c r="O18" i="2"/>
  <c r="N14" i="3"/>
  <c r="N22" i="3"/>
  <c r="N30" i="3"/>
  <c r="N10" i="4"/>
  <c r="N8" i="6"/>
  <c r="N10" i="5"/>
  <c r="N11" i="6"/>
</calcChain>
</file>

<file path=xl/sharedStrings.xml><?xml version="1.0" encoding="utf-8"?>
<sst xmlns="http://schemas.openxmlformats.org/spreadsheetml/2006/main" count="520" uniqueCount="288">
  <si>
    <t>FORMULIR PENILAIAN UJIAN PRAKTIK – PELATIH DAERAH</t>
  </si>
  <si>
    <t>Satu Lembar Isian Seluruh Peserta • Penataran PERKEMI 2026 • UTC Trawas • 24–27 September 2026</t>
  </si>
  <si>
    <t>No</t>
  </si>
  <si>
    <t>NIK</t>
  </si>
  <si>
    <t>Nama Peserta</t>
  </si>
  <si>
    <t>Tingkat</t>
  </si>
  <si>
    <t>L/P</t>
  </si>
  <si>
    <t>PD-01</t>
  </si>
  <si>
    <t>PD-02</t>
  </si>
  <si>
    <t>PD-03</t>
  </si>
  <si>
    <t>PD-04</t>
  </si>
  <si>
    <t>PD-05</t>
  </si>
  <si>
    <t>PD-06</t>
  </si>
  <si>
    <t>PD-07</t>
  </si>
  <si>
    <t>PD-08</t>
  </si>
  <si>
    <t>Nilai Akhir</t>
  </si>
  <si>
    <t>Predikat</t>
  </si>
  <si>
    <t>Status</t>
  </si>
  <si>
    <t>Catatan</t>
  </si>
  <si>
    <t>Persiapan sesi: tujuan latihan, materi, urutan, alokasi waktu dan kesiapan sarana</t>
  </si>
  <si>
    <t>Demonstrasi kihon/hokei: ketepatan bentuk, kamae, taisabaki, umpoho dan ritme</t>
  </si>
  <si>
    <t>Penjelasan prinsip teknik Goho–Juho secara benar dan mudah dipahami</t>
  </si>
  <si>
    <t>Metodologi mengajar: progresi, koreksi, drill dan pengelolaan kelompok</t>
  </si>
  <si>
    <t>Keselamatan latihan: pemanasan, kontrol pasangan, jarak, intensitas, ukemi dan pencegahan cedera</t>
  </si>
  <si>
    <t>Observasi dan koreksi kesalahan teknik peserta</t>
  </si>
  <si>
    <t>Etika, disiplin, reiho, keteladanan dan komunikasi instruksional</t>
  </si>
  <si>
    <t>Evaluasi sesi dan pemberian umpan balik</t>
  </si>
  <si>
    <t>100</t>
  </si>
  <si>
    <t>12.1.25.01.01.012</t>
  </si>
  <si>
    <t>Riswan Tomagola</t>
  </si>
  <si>
    <t>3 DAN</t>
  </si>
  <si>
    <t>L</t>
  </si>
  <si>
    <t>90.1.13.11.01.001</t>
  </si>
  <si>
    <t>Mujib Ridhwan</t>
  </si>
  <si>
    <t>98.3.13.01.09.015</t>
  </si>
  <si>
    <t>Muhamad Ali Yunus</t>
  </si>
  <si>
    <t>07.3.13.09.01.003</t>
  </si>
  <si>
    <t>Dear Satriya Dzikrika</t>
  </si>
  <si>
    <t>2 DAN</t>
  </si>
  <si>
    <t>10.2.13.09.03.002</t>
  </si>
  <si>
    <t>Asat Musthofa</t>
  </si>
  <si>
    <t>14.1.13.16.01.013</t>
  </si>
  <si>
    <t>Nur Imama</t>
  </si>
  <si>
    <t>P</t>
  </si>
  <si>
    <t>98.2.13.09.01.008</t>
  </si>
  <si>
    <t>Roy Wahyudi</t>
  </si>
  <si>
    <t>06.1.13.09.15.001</t>
  </si>
  <si>
    <t>Cecep Sunariya</t>
  </si>
  <si>
    <t>1 DAN</t>
  </si>
  <si>
    <t>06.1.13.09.15.002</t>
  </si>
  <si>
    <t>M. Febriantoro</t>
  </si>
  <si>
    <t>06.2.13.12.01.002</t>
  </si>
  <si>
    <t>Aprilia Hana Pratiwi</t>
  </si>
  <si>
    <t>07.1.13.06.01.002</t>
  </si>
  <si>
    <t>Afrizal Hardiansyah</t>
  </si>
  <si>
    <t>16.1.13.01.20.002</t>
  </si>
  <si>
    <t>Deka Ghaniy Pratama</t>
  </si>
  <si>
    <t>16.1.13.09.05.001</t>
  </si>
  <si>
    <t>Abdulloh Faqih Khoiroini</t>
  </si>
  <si>
    <t>85.3.13.01.06.007</t>
  </si>
  <si>
    <t>Ishak Jeffry Berliotoe</t>
  </si>
  <si>
    <t>87.1.13.01.12.001</t>
  </si>
  <si>
    <t>M. Ilham</t>
  </si>
  <si>
    <t>88.1.13.01.02.002</t>
  </si>
  <si>
    <t>Tohdjoyo Rusmono</t>
  </si>
  <si>
    <t>94.3.13.12.01.010</t>
  </si>
  <si>
    <t>Deny Lukmanto</t>
  </si>
  <si>
    <t>14.1.13.09.10.020</t>
  </si>
  <si>
    <t>Naufar Wildan Gresika</t>
  </si>
  <si>
    <t>17.2.13.02.03.001</t>
  </si>
  <si>
    <t>Achmad Charis Izdin Fahmi</t>
  </si>
  <si>
    <t>90.3.15.04.03.007</t>
  </si>
  <si>
    <t>Robby Cahyadi</t>
  </si>
  <si>
    <t>08.1.15.09.01.006</t>
  </si>
  <si>
    <t>Muhamad Rusdi, ST</t>
  </si>
  <si>
    <t>08.1.24.12.02.001</t>
  </si>
  <si>
    <t>Abdullah</t>
  </si>
  <si>
    <t>87.1.15.05.01.003</t>
  </si>
  <si>
    <t>Diansen</t>
  </si>
  <si>
    <t>Skor: 5 Sangat Baik | 4 Baik | 3 Cukup | 2 Kurang | 1 Sangat Kurang</t>
  </si>
  <si>
    <t>Penilai: ____________________   Tanda Tangan: ____________________</t>
  </si>
  <si>
    <t>FORMULIR PENILAIAN UJIAN PRAKTIK – PELATIH NASIONAL</t>
  </si>
  <si>
    <t>PN-01</t>
  </si>
  <si>
    <t>PN-02</t>
  </si>
  <si>
    <t>PN-03</t>
  </si>
  <si>
    <t>PN-04</t>
  </si>
  <si>
    <t>PN-05</t>
  </si>
  <si>
    <t>PN-06</t>
  </si>
  <si>
    <t>PN-07</t>
  </si>
  <si>
    <t>PN-08</t>
  </si>
  <si>
    <t>Perencanaan program latihan periodik berbasis tujuan, tingkat kenshi dan kebutuhan performa</t>
  </si>
  <si>
    <t>Penguasaan dan demonstrasi teknik lanjutan serta prinsip Goho–Juho/Hokei</t>
  </si>
  <si>
    <t>Analisis biomekanik/taktis kesalahan teknik dan koreksi tingkat lanjut</t>
  </si>
  <si>
    <t>Metodologi pembelajaran tingkat lanjut dan diferensiasi peserta</t>
  </si>
  <si>
    <t>Perancangan intensitas, beban, pemulihan dan keselamatan latihan</t>
  </si>
  <si>
    <t>Pembinaan pelatih/kenshi dan coaching feedback berbasis observasi</t>
  </si>
  <si>
    <t>Integrasi filosofi, etika, reiho dan tujuan pendidikan Shorinji Kempo</t>
  </si>
  <si>
    <t>Evaluasi performa dan keputusan program tindak lanjut</t>
  </si>
  <si>
    <t>90.1.01.03.01.019</t>
  </si>
  <si>
    <t>Zulfikar</t>
  </si>
  <si>
    <t>4 DAN</t>
  </si>
  <si>
    <t>03.3.22.01.04.004</t>
  </si>
  <si>
    <t>I Ketut Mulawarman</t>
  </si>
  <si>
    <t>87.3.11.01.14.038</t>
  </si>
  <si>
    <t>Joko Sampurno Wahyu Kartono</t>
  </si>
  <si>
    <t>90.3.13.11.01.001</t>
  </si>
  <si>
    <t>Luluk Cahyono, ST.</t>
  </si>
  <si>
    <t>86.2.13.03.01.001</t>
  </si>
  <si>
    <t>Esau Moses Christiaan</t>
  </si>
  <si>
    <t>89.3.13.12.01.001</t>
  </si>
  <si>
    <t>Achmad Jusuf, SH.</t>
  </si>
  <si>
    <t>87.1.13.01.12.002</t>
  </si>
  <si>
    <t>Maulana Sarip Bathik</t>
  </si>
  <si>
    <t>90.3.13.01.20.001</t>
  </si>
  <si>
    <t>Arya Setyanto Wicaksono, S.Si, M.Pd.</t>
  </si>
  <si>
    <t>70.1.13.03.01.001</t>
  </si>
  <si>
    <t>Bambang Andjar Soepeno, SH., M.Si.</t>
  </si>
  <si>
    <t>90.2.13.01.11.001</t>
  </si>
  <si>
    <t>Victor Leonard Harlim</t>
  </si>
  <si>
    <t>92.1.13.03.13.012</t>
  </si>
  <si>
    <t>Reni Octavia Gita Wardhani</t>
  </si>
  <si>
    <t>09.1.12.04.01.001</t>
  </si>
  <si>
    <t>Aan Fertalangga</t>
  </si>
  <si>
    <t>FORMULIR PENILAIAN UJIAN PRAKTIK – PENGUJI DAERAH</t>
  </si>
  <si>
    <t>PgD-01</t>
  </si>
  <si>
    <t>PgD-02</t>
  </si>
  <si>
    <t>PgD-03</t>
  </si>
  <si>
    <t>PgD-04</t>
  </si>
  <si>
    <t>PgD-05</t>
  </si>
  <si>
    <t>PgD-06</t>
  </si>
  <si>
    <t>PgD-07</t>
  </si>
  <si>
    <t>Verifikasi kesiapan ujian, identitas/tingkatan dan prosedur pelaksanaan</t>
  </si>
  <si>
    <t>Penguasaan kurikulum/teknik yang diuji sesuai tingkat kewenangan</t>
  </si>
  <si>
    <t>Ketepatan observasi kihon, hokei, Goho–Juho, ukemi dan unsur teknis terkait</t>
  </si>
  <si>
    <t>Objektivitas penggunaan kriteria dan konsistensi pemberian nilai</t>
  </si>
  <si>
    <t>Identifikasi kesalahan kritis dan justifikasi penilaian</t>
  </si>
  <si>
    <t>Ketertiban administrasi, pencatatan hasil dan ketepatan prosedur</t>
  </si>
  <si>
    <t>Etika, independensi, komunikasi dan keselamatan selama pengujian</t>
  </si>
  <si>
    <t>98.3.04.02.02.012</t>
  </si>
  <si>
    <t>Reni</t>
  </si>
  <si>
    <t>75.1.11.05.01.001</t>
  </si>
  <si>
    <t>Bambang Budi Swastomo</t>
  </si>
  <si>
    <t>98.3.13.01.03.021</t>
  </si>
  <si>
    <t>Raymond Handaya</t>
  </si>
  <si>
    <t>87.2.11.13.01.001</t>
  </si>
  <si>
    <t>Kiki Undaru</t>
  </si>
  <si>
    <t>90.1.11.01.09.008</t>
  </si>
  <si>
    <t>Teguh Yuwono</t>
  </si>
  <si>
    <t>97.3.11.02.08.001</t>
  </si>
  <si>
    <t>Anton Bruri Rahmat Hidayat</t>
  </si>
  <si>
    <t>88.3.13.12.01.005</t>
  </si>
  <si>
    <t>Hari Winarko, SH.</t>
  </si>
  <si>
    <t>98.1.13.11.01.001</t>
  </si>
  <si>
    <t>Bayu Catur Pamungkas</t>
  </si>
  <si>
    <t>95.2.13.09.11.002</t>
  </si>
  <si>
    <t>Ariyanto Subandi</t>
  </si>
  <si>
    <t>78.1.13.99.99.007</t>
  </si>
  <si>
    <t>Drs. Gerald Mokoginta</t>
  </si>
  <si>
    <t>84.1.13.01.08.004</t>
  </si>
  <si>
    <t>Ambar Djoko Santoso, SH.</t>
  </si>
  <si>
    <t>07.1.13.01.24.012</t>
  </si>
  <si>
    <t>Pangesti Nurmadiah</t>
  </si>
  <si>
    <t>11.3.13.03.15.011</t>
  </si>
  <si>
    <t>Rizka Adhi Prabawa</t>
  </si>
  <si>
    <t>92.1.13.03.13.004</t>
  </si>
  <si>
    <t>Bagus Warsito Adi</t>
  </si>
  <si>
    <t>09.3.13.01.19.001</t>
  </si>
  <si>
    <t>Aisyah Amini</t>
  </si>
  <si>
    <t>73.2.13.01.15.002</t>
  </si>
  <si>
    <t>Ir. Hendra Oentoro</t>
  </si>
  <si>
    <t>94.3.13.06.01.016</t>
  </si>
  <si>
    <t>Andik Subakti</t>
  </si>
  <si>
    <t>87.2.13.03.05.001</t>
  </si>
  <si>
    <t>Vita Dwi Cahyaningrum</t>
  </si>
  <si>
    <t>93.1.13.01.19.012</t>
  </si>
  <si>
    <t>Muhamad Saifudin</t>
  </si>
  <si>
    <t>71.1.13.01.09.001</t>
  </si>
  <si>
    <t>Rm. Bambang Gondo Saputro</t>
  </si>
  <si>
    <t>90.3.15.01.01.002</t>
  </si>
  <si>
    <t>Harvardian Chaniago</t>
  </si>
  <si>
    <t>98.2.15.06.01.001</t>
  </si>
  <si>
    <t>Yuli Rusdiansyah, S.Sos.</t>
  </si>
  <si>
    <t>88.2.19.01.05.001</t>
  </si>
  <si>
    <t>Abdul Harris</t>
  </si>
  <si>
    <t>08.2.25.01.07.007</t>
  </si>
  <si>
    <t>Maichel Jonich Lawalata</t>
  </si>
  <si>
    <t>90.1.12.03.02.014</t>
  </si>
  <si>
    <t>Mars Anson Wijaya</t>
  </si>
  <si>
    <t>95.3.24.01.01.062</t>
  </si>
  <si>
    <t>Bernadinus Suwardi, S.A.P.</t>
  </si>
  <si>
    <t>11.2.19.01.19.004</t>
  </si>
  <si>
    <t>Aisyah</t>
  </si>
  <si>
    <t>94.2.12.02.03.015</t>
  </si>
  <si>
    <t>Lilik Apriyanto</t>
  </si>
  <si>
    <t>FORMULIR PENILAIAN UJIAN PRAKTIK – PENGUJI NASIONAL</t>
  </si>
  <si>
    <t>PgN-01</t>
  </si>
  <si>
    <t>PgN-02</t>
  </si>
  <si>
    <t>PgN-03</t>
  </si>
  <si>
    <t>PgN-04</t>
  </si>
  <si>
    <t>PgN-05</t>
  </si>
  <si>
    <t>PgN-06</t>
  </si>
  <si>
    <t>PgN-07</t>
  </si>
  <si>
    <t>Penguasaan sistem kualifikasi, kewenangan, prosedur dan tata kelola ujian</t>
  </si>
  <si>
    <t>Penguasaan kurikulum teknik tingkat lanjut sesuai lingkup pengujian</t>
  </si>
  <si>
    <t>Ketajaman observasi dan analisis kualitas teknik/kesalahan fundamental</t>
  </si>
  <si>
    <t>Standardisasi, objektivitas dan konsistensi antar-penguji</t>
  </si>
  <si>
    <t>Memimpin panel, moderasi perbedaan penilaian dan justifikasi</t>
  </si>
  <si>
    <t>Administrasi, validasi hasil, dokumentasi dan akuntabilitas keputusan</t>
  </si>
  <si>
    <t>Integritas, independensi, etika, reiho dan keselamatan</t>
  </si>
  <si>
    <t>84.3.01.01.01.001</t>
  </si>
  <si>
    <t>Egi Saputra</t>
  </si>
  <si>
    <t>06.1.09.05.01.012</t>
  </si>
  <si>
    <t>Suceng Wahyudi</t>
  </si>
  <si>
    <t>90.1.11.05.04.002</t>
  </si>
  <si>
    <t>Guntur Setiyawan</t>
  </si>
  <si>
    <t>74.1.06.01.01.001</t>
  </si>
  <si>
    <t>Dr. Ilyan Amir, Sp.b.</t>
  </si>
  <si>
    <t>80.3.13.01.04.001</t>
  </si>
  <si>
    <t>dr. Ahmad Nuri, Sp.A.</t>
  </si>
  <si>
    <t>5 DAN</t>
  </si>
  <si>
    <t>94.3.19.09.01.042</t>
  </si>
  <si>
    <t>Drs. Ansyar Muenang</t>
  </si>
  <si>
    <t>04.3.19.01.19.001</t>
  </si>
  <si>
    <t>Ade Irma</t>
  </si>
  <si>
    <t>93.1.19.01.05.003</t>
  </si>
  <si>
    <t>Dr. Eng. Mustamin Rahim, MT</t>
  </si>
  <si>
    <t>FORMULIR PENILAIAN UJIAN PRAKTIK – WASIT DAERAH</t>
  </si>
  <si>
    <t>WD-01</t>
  </si>
  <si>
    <t>WD-02</t>
  </si>
  <si>
    <t>WD-03</t>
  </si>
  <si>
    <t>WD-04</t>
  </si>
  <si>
    <t>WD-05</t>
  </si>
  <si>
    <t>WD-06</t>
  </si>
  <si>
    <t>WD-07</t>
  </si>
  <si>
    <t>Persiapan pertandingan/arena, pemeriksaan keselamatan dan kesiapan perangkat</t>
  </si>
  <si>
    <t>Penguasaan aturan dan prosedur pertandingan/penilaian yang berlaku</t>
  </si>
  <si>
    <t>Posisi, pergerakan, fokus visual dan penguasaan area</t>
  </si>
  <si>
    <t>Ketepatan pengamatan kejadian/teknik dan pengambilan keputusan</t>
  </si>
  <si>
    <t>Kecepatan, ketegasan dan konsistensi sinyal/komunikasi keputusan</t>
  </si>
  <si>
    <t>Objektivitas, netralitas dan pengendalian situasi</t>
  </si>
  <si>
    <t>Administrasi hasil, koordinasi perangkat dan evaluasi pascapertandingan</t>
  </si>
  <si>
    <t>86.1.11.02.08.001</t>
  </si>
  <si>
    <t>Teresia Elliyana</t>
  </si>
  <si>
    <t>93.3.11.16.05.001</t>
  </si>
  <si>
    <t>Amin Saefulloh</t>
  </si>
  <si>
    <t>88.2.11.16.01.001</t>
  </si>
  <si>
    <t>Bakhtiar Nur Cahyadi</t>
  </si>
  <si>
    <t>89.2.11.01.04.005</t>
  </si>
  <si>
    <t>Ika Jati Kriswanto, S.pd.</t>
  </si>
  <si>
    <t>94.3.13.03.06.015</t>
  </si>
  <si>
    <t>Sariman Simbolon</t>
  </si>
  <si>
    <t>77.1.02.03.01.003</t>
  </si>
  <si>
    <t>Ilwan Wijaya</t>
  </si>
  <si>
    <t>07.1.13.10.04.010</t>
  </si>
  <si>
    <t>Rizqi Febrian Pramudita</t>
  </si>
  <si>
    <t>05.1.15.09.01.005</t>
  </si>
  <si>
    <t>Dahlan Supu</t>
  </si>
  <si>
    <t>92.3.15.02.06.014</t>
  </si>
  <si>
    <t>Fransiskus Hamijoyo, S.Pd.</t>
  </si>
  <si>
    <t>08.3.25.01.01.009</t>
  </si>
  <si>
    <t>Rivaldo Marakey</t>
  </si>
  <si>
    <t>FORMULIR PENILAIAN UJIAN PRAKTIK – WASIT NASIONAL</t>
  </si>
  <si>
    <t>WN-01</t>
  </si>
  <si>
    <t>WN-02</t>
  </si>
  <si>
    <t>WN-03</t>
  </si>
  <si>
    <t>WN-04</t>
  </si>
  <si>
    <t>WN-05</t>
  </si>
  <si>
    <t>WN-06</t>
  </si>
  <si>
    <t>WN-07</t>
  </si>
  <si>
    <t>Penguasaan mendalam regulasi, interpretasi kasus dan prosedur pertandingan</t>
  </si>
  <si>
    <t>Antisipasi, positioning dan kontrol area pada situasi kompleks</t>
  </si>
  <si>
    <t>Akurasi keputusan pada kejadian cepat/kompleks dan konsistensi standar</t>
  </si>
  <si>
    <t>Manajemen pertandingan, komunikasi panel dan penanganan perbedaan keputusan</t>
  </si>
  <si>
    <t>Keselamatan atlet, penghentian tindakan berbahaya dan manajemen insiden</t>
  </si>
  <si>
    <t>Objektivitas, integritas, ketegasan, etika dan pengendalian emosi</t>
  </si>
  <si>
    <t>Administrasi, dokumentasi, evaluasi dan justifikasi keputusan</t>
  </si>
  <si>
    <t>00.2.01.01.01.009</t>
  </si>
  <si>
    <t>Ahyar M. Daud</t>
  </si>
  <si>
    <t>77.1.11.16.02.001</t>
  </si>
  <si>
    <t>Ir. Eddy Haryanto</t>
  </si>
  <si>
    <t>87.2.13.04.04.007</t>
  </si>
  <si>
    <t>Joko Listyono</t>
  </si>
  <si>
    <t>78.1.23.01.02.001</t>
  </si>
  <si>
    <t>I Wayan Martha Utama, ST., MM.</t>
  </si>
  <si>
    <t>85.1.13.03.01.001</t>
  </si>
  <si>
    <t>Antonius Eko Purnomo</t>
  </si>
  <si>
    <t>88.3.13.03.01.001</t>
  </si>
  <si>
    <t>G. T. Toto Irianto Noya, S.Kom.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</si>
</sst>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b/>
      <sz val="9"/>
      <name val="Carlito"/>
    </font>
    <font>
      <b/>
      <sz val="9"/>
      <color rgb="FFFFFFFF"/>
      <name val="Carlito"/>
    </font>
    <font>
      <i/>
      <sz val="7"/>
      <name val="Carlito"/>
    </font>
    <font>
      <b/>
      <sz val="8"/>
      <name val="Carlito"/>
    </font>
    <font>
      <sz val="9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7" borderId="2" xfId="0" applyFont="1" applyFill="1" applyBorder="1" applyAlignment="1">
      <alignment horizontal="center" vertical="center"/>
    </xf>
    <xf numFmtId="2" fontId="6" fillId="0" borderId="2" xfId="0" applyNumberFormat="1" applyFont="1" applyBorder="1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0" borderId="4" xfId="0" applyFont="1" applyBorder="1" applyAlignment="1">
      <alignment vertical="center"/>
    </xf>
    <xf numFmtId="0" fontId="6" fillId="7" borderId="4" xfId="0" applyFont="1" applyFill="1" applyBorder="1" applyAlignment="1">
      <alignment horizontal="center" vertical="center"/>
    </xf>
    <xf numFmtId="2" fontId="6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workbookViewId="0">
      <selection activeCell="A7" sqref="A7:N29"/>
    </sheetView>
  </sheetViews>
  <sheetFormatPr defaultRowHeight="14.25"/>
  <cols>
    <col min="1" max="1" width="5" customWidth="1"/>
    <col min="2" max="2" width="18" customWidth="1"/>
    <col min="3" max="3" width="26" customWidth="1"/>
    <col min="4" max="4" width="9" customWidth="1"/>
    <col min="5" max="5" width="6" customWidth="1"/>
    <col min="6" max="7" width="10.5" bestFit="1" customWidth="1"/>
    <col min="8" max="8" width="10.125" bestFit="1" customWidth="1"/>
    <col min="9" max="9" width="10.875" bestFit="1" customWidth="1"/>
    <col min="10" max="10" width="12" bestFit="1" customWidth="1"/>
    <col min="11" max="11" width="7.125" bestFit="1" customWidth="1"/>
    <col min="12" max="12" width="9" bestFit="1" customWidth="1"/>
    <col min="13" max="13" width="8" customWidth="1"/>
    <col min="14" max="16" width="12" customWidth="1"/>
    <col min="17" max="17" width="20" customWidth="1"/>
  </cols>
  <sheetData>
    <row r="1" spans="1:17" ht="18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4" spans="1:17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3" t="s">
        <v>18</v>
      </c>
    </row>
    <row r="5" spans="1:17" ht="54.95" customHeight="1">
      <c r="A5" s="4"/>
      <c r="B5" s="5"/>
      <c r="C5" s="5"/>
      <c r="D5" s="5"/>
      <c r="E5" s="5"/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  <c r="M5" s="5" t="s">
        <v>26</v>
      </c>
      <c r="N5" s="5"/>
      <c r="O5" s="5"/>
      <c r="P5" s="5"/>
      <c r="Q5" s="6"/>
    </row>
    <row r="6" spans="1:17">
      <c r="A6" s="18"/>
      <c r="B6" s="19"/>
      <c r="C6" s="19"/>
      <c r="D6" s="19"/>
      <c r="E6" s="19"/>
      <c r="F6" s="19">
        <v>10</v>
      </c>
      <c r="G6" s="19">
        <v>15</v>
      </c>
      <c r="H6" s="19">
        <v>15</v>
      </c>
      <c r="I6" s="19">
        <v>15</v>
      </c>
      <c r="J6" s="19">
        <v>15</v>
      </c>
      <c r="K6" s="19">
        <v>10</v>
      </c>
      <c r="L6" s="19">
        <v>10</v>
      </c>
      <c r="M6" s="19">
        <v>10</v>
      </c>
      <c r="N6" s="19" t="s">
        <v>27</v>
      </c>
      <c r="O6" s="8"/>
      <c r="P6" s="8"/>
      <c r="Q6" s="9"/>
    </row>
    <row r="7" spans="1:17">
      <c r="A7" s="20">
        <v>1</v>
      </c>
      <c r="B7" s="20" t="s">
        <v>28</v>
      </c>
      <c r="C7" s="20" t="s">
        <v>29</v>
      </c>
      <c r="D7" s="20" t="s">
        <v>30</v>
      </c>
      <c r="E7" s="20" t="s">
        <v>31</v>
      </c>
      <c r="F7" s="21"/>
      <c r="G7" s="21"/>
      <c r="H7" s="21"/>
      <c r="I7" s="21"/>
      <c r="J7" s="21"/>
      <c r="K7" s="21"/>
      <c r="L7" s="21"/>
      <c r="M7" s="21"/>
      <c r="N7" s="22" t="str">
        <f t="shared" ref="N7:N29" si="0">IF(COUNT(F7:M7)&lt;8,"",F7/5*10+G7/5*15+H7/5*15+I7/5*15+J7/5*15+K7/5*10+L7/5*10+M7/5*10)</f>
        <v/>
      </c>
      <c r="O7" s="11" t="str">
        <f t="shared" ref="O7:O29" si="1">IF(N7="","",IF(N7&gt;=90,"Sangat Baik",IF(N7&gt;=80,"Baik",IF(N7&gt;=70,"Cukup","Perlu Pembinaan"))))</f>
        <v/>
      </c>
      <c r="P7" s="11" t="str">
        <f t="shared" ref="P7:P29" si="2">IF(N7="","",IF(N7&gt;=80,"LULUS",IF(N7&gt;=70,"REMEDIAL","BELUM LULUS")))</f>
        <v/>
      </c>
      <c r="Q7" s="12"/>
    </row>
    <row r="8" spans="1:17">
      <c r="A8" s="20">
        <v>2</v>
      </c>
      <c r="B8" s="20" t="s">
        <v>32</v>
      </c>
      <c r="C8" s="20" t="s">
        <v>33</v>
      </c>
      <c r="D8" s="20" t="s">
        <v>30</v>
      </c>
      <c r="E8" s="20" t="s">
        <v>31</v>
      </c>
      <c r="F8" s="21"/>
      <c r="G8" s="21"/>
      <c r="H8" s="21"/>
      <c r="I8" s="21"/>
      <c r="J8" s="21"/>
      <c r="K8" s="21"/>
      <c r="L8" s="21"/>
      <c r="M8" s="21"/>
      <c r="N8" s="22" t="str">
        <f t="shared" si="0"/>
        <v/>
      </c>
      <c r="O8" s="11" t="str">
        <f t="shared" si="1"/>
        <v/>
      </c>
      <c r="P8" s="11" t="str">
        <f t="shared" si="2"/>
        <v/>
      </c>
      <c r="Q8" s="12"/>
    </row>
    <row r="9" spans="1:17">
      <c r="A9" s="20">
        <v>3</v>
      </c>
      <c r="B9" s="20" t="s">
        <v>34</v>
      </c>
      <c r="C9" s="20" t="s">
        <v>35</v>
      </c>
      <c r="D9" s="20" t="s">
        <v>30</v>
      </c>
      <c r="E9" s="20" t="s">
        <v>31</v>
      </c>
      <c r="F9" s="21"/>
      <c r="G9" s="21"/>
      <c r="H9" s="21"/>
      <c r="I9" s="21"/>
      <c r="J9" s="21"/>
      <c r="K9" s="21"/>
      <c r="L9" s="21"/>
      <c r="M9" s="21"/>
      <c r="N9" s="22" t="str">
        <f t="shared" si="0"/>
        <v/>
      </c>
      <c r="O9" s="11" t="str">
        <f t="shared" si="1"/>
        <v/>
      </c>
      <c r="P9" s="11" t="str">
        <f t="shared" si="2"/>
        <v/>
      </c>
      <c r="Q9" s="12"/>
    </row>
    <row r="10" spans="1:17">
      <c r="A10" s="20">
        <v>4</v>
      </c>
      <c r="B10" s="20" t="s">
        <v>36</v>
      </c>
      <c r="C10" s="20" t="s">
        <v>37</v>
      </c>
      <c r="D10" s="20" t="s">
        <v>38</v>
      </c>
      <c r="E10" s="20" t="s">
        <v>31</v>
      </c>
      <c r="F10" s="21"/>
      <c r="G10" s="21"/>
      <c r="H10" s="21"/>
      <c r="I10" s="21"/>
      <c r="J10" s="21"/>
      <c r="K10" s="21"/>
      <c r="L10" s="21"/>
      <c r="M10" s="21"/>
      <c r="N10" s="22" t="str">
        <f t="shared" si="0"/>
        <v/>
      </c>
      <c r="O10" s="11" t="str">
        <f t="shared" si="1"/>
        <v/>
      </c>
      <c r="P10" s="11" t="str">
        <f t="shared" si="2"/>
        <v/>
      </c>
      <c r="Q10" s="12"/>
    </row>
    <row r="11" spans="1:17">
      <c r="A11" s="20">
        <v>5</v>
      </c>
      <c r="B11" s="20" t="s">
        <v>39</v>
      </c>
      <c r="C11" s="20" t="s">
        <v>40</v>
      </c>
      <c r="D11" s="20" t="s">
        <v>38</v>
      </c>
      <c r="E11" s="20" t="s">
        <v>31</v>
      </c>
      <c r="F11" s="21"/>
      <c r="G11" s="21"/>
      <c r="H11" s="21"/>
      <c r="I11" s="21"/>
      <c r="J11" s="21"/>
      <c r="K11" s="21"/>
      <c r="L11" s="21"/>
      <c r="M11" s="21"/>
      <c r="N11" s="22" t="str">
        <f t="shared" si="0"/>
        <v/>
      </c>
      <c r="O11" s="11" t="str">
        <f t="shared" si="1"/>
        <v/>
      </c>
      <c r="P11" s="11" t="str">
        <f t="shared" si="2"/>
        <v/>
      </c>
      <c r="Q11" s="12"/>
    </row>
    <row r="12" spans="1:17">
      <c r="A12" s="20">
        <v>6</v>
      </c>
      <c r="B12" s="20" t="s">
        <v>41</v>
      </c>
      <c r="C12" s="20" t="s">
        <v>42</v>
      </c>
      <c r="D12" s="20" t="s">
        <v>38</v>
      </c>
      <c r="E12" s="20" t="s">
        <v>43</v>
      </c>
      <c r="F12" s="21"/>
      <c r="G12" s="21"/>
      <c r="H12" s="21"/>
      <c r="I12" s="21"/>
      <c r="J12" s="21"/>
      <c r="K12" s="21"/>
      <c r="L12" s="21"/>
      <c r="M12" s="21"/>
      <c r="N12" s="22" t="str">
        <f t="shared" si="0"/>
        <v/>
      </c>
      <c r="O12" s="11" t="str">
        <f t="shared" si="1"/>
        <v/>
      </c>
      <c r="P12" s="11" t="str">
        <f t="shared" si="2"/>
        <v/>
      </c>
      <c r="Q12" s="12"/>
    </row>
    <row r="13" spans="1:17">
      <c r="A13" s="20">
        <v>7</v>
      </c>
      <c r="B13" s="20" t="s">
        <v>44</v>
      </c>
      <c r="C13" s="20" t="s">
        <v>45</v>
      </c>
      <c r="D13" s="20" t="s">
        <v>38</v>
      </c>
      <c r="E13" s="20" t="s">
        <v>31</v>
      </c>
      <c r="F13" s="21"/>
      <c r="G13" s="21"/>
      <c r="H13" s="21"/>
      <c r="I13" s="21"/>
      <c r="J13" s="21"/>
      <c r="K13" s="21"/>
      <c r="L13" s="21"/>
      <c r="M13" s="21"/>
      <c r="N13" s="22" t="str">
        <f t="shared" si="0"/>
        <v/>
      </c>
      <c r="O13" s="11" t="str">
        <f t="shared" si="1"/>
        <v/>
      </c>
      <c r="P13" s="11" t="str">
        <f t="shared" si="2"/>
        <v/>
      </c>
      <c r="Q13" s="12"/>
    </row>
    <row r="14" spans="1:17">
      <c r="A14" s="20">
        <v>8</v>
      </c>
      <c r="B14" s="20" t="s">
        <v>46</v>
      </c>
      <c r="C14" s="20" t="s">
        <v>47</v>
      </c>
      <c r="D14" s="20" t="s">
        <v>48</v>
      </c>
      <c r="E14" s="20" t="s">
        <v>31</v>
      </c>
      <c r="F14" s="21"/>
      <c r="G14" s="21"/>
      <c r="H14" s="21"/>
      <c r="I14" s="21"/>
      <c r="J14" s="21"/>
      <c r="K14" s="21"/>
      <c r="L14" s="21"/>
      <c r="M14" s="21"/>
      <c r="N14" s="22" t="str">
        <f t="shared" si="0"/>
        <v/>
      </c>
      <c r="O14" s="11" t="str">
        <f t="shared" si="1"/>
        <v/>
      </c>
      <c r="P14" s="11" t="str">
        <f t="shared" si="2"/>
        <v/>
      </c>
      <c r="Q14" s="12"/>
    </row>
    <row r="15" spans="1:17">
      <c r="A15" s="20">
        <v>9</v>
      </c>
      <c r="B15" s="20" t="s">
        <v>49</v>
      </c>
      <c r="C15" s="20" t="s">
        <v>50</v>
      </c>
      <c r="D15" s="20" t="s">
        <v>48</v>
      </c>
      <c r="E15" s="20" t="s">
        <v>31</v>
      </c>
      <c r="F15" s="21"/>
      <c r="G15" s="21"/>
      <c r="H15" s="21"/>
      <c r="I15" s="21"/>
      <c r="J15" s="21"/>
      <c r="K15" s="21"/>
      <c r="L15" s="21"/>
      <c r="M15" s="21"/>
      <c r="N15" s="22" t="str">
        <f t="shared" si="0"/>
        <v/>
      </c>
      <c r="O15" s="11" t="str">
        <f t="shared" si="1"/>
        <v/>
      </c>
      <c r="P15" s="11" t="str">
        <f t="shared" si="2"/>
        <v/>
      </c>
      <c r="Q15" s="12"/>
    </row>
    <row r="16" spans="1:17">
      <c r="A16" s="20">
        <v>10</v>
      </c>
      <c r="B16" s="20" t="s">
        <v>51</v>
      </c>
      <c r="C16" s="20" t="s">
        <v>52</v>
      </c>
      <c r="D16" s="20" t="s">
        <v>48</v>
      </c>
      <c r="E16" s="20" t="s">
        <v>43</v>
      </c>
      <c r="F16" s="21"/>
      <c r="G16" s="21"/>
      <c r="H16" s="21"/>
      <c r="I16" s="21"/>
      <c r="J16" s="21"/>
      <c r="K16" s="21"/>
      <c r="L16" s="21"/>
      <c r="M16" s="21"/>
      <c r="N16" s="22" t="str">
        <f t="shared" si="0"/>
        <v/>
      </c>
      <c r="O16" s="11" t="str">
        <f t="shared" si="1"/>
        <v/>
      </c>
      <c r="P16" s="11" t="str">
        <f t="shared" si="2"/>
        <v/>
      </c>
      <c r="Q16" s="12"/>
    </row>
    <row r="17" spans="1:17">
      <c r="A17" s="20">
        <v>11</v>
      </c>
      <c r="B17" s="20" t="s">
        <v>53</v>
      </c>
      <c r="C17" s="20" t="s">
        <v>54</v>
      </c>
      <c r="D17" s="20" t="s">
        <v>48</v>
      </c>
      <c r="E17" s="20" t="s">
        <v>31</v>
      </c>
      <c r="F17" s="21"/>
      <c r="G17" s="21"/>
      <c r="H17" s="21"/>
      <c r="I17" s="21"/>
      <c r="J17" s="21"/>
      <c r="K17" s="21"/>
      <c r="L17" s="21"/>
      <c r="M17" s="21"/>
      <c r="N17" s="22" t="str">
        <f t="shared" si="0"/>
        <v/>
      </c>
      <c r="O17" s="11" t="str">
        <f t="shared" si="1"/>
        <v/>
      </c>
      <c r="P17" s="11" t="str">
        <f t="shared" si="2"/>
        <v/>
      </c>
      <c r="Q17" s="12"/>
    </row>
    <row r="18" spans="1:17">
      <c r="A18" s="20">
        <v>12</v>
      </c>
      <c r="B18" s="20" t="s">
        <v>55</v>
      </c>
      <c r="C18" s="20" t="s">
        <v>56</v>
      </c>
      <c r="D18" s="20" t="s">
        <v>48</v>
      </c>
      <c r="E18" s="20" t="s">
        <v>31</v>
      </c>
      <c r="F18" s="21"/>
      <c r="G18" s="21"/>
      <c r="H18" s="21"/>
      <c r="I18" s="21"/>
      <c r="J18" s="21"/>
      <c r="K18" s="21"/>
      <c r="L18" s="21"/>
      <c r="M18" s="21"/>
      <c r="N18" s="22" t="str">
        <f t="shared" si="0"/>
        <v/>
      </c>
      <c r="O18" s="11" t="str">
        <f t="shared" si="1"/>
        <v/>
      </c>
      <c r="P18" s="11" t="str">
        <f t="shared" si="2"/>
        <v/>
      </c>
      <c r="Q18" s="12"/>
    </row>
    <row r="19" spans="1:17">
      <c r="A19" s="20">
        <v>13</v>
      </c>
      <c r="B19" s="20" t="s">
        <v>57</v>
      </c>
      <c r="C19" s="20" t="s">
        <v>58</v>
      </c>
      <c r="D19" s="20" t="s">
        <v>48</v>
      </c>
      <c r="E19" s="20" t="s">
        <v>31</v>
      </c>
      <c r="F19" s="21"/>
      <c r="G19" s="21"/>
      <c r="H19" s="21"/>
      <c r="I19" s="21"/>
      <c r="J19" s="21"/>
      <c r="K19" s="21"/>
      <c r="L19" s="21"/>
      <c r="M19" s="21"/>
      <c r="N19" s="22" t="str">
        <f t="shared" si="0"/>
        <v/>
      </c>
      <c r="O19" s="11" t="str">
        <f t="shared" si="1"/>
        <v/>
      </c>
      <c r="P19" s="11" t="str">
        <f t="shared" si="2"/>
        <v/>
      </c>
      <c r="Q19" s="12"/>
    </row>
    <row r="20" spans="1:17">
      <c r="A20" s="20">
        <v>14</v>
      </c>
      <c r="B20" s="20" t="s">
        <v>59</v>
      </c>
      <c r="C20" s="20" t="s">
        <v>60</v>
      </c>
      <c r="D20" s="20" t="s">
        <v>48</v>
      </c>
      <c r="E20" s="20" t="s">
        <v>31</v>
      </c>
      <c r="F20" s="21"/>
      <c r="G20" s="21"/>
      <c r="H20" s="21"/>
      <c r="I20" s="21"/>
      <c r="J20" s="21"/>
      <c r="K20" s="21"/>
      <c r="L20" s="21"/>
      <c r="M20" s="21"/>
      <c r="N20" s="22" t="str">
        <f t="shared" si="0"/>
        <v/>
      </c>
      <c r="O20" s="11" t="str">
        <f t="shared" si="1"/>
        <v/>
      </c>
      <c r="P20" s="11" t="str">
        <f t="shared" si="2"/>
        <v/>
      </c>
      <c r="Q20" s="12"/>
    </row>
    <row r="21" spans="1:17">
      <c r="A21" s="20">
        <v>15</v>
      </c>
      <c r="B21" s="20" t="s">
        <v>61</v>
      </c>
      <c r="C21" s="20" t="s">
        <v>62</v>
      </c>
      <c r="D21" s="20" t="s">
        <v>48</v>
      </c>
      <c r="E21" s="20" t="s">
        <v>31</v>
      </c>
      <c r="F21" s="21"/>
      <c r="G21" s="21"/>
      <c r="H21" s="21"/>
      <c r="I21" s="21"/>
      <c r="J21" s="21"/>
      <c r="K21" s="21"/>
      <c r="L21" s="21"/>
      <c r="M21" s="21"/>
      <c r="N21" s="22" t="str">
        <f t="shared" si="0"/>
        <v/>
      </c>
      <c r="O21" s="11" t="str">
        <f t="shared" si="1"/>
        <v/>
      </c>
      <c r="P21" s="11" t="str">
        <f t="shared" si="2"/>
        <v/>
      </c>
      <c r="Q21" s="12"/>
    </row>
    <row r="22" spans="1:17">
      <c r="A22" s="20">
        <v>16</v>
      </c>
      <c r="B22" s="20" t="s">
        <v>63</v>
      </c>
      <c r="C22" s="20" t="s">
        <v>64</v>
      </c>
      <c r="D22" s="20" t="s">
        <v>48</v>
      </c>
      <c r="E22" s="20" t="s">
        <v>31</v>
      </c>
      <c r="F22" s="21"/>
      <c r="G22" s="21"/>
      <c r="H22" s="21"/>
      <c r="I22" s="21"/>
      <c r="J22" s="21"/>
      <c r="K22" s="21"/>
      <c r="L22" s="21"/>
      <c r="M22" s="21"/>
      <c r="N22" s="22" t="str">
        <f t="shared" si="0"/>
        <v/>
      </c>
      <c r="O22" s="11" t="str">
        <f t="shared" si="1"/>
        <v/>
      </c>
      <c r="P22" s="11" t="str">
        <f t="shared" si="2"/>
        <v/>
      </c>
      <c r="Q22" s="12"/>
    </row>
    <row r="23" spans="1:17">
      <c r="A23" s="20">
        <v>17</v>
      </c>
      <c r="B23" s="20" t="s">
        <v>65</v>
      </c>
      <c r="C23" s="20" t="s">
        <v>66</v>
      </c>
      <c r="D23" s="20" t="s">
        <v>48</v>
      </c>
      <c r="E23" s="20" t="s">
        <v>31</v>
      </c>
      <c r="F23" s="21"/>
      <c r="G23" s="21"/>
      <c r="H23" s="21"/>
      <c r="I23" s="21"/>
      <c r="J23" s="21"/>
      <c r="K23" s="21"/>
      <c r="L23" s="21"/>
      <c r="M23" s="21"/>
      <c r="N23" s="22" t="str">
        <f t="shared" si="0"/>
        <v/>
      </c>
      <c r="O23" s="11" t="str">
        <f t="shared" si="1"/>
        <v/>
      </c>
      <c r="P23" s="11" t="str">
        <f t="shared" si="2"/>
        <v/>
      </c>
      <c r="Q23" s="12"/>
    </row>
    <row r="24" spans="1:17">
      <c r="A24" s="20">
        <v>18</v>
      </c>
      <c r="B24" s="20" t="s">
        <v>67</v>
      </c>
      <c r="C24" s="20" t="s">
        <v>68</v>
      </c>
      <c r="D24" s="20" t="s">
        <v>38</v>
      </c>
      <c r="E24" s="20" t="s">
        <v>31</v>
      </c>
      <c r="F24" s="21"/>
      <c r="G24" s="21"/>
      <c r="H24" s="21"/>
      <c r="I24" s="21"/>
      <c r="J24" s="21"/>
      <c r="K24" s="21"/>
      <c r="L24" s="21"/>
      <c r="M24" s="21"/>
      <c r="N24" s="22" t="str">
        <f t="shared" si="0"/>
        <v/>
      </c>
      <c r="O24" s="11" t="str">
        <f t="shared" si="1"/>
        <v/>
      </c>
      <c r="P24" s="11" t="str">
        <f t="shared" si="2"/>
        <v/>
      </c>
      <c r="Q24" s="12"/>
    </row>
    <row r="25" spans="1:17">
      <c r="A25" s="20">
        <v>19</v>
      </c>
      <c r="B25" s="20" t="s">
        <v>69</v>
      </c>
      <c r="C25" s="20" t="s">
        <v>70</v>
      </c>
      <c r="D25" s="20" t="s">
        <v>48</v>
      </c>
      <c r="E25" s="20" t="s">
        <v>31</v>
      </c>
      <c r="F25" s="21"/>
      <c r="G25" s="21"/>
      <c r="H25" s="21"/>
      <c r="I25" s="21"/>
      <c r="J25" s="21"/>
      <c r="K25" s="21"/>
      <c r="L25" s="21"/>
      <c r="M25" s="21"/>
      <c r="N25" s="22" t="str">
        <f t="shared" si="0"/>
        <v/>
      </c>
      <c r="O25" s="11" t="str">
        <f t="shared" si="1"/>
        <v/>
      </c>
      <c r="P25" s="11" t="str">
        <f t="shared" si="2"/>
        <v/>
      </c>
      <c r="Q25" s="12"/>
    </row>
    <row r="26" spans="1:17">
      <c r="A26" s="20">
        <v>20</v>
      </c>
      <c r="B26" s="20" t="s">
        <v>71</v>
      </c>
      <c r="C26" s="20" t="s">
        <v>72</v>
      </c>
      <c r="D26" s="20" t="s">
        <v>38</v>
      </c>
      <c r="E26" s="20" t="s">
        <v>31</v>
      </c>
      <c r="F26" s="21"/>
      <c r="G26" s="21"/>
      <c r="H26" s="21"/>
      <c r="I26" s="21"/>
      <c r="J26" s="21"/>
      <c r="K26" s="21"/>
      <c r="L26" s="21"/>
      <c r="M26" s="21"/>
      <c r="N26" s="22" t="str">
        <f t="shared" si="0"/>
        <v/>
      </c>
      <c r="O26" s="11" t="str">
        <f t="shared" si="1"/>
        <v/>
      </c>
      <c r="P26" s="11" t="str">
        <f t="shared" si="2"/>
        <v/>
      </c>
      <c r="Q26" s="12"/>
    </row>
    <row r="27" spans="1:17">
      <c r="A27" s="20">
        <v>21</v>
      </c>
      <c r="B27" s="20" t="s">
        <v>73</v>
      </c>
      <c r="C27" s="20" t="s">
        <v>74</v>
      </c>
      <c r="D27" s="20" t="s">
        <v>48</v>
      </c>
      <c r="E27" s="20" t="s">
        <v>31</v>
      </c>
      <c r="F27" s="21"/>
      <c r="G27" s="21"/>
      <c r="H27" s="21"/>
      <c r="I27" s="21"/>
      <c r="J27" s="21"/>
      <c r="K27" s="21"/>
      <c r="L27" s="21"/>
      <c r="M27" s="21"/>
      <c r="N27" s="22" t="str">
        <f t="shared" si="0"/>
        <v/>
      </c>
      <c r="O27" s="11" t="str">
        <f t="shared" si="1"/>
        <v/>
      </c>
      <c r="P27" s="11" t="str">
        <f t="shared" si="2"/>
        <v/>
      </c>
      <c r="Q27" s="12"/>
    </row>
    <row r="28" spans="1:17">
      <c r="A28" s="20">
        <v>22</v>
      </c>
      <c r="B28" s="20" t="s">
        <v>75</v>
      </c>
      <c r="C28" s="20" t="s">
        <v>76</v>
      </c>
      <c r="D28" s="20" t="s">
        <v>48</v>
      </c>
      <c r="E28" s="20" t="s">
        <v>31</v>
      </c>
      <c r="F28" s="21"/>
      <c r="G28" s="21"/>
      <c r="H28" s="21"/>
      <c r="I28" s="21"/>
      <c r="J28" s="21"/>
      <c r="K28" s="21"/>
      <c r="L28" s="21"/>
      <c r="M28" s="21"/>
      <c r="N28" s="22" t="str">
        <f t="shared" si="0"/>
        <v/>
      </c>
      <c r="O28" s="11" t="str">
        <f t="shared" si="1"/>
        <v/>
      </c>
      <c r="P28" s="11" t="str">
        <f t="shared" si="2"/>
        <v/>
      </c>
      <c r="Q28" s="12"/>
    </row>
    <row r="29" spans="1:17">
      <c r="A29" s="20">
        <v>23</v>
      </c>
      <c r="B29" s="20" t="s">
        <v>77</v>
      </c>
      <c r="C29" s="20" t="s">
        <v>78</v>
      </c>
      <c r="D29" s="20" t="s">
        <v>30</v>
      </c>
      <c r="E29" s="20" t="s">
        <v>31</v>
      </c>
      <c r="F29" s="21"/>
      <c r="G29" s="21"/>
      <c r="H29" s="21"/>
      <c r="I29" s="21"/>
      <c r="J29" s="21"/>
      <c r="K29" s="21"/>
      <c r="L29" s="21"/>
      <c r="M29" s="21"/>
      <c r="N29" s="22" t="str">
        <f t="shared" si="0"/>
        <v/>
      </c>
      <c r="O29" s="11" t="str">
        <f t="shared" si="1"/>
        <v/>
      </c>
      <c r="P29" s="11" t="str">
        <f t="shared" si="2"/>
        <v/>
      </c>
      <c r="Q29" s="12"/>
    </row>
    <row r="31" spans="1:17">
      <c r="A31" s="16" t="s">
        <v>79</v>
      </c>
      <c r="B31" s="16"/>
      <c r="C31" s="16"/>
      <c r="D31" s="16"/>
      <c r="E31" s="16"/>
      <c r="N31" s="16" t="s">
        <v>80</v>
      </c>
      <c r="O31" s="16"/>
      <c r="P31" s="16"/>
      <c r="Q31" s="16"/>
    </row>
  </sheetData>
  <mergeCells count="4">
    <mergeCell ref="A1:Q1"/>
    <mergeCell ref="A2:Q2"/>
    <mergeCell ref="A31:E31"/>
    <mergeCell ref="N31:Q31"/>
  </mergeCells>
  <dataValidations count="1">
    <dataValidation type="list" sqref="F7:M29" xr:uid="{00000000-0002-0000-0000-000000000000}">
      <formula1>"1,2,3,4,5"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tabSelected="1" workbookViewId="0">
      <selection activeCell="M7" sqref="M7"/>
    </sheetView>
  </sheetViews>
  <sheetFormatPr defaultRowHeight="14.25"/>
  <cols>
    <col min="1" max="1" width="5" customWidth="1"/>
    <col min="2" max="2" width="18" customWidth="1"/>
    <col min="3" max="3" width="26" customWidth="1"/>
    <col min="4" max="4" width="9" customWidth="1"/>
    <col min="5" max="5" width="6" customWidth="1"/>
    <col min="6" max="6" width="12.25" bestFit="1" customWidth="1"/>
    <col min="7" max="13" width="8" customWidth="1"/>
    <col min="14" max="16" width="12" customWidth="1"/>
    <col min="17" max="17" width="20" customWidth="1"/>
  </cols>
  <sheetData>
    <row r="1" spans="1:17" ht="18">
      <c r="A1" s="15" t="s">
        <v>81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4" spans="1:17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82</v>
      </c>
      <c r="G4" s="2" t="s">
        <v>83</v>
      </c>
      <c r="H4" s="2" t="s">
        <v>84</v>
      </c>
      <c r="I4" s="2" t="s">
        <v>85</v>
      </c>
      <c r="J4" s="2" t="s">
        <v>86</v>
      </c>
      <c r="K4" s="2" t="s">
        <v>87</v>
      </c>
      <c r="L4" s="2" t="s">
        <v>88</v>
      </c>
      <c r="M4" s="2" t="s">
        <v>89</v>
      </c>
      <c r="N4" s="2" t="s">
        <v>15</v>
      </c>
      <c r="O4" s="2" t="s">
        <v>16</v>
      </c>
      <c r="P4" s="2" t="s">
        <v>17</v>
      </c>
      <c r="Q4" s="3" t="s">
        <v>18</v>
      </c>
    </row>
    <row r="5" spans="1:17" ht="54.95" customHeight="1">
      <c r="A5" s="4"/>
      <c r="B5" s="5"/>
      <c r="C5" s="5"/>
      <c r="D5" s="5"/>
      <c r="E5" s="5"/>
      <c r="F5" s="5" t="s">
        <v>90</v>
      </c>
      <c r="G5" s="5" t="s">
        <v>91</v>
      </c>
      <c r="H5" s="5" t="s">
        <v>92</v>
      </c>
      <c r="I5" s="5" t="s">
        <v>93</v>
      </c>
      <c r="J5" s="5" t="s">
        <v>94</v>
      </c>
      <c r="K5" s="5" t="s">
        <v>95</v>
      </c>
      <c r="L5" s="5" t="s">
        <v>96</v>
      </c>
      <c r="M5" s="5" t="s">
        <v>97</v>
      </c>
      <c r="N5" s="5"/>
      <c r="O5" s="5"/>
      <c r="P5" s="5"/>
      <c r="Q5" s="6"/>
    </row>
    <row r="6" spans="1:17">
      <c r="A6" s="18"/>
      <c r="B6" s="19"/>
      <c r="C6" s="19"/>
      <c r="D6" s="19"/>
      <c r="E6" s="19"/>
      <c r="F6" s="19">
        <v>12</v>
      </c>
      <c r="G6" s="19">
        <v>15</v>
      </c>
      <c r="H6" s="19">
        <v>13</v>
      </c>
      <c r="I6" s="19">
        <v>12</v>
      </c>
      <c r="J6" s="19">
        <v>13</v>
      </c>
      <c r="K6" s="19">
        <v>12</v>
      </c>
      <c r="L6" s="19">
        <v>10</v>
      </c>
      <c r="M6" s="19">
        <v>13</v>
      </c>
      <c r="N6" s="19" t="s">
        <v>27</v>
      </c>
      <c r="O6" s="8"/>
      <c r="P6" s="8"/>
      <c r="Q6" s="9"/>
    </row>
    <row r="7" spans="1:17">
      <c r="A7" s="20">
        <v>1</v>
      </c>
      <c r="B7" s="20" t="s">
        <v>98</v>
      </c>
      <c r="C7" s="20" t="s">
        <v>99</v>
      </c>
      <c r="D7" s="20" t="s">
        <v>100</v>
      </c>
      <c r="E7" s="20" t="s">
        <v>31</v>
      </c>
      <c r="F7" s="21"/>
      <c r="G7" s="21"/>
      <c r="H7" s="21"/>
      <c r="I7" s="21"/>
      <c r="J7" s="21"/>
      <c r="K7" s="21"/>
      <c r="L7" s="21"/>
      <c r="M7" s="21"/>
      <c r="N7" s="22" t="str">
        <f t="shared" ref="N7:N18" si="0">IF(COUNT(F7:M7)&lt;8,"",F7/5*12+G7/5*15+H7/5*13+I7/5*12+J7/5*13+K7/5*12+L7/5*10+M7/5*13)</f>
        <v/>
      </c>
      <c r="O7" s="11" t="str">
        <f t="shared" ref="O7:O18" si="1">IF(N7="","",IF(N7&gt;=90,"Sangat Baik",IF(N7&gt;=80,"Baik",IF(N7&gt;=70,"Cukup","Perlu Pembinaan"))))</f>
        <v/>
      </c>
      <c r="P7" s="11" t="str">
        <f t="shared" ref="P7:P18" si="2">IF(N7="","",IF(N7&gt;=80,"LULUS",IF(N7&gt;=70,"REMEDIAL","BELUM LULUS")))</f>
        <v/>
      </c>
      <c r="Q7" s="12"/>
    </row>
    <row r="8" spans="1:17">
      <c r="A8" s="20">
        <v>2</v>
      </c>
      <c r="B8" s="20" t="s">
        <v>101</v>
      </c>
      <c r="C8" s="20" t="s">
        <v>102</v>
      </c>
      <c r="D8" s="20" t="s">
        <v>100</v>
      </c>
      <c r="E8" s="20" t="s">
        <v>31</v>
      </c>
      <c r="F8" s="21"/>
      <c r="G8" s="21"/>
      <c r="H8" s="21"/>
      <c r="I8" s="21"/>
      <c r="J8" s="21"/>
      <c r="K8" s="21"/>
      <c r="L8" s="21"/>
      <c r="M8" s="21"/>
      <c r="N8" s="22" t="str">
        <f t="shared" si="0"/>
        <v/>
      </c>
      <c r="O8" s="11" t="str">
        <f t="shared" si="1"/>
        <v/>
      </c>
      <c r="P8" s="11" t="str">
        <f t="shared" si="2"/>
        <v/>
      </c>
      <c r="Q8" s="12"/>
    </row>
    <row r="9" spans="1:17">
      <c r="A9" s="20">
        <v>3</v>
      </c>
      <c r="B9" s="20" t="s">
        <v>103</v>
      </c>
      <c r="C9" s="20" t="s">
        <v>104</v>
      </c>
      <c r="D9" s="20" t="s">
        <v>100</v>
      </c>
      <c r="E9" s="20" t="s">
        <v>31</v>
      </c>
      <c r="F9" s="21"/>
      <c r="G9" s="21"/>
      <c r="H9" s="21"/>
      <c r="I9" s="21"/>
      <c r="J9" s="21"/>
      <c r="K9" s="21"/>
      <c r="L9" s="21"/>
      <c r="M9" s="21"/>
      <c r="N9" s="22" t="str">
        <f t="shared" si="0"/>
        <v/>
      </c>
      <c r="O9" s="11" t="str">
        <f t="shared" si="1"/>
        <v/>
      </c>
      <c r="P9" s="11" t="str">
        <f t="shared" si="2"/>
        <v/>
      </c>
      <c r="Q9" s="12"/>
    </row>
    <row r="10" spans="1:17">
      <c r="A10" s="20">
        <v>4</v>
      </c>
      <c r="B10" s="20" t="s">
        <v>105</v>
      </c>
      <c r="C10" s="20" t="s">
        <v>106</v>
      </c>
      <c r="D10" s="20" t="s">
        <v>100</v>
      </c>
      <c r="E10" s="20" t="s">
        <v>31</v>
      </c>
      <c r="F10" s="21"/>
      <c r="G10" s="21"/>
      <c r="H10" s="21"/>
      <c r="I10" s="21"/>
      <c r="J10" s="21"/>
      <c r="K10" s="21"/>
      <c r="L10" s="21"/>
      <c r="M10" s="21"/>
      <c r="N10" s="22" t="str">
        <f t="shared" si="0"/>
        <v/>
      </c>
      <c r="O10" s="11" t="str">
        <f t="shared" si="1"/>
        <v/>
      </c>
      <c r="P10" s="11" t="str">
        <f t="shared" si="2"/>
        <v/>
      </c>
      <c r="Q10" s="12"/>
    </row>
    <row r="11" spans="1:17">
      <c r="A11" s="20">
        <v>5</v>
      </c>
      <c r="B11" s="20" t="s">
        <v>107</v>
      </c>
      <c r="C11" s="20" t="s">
        <v>108</v>
      </c>
      <c r="D11" s="20" t="s">
        <v>100</v>
      </c>
      <c r="E11" s="20" t="s">
        <v>31</v>
      </c>
      <c r="F11" s="21"/>
      <c r="G11" s="21"/>
      <c r="H11" s="21"/>
      <c r="I11" s="21"/>
      <c r="J11" s="21"/>
      <c r="K11" s="21"/>
      <c r="L11" s="21"/>
      <c r="M11" s="21"/>
      <c r="N11" s="22" t="str">
        <f t="shared" si="0"/>
        <v/>
      </c>
      <c r="O11" s="11" t="str">
        <f t="shared" si="1"/>
        <v/>
      </c>
      <c r="P11" s="11" t="str">
        <f t="shared" si="2"/>
        <v/>
      </c>
      <c r="Q11" s="12"/>
    </row>
    <row r="12" spans="1:17">
      <c r="A12" s="20">
        <v>6</v>
      </c>
      <c r="B12" s="20" t="s">
        <v>109</v>
      </c>
      <c r="C12" s="20" t="s">
        <v>110</v>
      </c>
      <c r="D12" s="20" t="s">
        <v>100</v>
      </c>
      <c r="E12" s="20" t="s">
        <v>31</v>
      </c>
      <c r="F12" s="21"/>
      <c r="G12" s="21"/>
      <c r="H12" s="21"/>
      <c r="I12" s="21"/>
      <c r="J12" s="21"/>
      <c r="K12" s="21"/>
      <c r="L12" s="21"/>
      <c r="M12" s="21"/>
      <c r="N12" s="22" t="str">
        <f t="shared" si="0"/>
        <v/>
      </c>
      <c r="O12" s="11" t="str">
        <f t="shared" si="1"/>
        <v/>
      </c>
      <c r="P12" s="11" t="str">
        <f t="shared" si="2"/>
        <v/>
      </c>
      <c r="Q12" s="12"/>
    </row>
    <row r="13" spans="1:17">
      <c r="A13" s="20">
        <v>7</v>
      </c>
      <c r="B13" s="20" t="s">
        <v>111</v>
      </c>
      <c r="C13" s="20" t="s">
        <v>112</v>
      </c>
      <c r="D13" s="20" t="s">
        <v>100</v>
      </c>
      <c r="E13" s="20" t="s">
        <v>31</v>
      </c>
      <c r="F13" s="21"/>
      <c r="G13" s="21"/>
      <c r="H13" s="21"/>
      <c r="I13" s="21"/>
      <c r="J13" s="21"/>
      <c r="K13" s="21"/>
      <c r="L13" s="21"/>
      <c r="M13" s="21"/>
      <c r="N13" s="22" t="str">
        <f t="shared" si="0"/>
        <v/>
      </c>
      <c r="O13" s="11" t="str">
        <f t="shared" si="1"/>
        <v/>
      </c>
      <c r="P13" s="11" t="str">
        <f t="shared" si="2"/>
        <v/>
      </c>
      <c r="Q13" s="12"/>
    </row>
    <row r="14" spans="1:17">
      <c r="A14" s="20">
        <v>8</v>
      </c>
      <c r="B14" s="20" t="s">
        <v>113</v>
      </c>
      <c r="C14" s="20" t="s">
        <v>114</v>
      </c>
      <c r="D14" s="20" t="s">
        <v>100</v>
      </c>
      <c r="E14" s="20" t="s">
        <v>31</v>
      </c>
      <c r="F14" s="21"/>
      <c r="G14" s="21"/>
      <c r="H14" s="21"/>
      <c r="I14" s="21"/>
      <c r="J14" s="21"/>
      <c r="K14" s="21"/>
      <c r="L14" s="21"/>
      <c r="M14" s="21"/>
      <c r="N14" s="22" t="str">
        <f t="shared" si="0"/>
        <v/>
      </c>
      <c r="O14" s="11" t="str">
        <f t="shared" si="1"/>
        <v/>
      </c>
      <c r="P14" s="11" t="str">
        <f t="shared" si="2"/>
        <v/>
      </c>
      <c r="Q14" s="12"/>
    </row>
    <row r="15" spans="1:17">
      <c r="A15" s="20">
        <v>9</v>
      </c>
      <c r="B15" s="20" t="s">
        <v>115</v>
      </c>
      <c r="C15" s="20" t="s">
        <v>116</v>
      </c>
      <c r="D15" s="20" t="s">
        <v>100</v>
      </c>
      <c r="E15" s="20" t="s">
        <v>31</v>
      </c>
      <c r="F15" s="21"/>
      <c r="G15" s="21"/>
      <c r="H15" s="21"/>
      <c r="I15" s="21"/>
      <c r="J15" s="21"/>
      <c r="K15" s="21"/>
      <c r="L15" s="21"/>
      <c r="M15" s="21"/>
      <c r="N15" s="22" t="str">
        <f t="shared" si="0"/>
        <v/>
      </c>
      <c r="O15" s="11" t="str">
        <f t="shared" si="1"/>
        <v/>
      </c>
      <c r="P15" s="11" t="str">
        <f t="shared" si="2"/>
        <v/>
      </c>
      <c r="Q15" s="12"/>
    </row>
    <row r="16" spans="1:17">
      <c r="A16" s="20">
        <v>10</v>
      </c>
      <c r="B16" s="20" t="s">
        <v>117</v>
      </c>
      <c r="C16" s="20" t="s">
        <v>118</v>
      </c>
      <c r="D16" s="20" t="s">
        <v>100</v>
      </c>
      <c r="E16" s="20" t="s">
        <v>31</v>
      </c>
      <c r="F16" s="21"/>
      <c r="G16" s="21"/>
      <c r="H16" s="21"/>
      <c r="I16" s="21"/>
      <c r="J16" s="21"/>
      <c r="K16" s="21"/>
      <c r="L16" s="21"/>
      <c r="M16" s="21"/>
      <c r="N16" s="22" t="str">
        <f t="shared" si="0"/>
        <v/>
      </c>
      <c r="O16" s="11" t="str">
        <f t="shared" si="1"/>
        <v/>
      </c>
      <c r="P16" s="11" t="str">
        <f t="shared" si="2"/>
        <v/>
      </c>
      <c r="Q16" s="12"/>
    </row>
    <row r="17" spans="1:17">
      <c r="A17" s="20">
        <v>11</v>
      </c>
      <c r="B17" s="20" t="s">
        <v>119</v>
      </c>
      <c r="C17" s="20" t="s">
        <v>120</v>
      </c>
      <c r="D17" s="20" t="s">
        <v>100</v>
      </c>
      <c r="E17" s="20" t="s">
        <v>43</v>
      </c>
      <c r="F17" s="21"/>
      <c r="G17" s="21"/>
      <c r="H17" s="21"/>
      <c r="I17" s="21"/>
      <c r="J17" s="21"/>
      <c r="K17" s="21"/>
      <c r="L17" s="21"/>
      <c r="M17" s="21"/>
      <c r="N17" s="22" t="str">
        <f t="shared" si="0"/>
        <v/>
      </c>
      <c r="O17" s="11" t="str">
        <f t="shared" si="1"/>
        <v/>
      </c>
      <c r="P17" s="11" t="str">
        <f t="shared" si="2"/>
        <v/>
      </c>
      <c r="Q17" s="12"/>
    </row>
    <row r="18" spans="1:17">
      <c r="A18" s="20">
        <v>12</v>
      </c>
      <c r="B18" s="20" t="s">
        <v>121</v>
      </c>
      <c r="C18" s="20" t="s">
        <v>122</v>
      </c>
      <c r="D18" s="20" t="s">
        <v>100</v>
      </c>
      <c r="E18" s="20" t="s">
        <v>31</v>
      </c>
      <c r="F18" s="21"/>
      <c r="G18" s="21"/>
      <c r="H18" s="21"/>
      <c r="I18" s="21"/>
      <c r="J18" s="21"/>
      <c r="K18" s="21"/>
      <c r="L18" s="21"/>
      <c r="M18" s="21"/>
      <c r="N18" s="22" t="str">
        <f t="shared" si="0"/>
        <v/>
      </c>
      <c r="O18" s="11" t="str">
        <f t="shared" si="1"/>
        <v/>
      </c>
      <c r="P18" s="11" t="str">
        <f t="shared" si="2"/>
        <v/>
      </c>
      <c r="Q18" s="12"/>
    </row>
    <row r="20" spans="1:17">
      <c r="A20" s="16" t="s">
        <v>79</v>
      </c>
      <c r="B20" s="16"/>
      <c r="C20" s="16"/>
      <c r="D20" s="16"/>
      <c r="E20" s="16"/>
      <c r="N20" s="16" t="s">
        <v>80</v>
      </c>
      <c r="O20" s="16"/>
      <c r="P20" s="16"/>
      <c r="Q20" s="16"/>
    </row>
  </sheetData>
  <mergeCells count="4">
    <mergeCell ref="A1:Q1"/>
    <mergeCell ref="A2:Q2"/>
    <mergeCell ref="A20:E20"/>
    <mergeCell ref="N20:Q20"/>
  </mergeCells>
  <dataValidations count="1">
    <dataValidation type="list" sqref="F7:M18" xr:uid="{00000000-0002-0000-0100-000000000000}">
      <formula1>"1,2,3,4,5"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6"/>
  <sheetViews>
    <sheetView workbookViewId="0">
      <selection activeCell="B9" sqref="B9"/>
    </sheetView>
  </sheetViews>
  <sheetFormatPr defaultRowHeight="14.25"/>
  <cols>
    <col min="1" max="1" width="5" customWidth="1"/>
    <col min="2" max="2" width="18" customWidth="1"/>
    <col min="3" max="3" width="26" customWidth="1"/>
    <col min="4" max="4" width="9" customWidth="1"/>
    <col min="5" max="5" width="6" customWidth="1"/>
    <col min="6" max="6" width="10.625" customWidth="1"/>
    <col min="7" max="7" width="8.375" bestFit="1" customWidth="1"/>
    <col min="8" max="8" width="10.875" bestFit="1" customWidth="1"/>
    <col min="9" max="9" width="8.625" bestFit="1" customWidth="1"/>
    <col min="10" max="10" width="9.375" customWidth="1"/>
    <col min="11" max="11" width="10.375" customWidth="1"/>
    <col min="12" max="12" width="11.625" customWidth="1"/>
    <col min="13" max="15" width="12" customWidth="1"/>
    <col min="16" max="16" width="20" customWidth="1"/>
  </cols>
  <sheetData>
    <row r="1" spans="1:16" ht="18">
      <c r="A1" s="15" t="s">
        <v>123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6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124</v>
      </c>
      <c r="G4" s="2" t="s">
        <v>125</v>
      </c>
      <c r="H4" s="2" t="s">
        <v>126</v>
      </c>
      <c r="I4" s="2" t="s">
        <v>127</v>
      </c>
      <c r="J4" s="2" t="s">
        <v>128</v>
      </c>
      <c r="K4" s="2" t="s">
        <v>129</v>
      </c>
      <c r="L4" s="2" t="s">
        <v>130</v>
      </c>
      <c r="M4" s="2" t="s">
        <v>15</v>
      </c>
      <c r="N4" s="2" t="s">
        <v>16</v>
      </c>
      <c r="O4" s="2" t="s">
        <v>17</v>
      </c>
      <c r="P4" s="3" t="s">
        <v>18</v>
      </c>
    </row>
    <row r="5" spans="1:16" ht="54.95" customHeight="1">
      <c r="A5" s="4"/>
      <c r="B5" s="5"/>
      <c r="C5" s="5"/>
      <c r="D5" s="5"/>
      <c r="E5" s="5"/>
      <c r="F5" s="5" t="s">
        <v>131</v>
      </c>
      <c r="G5" s="5" t="s">
        <v>132</v>
      </c>
      <c r="H5" s="5" t="s">
        <v>133</v>
      </c>
      <c r="I5" s="5" t="s">
        <v>134</v>
      </c>
      <c r="J5" s="5" t="s">
        <v>135</v>
      </c>
      <c r="K5" s="5" t="s">
        <v>136</v>
      </c>
      <c r="L5" s="5" t="s">
        <v>137</v>
      </c>
      <c r="M5" s="5"/>
      <c r="N5" s="5"/>
      <c r="O5" s="5"/>
      <c r="P5" s="6"/>
    </row>
    <row r="6" spans="1:16">
      <c r="A6" s="18"/>
      <c r="B6" s="19"/>
      <c r="C6" s="19"/>
      <c r="D6" s="19"/>
      <c r="E6" s="19"/>
      <c r="F6" s="19">
        <v>10</v>
      </c>
      <c r="G6" s="19">
        <v>20</v>
      </c>
      <c r="H6" s="19">
        <v>20</v>
      </c>
      <c r="I6" s="19">
        <v>15</v>
      </c>
      <c r="J6" s="19">
        <v>15</v>
      </c>
      <c r="K6" s="19">
        <v>10</v>
      </c>
      <c r="L6" s="19">
        <v>10</v>
      </c>
      <c r="M6" s="19" t="s">
        <v>27</v>
      </c>
      <c r="N6" s="8"/>
      <c r="O6" s="8"/>
      <c r="P6" s="9"/>
    </row>
    <row r="7" spans="1:16">
      <c r="A7" s="20">
        <v>1</v>
      </c>
      <c r="B7" s="20" t="s">
        <v>138</v>
      </c>
      <c r="C7" s="20" t="s">
        <v>139</v>
      </c>
      <c r="D7" s="20" t="s">
        <v>30</v>
      </c>
      <c r="E7" s="20" t="s">
        <v>43</v>
      </c>
      <c r="F7" s="21"/>
      <c r="G7" s="21"/>
      <c r="H7" s="21"/>
      <c r="I7" s="21"/>
      <c r="J7" s="21"/>
      <c r="K7" s="21"/>
      <c r="L7" s="21"/>
      <c r="M7" s="22" t="str">
        <f t="shared" ref="M7:M34" si="0">IF(COUNT(F7:L7)&lt;7,"",F7/5*10+G7/5*20+H7/5*20+I7/5*15+J7/5*15+K7/5*10+L7/5*10)</f>
        <v/>
      </c>
      <c r="N7" s="11" t="str">
        <f t="shared" ref="N7:N34" si="1">IF(M7="","",IF(M7&gt;=90,"Sangat Baik",IF(M7&gt;=80,"Baik",IF(M7&gt;=70,"Cukup","Perlu Pembinaan"))))</f>
        <v/>
      </c>
      <c r="O7" s="11" t="str">
        <f t="shared" ref="O7:O34" si="2">IF(M7="","",IF(M7&gt;=80,"LULUS",IF(M7&gt;=70,"REMEDIAL","BELUM LULUS")))</f>
        <v/>
      </c>
      <c r="P7" s="12"/>
    </row>
    <row r="8" spans="1:16">
      <c r="A8" s="20">
        <v>2</v>
      </c>
      <c r="B8" s="20" t="s">
        <v>140</v>
      </c>
      <c r="C8" s="20" t="s">
        <v>141</v>
      </c>
      <c r="D8" s="20" t="s">
        <v>30</v>
      </c>
      <c r="E8" s="20" t="s">
        <v>31</v>
      </c>
      <c r="F8" s="21"/>
      <c r="G8" s="21"/>
      <c r="H8" s="21"/>
      <c r="I8" s="21"/>
      <c r="J8" s="21"/>
      <c r="K8" s="21"/>
      <c r="L8" s="21"/>
      <c r="M8" s="22" t="str">
        <f t="shared" si="0"/>
        <v/>
      </c>
      <c r="N8" s="11" t="str">
        <f t="shared" si="1"/>
        <v/>
      </c>
      <c r="O8" s="11" t="str">
        <f t="shared" si="2"/>
        <v/>
      </c>
      <c r="P8" s="12"/>
    </row>
    <row r="9" spans="1:16">
      <c r="A9" s="20">
        <v>3</v>
      </c>
      <c r="B9" s="20" t="s">
        <v>142</v>
      </c>
      <c r="C9" s="20" t="s">
        <v>143</v>
      </c>
      <c r="D9" s="20" t="s">
        <v>30</v>
      </c>
      <c r="E9" s="20" t="s">
        <v>31</v>
      </c>
      <c r="F9" s="21"/>
      <c r="G9" s="21"/>
      <c r="H9" s="21"/>
      <c r="I9" s="21"/>
      <c r="J9" s="21"/>
      <c r="K9" s="21"/>
      <c r="L9" s="21"/>
      <c r="M9" s="22" t="str">
        <f t="shared" si="0"/>
        <v/>
      </c>
      <c r="N9" s="11" t="str">
        <f t="shared" si="1"/>
        <v/>
      </c>
      <c r="O9" s="11" t="str">
        <f t="shared" si="2"/>
        <v/>
      </c>
      <c r="P9" s="12"/>
    </row>
    <row r="10" spans="1:16">
      <c r="A10" s="20">
        <v>4</v>
      </c>
      <c r="B10" s="20" t="s">
        <v>144</v>
      </c>
      <c r="C10" s="20" t="s">
        <v>145</v>
      </c>
      <c r="D10" s="20" t="s">
        <v>30</v>
      </c>
      <c r="E10" s="20" t="s">
        <v>31</v>
      </c>
      <c r="F10" s="21"/>
      <c r="G10" s="21"/>
      <c r="H10" s="21"/>
      <c r="I10" s="21"/>
      <c r="J10" s="21"/>
      <c r="K10" s="21"/>
      <c r="L10" s="21"/>
      <c r="M10" s="22" t="str">
        <f t="shared" si="0"/>
        <v/>
      </c>
      <c r="N10" s="11" t="str">
        <f t="shared" si="1"/>
        <v/>
      </c>
      <c r="O10" s="11" t="str">
        <f t="shared" si="2"/>
        <v/>
      </c>
      <c r="P10" s="12"/>
    </row>
    <row r="11" spans="1:16">
      <c r="A11" s="20">
        <v>5</v>
      </c>
      <c r="B11" s="20" t="s">
        <v>146</v>
      </c>
      <c r="C11" s="20" t="s">
        <v>147</v>
      </c>
      <c r="D11" s="20" t="s">
        <v>30</v>
      </c>
      <c r="E11" s="20" t="s">
        <v>31</v>
      </c>
      <c r="F11" s="21"/>
      <c r="G11" s="21"/>
      <c r="H11" s="21"/>
      <c r="I11" s="21"/>
      <c r="J11" s="21"/>
      <c r="K11" s="21"/>
      <c r="L11" s="21"/>
      <c r="M11" s="22" t="str">
        <f t="shared" si="0"/>
        <v/>
      </c>
      <c r="N11" s="11" t="str">
        <f t="shared" si="1"/>
        <v/>
      </c>
      <c r="O11" s="11" t="str">
        <f t="shared" si="2"/>
        <v/>
      </c>
      <c r="P11" s="12"/>
    </row>
    <row r="12" spans="1:16">
      <c r="A12" s="20">
        <v>6</v>
      </c>
      <c r="B12" s="20" t="s">
        <v>148</v>
      </c>
      <c r="C12" s="20" t="s">
        <v>149</v>
      </c>
      <c r="D12" s="20" t="s">
        <v>30</v>
      </c>
      <c r="E12" s="20" t="s">
        <v>31</v>
      </c>
      <c r="F12" s="21"/>
      <c r="G12" s="21"/>
      <c r="H12" s="21"/>
      <c r="I12" s="21"/>
      <c r="J12" s="21"/>
      <c r="K12" s="21"/>
      <c r="L12" s="21"/>
      <c r="M12" s="22" t="str">
        <f t="shared" si="0"/>
        <v/>
      </c>
      <c r="N12" s="11" t="str">
        <f t="shared" si="1"/>
        <v/>
      </c>
      <c r="O12" s="11" t="str">
        <f t="shared" si="2"/>
        <v/>
      </c>
      <c r="P12" s="12"/>
    </row>
    <row r="13" spans="1:16">
      <c r="A13" s="20">
        <v>7</v>
      </c>
      <c r="B13" s="20" t="s">
        <v>150</v>
      </c>
      <c r="C13" s="20" t="s">
        <v>151</v>
      </c>
      <c r="D13" s="20" t="s">
        <v>100</v>
      </c>
      <c r="E13" s="20" t="s">
        <v>31</v>
      </c>
      <c r="F13" s="21"/>
      <c r="G13" s="21"/>
      <c r="H13" s="21"/>
      <c r="I13" s="21"/>
      <c r="J13" s="21"/>
      <c r="K13" s="21"/>
      <c r="L13" s="21"/>
      <c r="M13" s="22" t="str">
        <f t="shared" si="0"/>
        <v/>
      </c>
      <c r="N13" s="11" t="str">
        <f t="shared" si="1"/>
        <v/>
      </c>
      <c r="O13" s="11" t="str">
        <f t="shared" si="2"/>
        <v/>
      </c>
      <c r="P13" s="12"/>
    </row>
    <row r="14" spans="1:16">
      <c r="A14" s="20">
        <v>8</v>
      </c>
      <c r="B14" s="20" t="s">
        <v>152</v>
      </c>
      <c r="C14" s="20" t="s">
        <v>153</v>
      </c>
      <c r="D14" s="20" t="s">
        <v>30</v>
      </c>
      <c r="E14" s="20" t="s">
        <v>31</v>
      </c>
      <c r="F14" s="21"/>
      <c r="G14" s="21"/>
      <c r="H14" s="21"/>
      <c r="I14" s="21"/>
      <c r="J14" s="21"/>
      <c r="K14" s="21"/>
      <c r="L14" s="21"/>
      <c r="M14" s="22" t="str">
        <f t="shared" si="0"/>
        <v/>
      </c>
      <c r="N14" s="11" t="str">
        <f t="shared" si="1"/>
        <v/>
      </c>
      <c r="O14" s="11" t="str">
        <f t="shared" si="2"/>
        <v/>
      </c>
      <c r="P14" s="12"/>
    </row>
    <row r="15" spans="1:16">
      <c r="A15" s="20">
        <v>9</v>
      </c>
      <c r="B15" s="20" t="s">
        <v>154</v>
      </c>
      <c r="C15" s="20" t="s">
        <v>155</v>
      </c>
      <c r="D15" s="20" t="s">
        <v>30</v>
      </c>
      <c r="E15" s="20" t="s">
        <v>31</v>
      </c>
      <c r="F15" s="21"/>
      <c r="G15" s="21"/>
      <c r="H15" s="21"/>
      <c r="I15" s="21"/>
      <c r="J15" s="21"/>
      <c r="K15" s="21"/>
      <c r="L15" s="21"/>
      <c r="M15" s="22" t="str">
        <f t="shared" si="0"/>
        <v/>
      </c>
      <c r="N15" s="11" t="str">
        <f t="shared" si="1"/>
        <v/>
      </c>
      <c r="O15" s="11" t="str">
        <f t="shared" si="2"/>
        <v/>
      </c>
      <c r="P15" s="12"/>
    </row>
    <row r="16" spans="1:16">
      <c r="A16" s="20">
        <v>10</v>
      </c>
      <c r="B16" s="20" t="s">
        <v>156</v>
      </c>
      <c r="C16" s="20" t="s">
        <v>157</v>
      </c>
      <c r="D16" s="20" t="s">
        <v>30</v>
      </c>
      <c r="E16" s="20" t="s">
        <v>31</v>
      </c>
      <c r="F16" s="21"/>
      <c r="G16" s="21"/>
      <c r="H16" s="21"/>
      <c r="I16" s="21"/>
      <c r="J16" s="21"/>
      <c r="K16" s="21"/>
      <c r="L16" s="21"/>
      <c r="M16" s="22" t="str">
        <f t="shared" si="0"/>
        <v/>
      </c>
      <c r="N16" s="11" t="str">
        <f t="shared" si="1"/>
        <v/>
      </c>
      <c r="O16" s="11" t="str">
        <f t="shared" si="2"/>
        <v/>
      </c>
      <c r="P16" s="12"/>
    </row>
    <row r="17" spans="1:16">
      <c r="A17" s="20">
        <v>11</v>
      </c>
      <c r="B17" s="20" t="s">
        <v>158</v>
      </c>
      <c r="C17" s="20" t="s">
        <v>159</v>
      </c>
      <c r="D17" s="20" t="s">
        <v>30</v>
      </c>
      <c r="E17" s="20" t="s">
        <v>31</v>
      </c>
      <c r="F17" s="21"/>
      <c r="G17" s="21"/>
      <c r="H17" s="21"/>
      <c r="I17" s="21"/>
      <c r="J17" s="21"/>
      <c r="K17" s="21"/>
      <c r="L17" s="21"/>
      <c r="M17" s="22" t="str">
        <f t="shared" si="0"/>
        <v/>
      </c>
      <c r="N17" s="11" t="str">
        <f t="shared" si="1"/>
        <v/>
      </c>
      <c r="O17" s="11" t="str">
        <f t="shared" si="2"/>
        <v/>
      </c>
      <c r="P17" s="12"/>
    </row>
    <row r="18" spans="1:16">
      <c r="A18" s="20">
        <v>12</v>
      </c>
      <c r="B18" s="20" t="s">
        <v>160</v>
      </c>
      <c r="C18" s="20" t="s">
        <v>161</v>
      </c>
      <c r="D18" s="20" t="s">
        <v>30</v>
      </c>
      <c r="E18" s="20" t="s">
        <v>43</v>
      </c>
      <c r="F18" s="21"/>
      <c r="G18" s="21"/>
      <c r="H18" s="21"/>
      <c r="I18" s="21"/>
      <c r="J18" s="21"/>
      <c r="K18" s="21"/>
      <c r="L18" s="21"/>
      <c r="M18" s="22" t="str">
        <f t="shared" si="0"/>
        <v/>
      </c>
      <c r="N18" s="11" t="str">
        <f t="shared" si="1"/>
        <v/>
      </c>
      <c r="O18" s="11" t="str">
        <f t="shared" si="2"/>
        <v/>
      </c>
      <c r="P18" s="12"/>
    </row>
    <row r="19" spans="1:16">
      <c r="A19" s="20">
        <v>13</v>
      </c>
      <c r="B19" s="20" t="s">
        <v>162</v>
      </c>
      <c r="C19" s="20" t="s">
        <v>163</v>
      </c>
      <c r="D19" s="20" t="s">
        <v>30</v>
      </c>
      <c r="E19" s="20" t="s">
        <v>31</v>
      </c>
      <c r="F19" s="21"/>
      <c r="G19" s="21"/>
      <c r="H19" s="21"/>
      <c r="I19" s="21"/>
      <c r="J19" s="21"/>
      <c r="K19" s="21"/>
      <c r="L19" s="21"/>
      <c r="M19" s="22" t="str">
        <f t="shared" si="0"/>
        <v/>
      </c>
      <c r="N19" s="11" t="str">
        <f t="shared" si="1"/>
        <v/>
      </c>
      <c r="O19" s="11" t="str">
        <f t="shared" si="2"/>
        <v/>
      </c>
      <c r="P19" s="12"/>
    </row>
    <row r="20" spans="1:16">
      <c r="A20" s="20">
        <v>14</v>
      </c>
      <c r="B20" s="20" t="s">
        <v>164</v>
      </c>
      <c r="C20" s="20" t="s">
        <v>165</v>
      </c>
      <c r="D20" s="20" t="s">
        <v>30</v>
      </c>
      <c r="E20" s="20" t="s">
        <v>31</v>
      </c>
      <c r="F20" s="21"/>
      <c r="G20" s="21"/>
      <c r="H20" s="21"/>
      <c r="I20" s="21"/>
      <c r="J20" s="21"/>
      <c r="K20" s="21"/>
      <c r="L20" s="21"/>
      <c r="M20" s="22" t="str">
        <f t="shared" si="0"/>
        <v/>
      </c>
      <c r="N20" s="11" t="str">
        <f t="shared" si="1"/>
        <v/>
      </c>
      <c r="O20" s="11" t="str">
        <f t="shared" si="2"/>
        <v/>
      </c>
      <c r="P20" s="12"/>
    </row>
    <row r="21" spans="1:16">
      <c r="A21" s="20">
        <v>15</v>
      </c>
      <c r="B21" s="20" t="s">
        <v>166</v>
      </c>
      <c r="C21" s="20" t="s">
        <v>167</v>
      </c>
      <c r="D21" s="20" t="s">
        <v>30</v>
      </c>
      <c r="E21" s="20" t="s">
        <v>43</v>
      </c>
      <c r="F21" s="21"/>
      <c r="G21" s="21"/>
      <c r="H21" s="21"/>
      <c r="I21" s="21"/>
      <c r="J21" s="21"/>
      <c r="K21" s="21"/>
      <c r="L21" s="21"/>
      <c r="M21" s="22" t="str">
        <f t="shared" si="0"/>
        <v/>
      </c>
      <c r="N21" s="11" t="str">
        <f t="shared" si="1"/>
        <v/>
      </c>
      <c r="O21" s="11" t="str">
        <f t="shared" si="2"/>
        <v/>
      </c>
      <c r="P21" s="12"/>
    </row>
    <row r="22" spans="1:16">
      <c r="A22" s="20">
        <v>16</v>
      </c>
      <c r="B22" s="20" t="s">
        <v>168</v>
      </c>
      <c r="C22" s="20" t="s">
        <v>169</v>
      </c>
      <c r="D22" s="20" t="s">
        <v>30</v>
      </c>
      <c r="E22" s="20" t="s">
        <v>31</v>
      </c>
      <c r="F22" s="21"/>
      <c r="G22" s="21"/>
      <c r="H22" s="21"/>
      <c r="I22" s="21"/>
      <c r="J22" s="21"/>
      <c r="K22" s="21"/>
      <c r="L22" s="21"/>
      <c r="M22" s="22" t="str">
        <f t="shared" si="0"/>
        <v/>
      </c>
      <c r="N22" s="11" t="str">
        <f t="shared" si="1"/>
        <v/>
      </c>
      <c r="O22" s="11" t="str">
        <f t="shared" si="2"/>
        <v/>
      </c>
      <c r="P22" s="12"/>
    </row>
    <row r="23" spans="1:16">
      <c r="A23" s="20">
        <v>17</v>
      </c>
      <c r="B23" s="20" t="s">
        <v>170</v>
      </c>
      <c r="C23" s="20" t="s">
        <v>171</v>
      </c>
      <c r="D23" s="20" t="s">
        <v>30</v>
      </c>
      <c r="E23" s="20" t="s">
        <v>31</v>
      </c>
      <c r="F23" s="21"/>
      <c r="G23" s="21"/>
      <c r="H23" s="21"/>
      <c r="I23" s="21"/>
      <c r="J23" s="21"/>
      <c r="K23" s="21"/>
      <c r="L23" s="21"/>
      <c r="M23" s="22" t="str">
        <f t="shared" si="0"/>
        <v/>
      </c>
      <c r="N23" s="11" t="str">
        <f t="shared" si="1"/>
        <v/>
      </c>
      <c r="O23" s="11" t="str">
        <f t="shared" si="2"/>
        <v/>
      </c>
      <c r="P23" s="12"/>
    </row>
    <row r="24" spans="1:16">
      <c r="A24" s="20">
        <v>18</v>
      </c>
      <c r="B24" s="20" t="s">
        <v>172</v>
      </c>
      <c r="C24" s="20" t="s">
        <v>173</v>
      </c>
      <c r="D24" s="20" t="s">
        <v>30</v>
      </c>
      <c r="E24" s="20" t="s">
        <v>43</v>
      </c>
      <c r="F24" s="21"/>
      <c r="G24" s="21"/>
      <c r="H24" s="21"/>
      <c r="I24" s="21"/>
      <c r="J24" s="21"/>
      <c r="K24" s="21"/>
      <c r="L24" s="21"/>
      <c r="M24" s="22" t="str">
        <f t="shared" si="0"/>
        <v/>
      </c>
      <c r="N24" s="11" t="str">
        <f t="shared" si="1"/>
        <v/>
      </c>
      <c r="O24" s="11" t="str">
        <f t="shared" si="2"/>
        <v/>
      </c>
      <c r="P24" s="12"/>
    </row>
    <row r="25" spans="1:16">
      <c r="A25" s="20">
        <v>19</v>
      </c>
      <c r="B25" s="20" t="s">
        <v>174</v>
      </c>
      <c r="C25" s="20" t="s">
        <v>175</v>
      </c>
      <c r="D25" s="20" t="s">
        <v>30</v>
      </c>
      <c r="E25" s="20" t="s">
        <v>31</v>
      </c>
      <c r="F25" s="21"/>
      <c r="G25" s="21"/>
      <c r="H25" s="21"/>
      <c r="I25" s="21"/>
      <c r="J25" s="21"/>
      <c r="K25" s="21"/>
      <c r="L25" s="21"/>
      <c r="M25" s="22" t="str">
        <f t="shared" si="0"/>
        <v/>
      </c>
      <c r="N25" s="11" t="str">
        <f t="shared" si="1"/>
        <v/>
      </c>
      <c r="O25" s="11" t="str">
        <f t="shared" si="2"/>
        <v/>
      </c>
      <c r="P25" s="12"/>
    </row>
    <row r="26" spans="1:16">
      <c r="A26" s="20">
        <v>20</v>
      </c>
      <c r="B26" s="20" t="s">
        <v>176</v>
      </c>
      <c r="C26" s="20" t="s">
        <v>177</v>
      </c>
      <c r="D26" s="20" t="s">
        <v>30</v>
      </c>
      <c r="E26" s="20" t="s">
        <v>31</v>
      </c>
      <c r="F26" s="21"/>
      <c r="G26" s="21"/>
      <c r="H26" s="21"/>
      <c r="I26" s="21"/>
      <c r="J26" s="21"/>
      <c r="K26" s="21"/>
      <c r="L26" s="21"/>
      <c r="M26" s="22" t="str">
        <f t="shared" si="0"/>
        <v/>
      </c>
      <c r="N26" s="11" t="str">
        <f t="shared" si="1"/>
        <v/>
      </c>
      <c r="O26" s="11" t="str">
        <f t="shared" si="2"/>
        <v/>
      </c>
      <c r="P26" s="12"/>
    </row>
    <row r="27" spans="1:16">
      <c r="A27" s="20">
        <v>21</v>
      </c>
      <c r="B27" s="20" t="s">
        <v>178</v>
      </c>
      <c r="C27" s="20" t="s">
        <v>179</v>
      </c>
      <c r="D27" s="20" t="s">
        <v>30</v>
      </c>
      <c r="E27" s="20" t="s">
        <v>31</v>
      </c>
      <c r="F27" s="21"/>
      <c r="G27" s="21"/>
      <c r="H27" s="21"/>
      <c r="I27" s="21"/>
      <c r="J27" s="21"/>
      <c r="K27" s="21"/>
      <c r="L27" s="21"/>
      <c r="M27" s="22" t="str">
        <f t="shared" si="0"/>
        <v/>
      </c>
      <c r="N27" s="11" t="str">
        <f t="shared" si="1"/>
        <v/>
      </c>
      <c r="O27" s="11" t="str">
        <f t="shared" si="2"/>
        <v/>
      </c>
      <c r="P27" s="12"/>
    </row>
    <row r="28" spans="1:16">
      <c r="A28" s="20">
        <v>22</v>
      </c>
      <c r="B28" s="20" t="s">
        <v>180</v>
      </c>
      <c r="C28" s="20" t="s">
        <v>181</v>
      </c>
      <c r="D28" s="20" t="s">
        <v>30</v>
      </c>
      <c r="E28" s="20" t="s">
        <v>31</v>
      </c>
      <c r="F28" s="21"/>
      <c r="G28" s="21"/>
      <c r="H28" s="21"/>
      <c r="I28" s="21"/>
      <c r="J28" s="21"/>
      <c r="K28" s="21"/>
      <c r="L28" s="21"/>
      <c r="M28" s="22" t="str">
        <f t="shared" si="0"/>
        <v/>
      </c>
      <c r="N28" s="11" t="str">
        <f t="shared" si="1"/>
        <v/>
      </c>
      <c r="O28" s="11" t="str">
        <f t="shared" si="2"/>
        <v/>
      </c>
      <c r="P28" s="12"/>
    </row>
    <row r="29" spans="1:16">
      <c r="A29" s="20">
        <v>23</v>
      </c>
      <c r="B29" s="20" t="s">
        <v>182</v>
      </c>
      <c r="C29" s="20" t="s">
        <v>183</v>
      </c>
      <c r="D29" s="20" t="s">
        <v>30</v>
      </c>
      <c r="E29" s="20" t="s">
        <v>31</v>
      </c>
      <c r="F29" s="21"/>
      <c r="G29" s="21"/>
      <c r="H29" s="21"/>
      <c r="I29" s="21"/>
      <c r="J29" s="21"/>
      <c r="K29" s="21"/>
      <c r="L29" s="21"/>
      <c r="M29" s="22" t="str">
        <f t="shared" si="0"/>
        <v/>
      </c>
      <c r="N29" s="11" t="str">
        <f t="shared" si="1"/>
        <v/>
      </c>
      <c r="O29" s="11" t="str">
        <f t="shared" si="2"/>
        <v/>
      </c>
      <c r="P29" s="12"/>
    </row>
    <row r="30" spans="1:16">
      <c r="A30" s="20">
        <v>24</v>
      </c>
      <c r="B30" s="20" t="s">
        <v>184</v>
      </c>
      <c r="C30" s="20" t="s">
        <v>185</v>
      </c>
      <c r="D30" s="20" t="s">
        <v>30</v>
      </c>
      <c r="E30" s="20" t="s">
        <v>31</v>
      </c>
      <c r="F30" s="21"/>
      <c r="G30" s="21"/>
      <c r="H30" s="21"/>
      <c r="I30" s="21"/>
      <c r="J30" s="21"/>
      <c r="K30" s="21"/>
      <c r="L30" s="21"/>
      <c r="M30" s="22" t="str">
        <f t="shared" si="0"/>
        <v/>
      </c>
      <c r="N30" s="11" t="str">
        <f t="shared" si="1"/>
        <v/>
      </c>
      <c r="O30" s="11" t="str">
        <f t="shared" si="2"/>
        <v/>
      </c>
      <c r="P30" s="12"/>
    </row>
    <row r="31" spans="1:16">
      <c r="A31" s="20">
        <v>25</v>
      </c>
      <c r="B31" s="20" t="s">
        <v>186</v>
      </c>
      <c r="C31" s="20" t="s">
        <v>187</v>
      </c>
      <c r="D31" s="20" t="s">
        <v>100</v>
      </c>
      <c r="E31" s="20" t="s">
        <v>31</v>
      </c>
      <c r="F31" s="21"/>
      <c r="G31" s="21"/>
      <c r="H31" s="21"/>
      <c r="I31" s="21"/>
      <c r="J31" s="21"/>
      <c r="K31" s="21"/>
      <c r="L31" s="21"/>
      <c r="M31" s="22" t="str">
        <f t="shared" si="0"/>
        <v/>
      </c>
      <c r="N31" s="11" t="str">
        <f t="shared" si="1"/>
        <v/>
      </c>
      <c r="O31" s="11" t="str">
        <f t="shared" si="2"/>
        <v/>
      </c>
      <c r="P31" s="12"/>
    </row>
    <row r="32" spans="1:16">
      <c r="A32" s="20">
        <v>26</v>
      </c>
      <c r="B32" s="20" t="s">
        <v>188</v>
      </c>
      <c r="C32" s="20" t="s">
        <v>189</v>
      </c>
      <c r="D32" s="20" t="s">
        <v>30</v>
      </c>
      <c r="E32" s="20" t="s">
        <v>31</v>
      </c>
      <c r="F32" s="21"/>
      <c r="G32" s="21"/>
      <c r="H32" s="21"/>
      <c r="I32" s="21"/>
      <c r="J32" s="21"/>
      <c r="K32" s="21"/>
      <c r="L32" s="21"/>
      <c r="M32" s="22" t="str">
        <f t="shared" si="0"/>
        <v/>
      </c>
      <c r="N32" s="11" t="str">
        <f t="shared" si="1"/>
        <v/>
      </c>
      <c r="O32" s="11" t="str">
        <f t="shared" si="2"/>
        <v/>
      </c>
      <c r="P32" s="12"/>
    </row>
    <row r="33" spans="1:16">
      <c r="A33" s="20">
        <v>27</v>
      </c>
      <c r="B33" s="20" t="s">
        <v>190</v>
      </c>
      <c r="C33" s="20" t="s">
        <v>191</v>
      </c>
      <c r="D33" s="20" t="s">
        <v>30</v>
      </c>
      <c r="E33" s="20" t="s">
        <v>43</v>
      </c>
      <c r="F33" s="21"/>
      <c r="G33" s="21"/>
      <c r="H33" s="21"/>
      <c r="I33" s="21"/>
      <c r="J33" s="21"/>
      <c r="K33" s="21"/>
      <c r="L33" s="21"/>
      <c r="M33" s="22" t="str">
        <f t="shared" si="0"/>
        <v/>
      </c>
      <c r="N33" s="11" t="str">
        <f t="shared" si="1"/>
        <v/>
      </c>
      <c r="O33" s="11" t="str">
        <f t="shared" si="2"/>
        <v/>
      </c>
      <c r="P33" s="12"/>
    </row>
    <row r="34" spans="1:16">
      <c r="A34" s="20">
        <v>28</v>
      </c>
      <c r="B34" s="20" t="s">
        <v>192</v>
      </c>
      <c r="C34" s="20" t="s">
        <v>193</v>
      </c>
      <c r="D34" s="20" t="s">
        <v>30</v>
      </c>
      <c r="E34" s="20" t="s">
        <v>31</v>
      </c>
      <c r="F34" s="21"/>
      <c r="G34" s="21"/>
      <c r="H34" s="21"/>
      <c r="I34" s="21"/>
      <c r="J34" s="21"/>
      <c r="K34" s="21"/>
      <c r="L34" s="21"/>
      <c r="M34" s="22" t="str">
        <f t="shared" si="0"/>
        <v/>
      </c>
      <c r="N34" s="11" t="str">
        <f t="shared" si="1"/>
        <v/>
      </c>
      <c r="O34" s="11" t="str">
        <f t="shared" si="2"/>
        <v/>
      </c>
      <c r="P34" s="12"/>
    </row>
    <row r="36" spans="1:16">
      <c r="A36" s="16" t="s">
        <v>79</v>
      </c>
      <c r="B36" s="16"/>
      <c r="C36" s="16"/>
      <c r="D36" s="16"/>
      <c r="E36" s="16"/>
      <c r="M36" s="16" t="s">
        <v>80</v>
      </c>
      <c r="N36" s="16"/>
      <c r="O36" s="16"/>
      <c r="P36" s="16"/>
    </row>
  </sheetData>
  <mergeCells count="4">
    <mergeCell ref="A1:P1"/>
    <mergeCell ref="A2:P2"/>
    <mergeCell ref="A36:E36"/>
    <mergeCell ref="M36:P36"/>
  </mergeCells>
  <dataValidations count="1">
    <dataValidation type="list" sqref="F7:L34" xr:uid="{00000000-0002-0000-0200-000000000000}">
      <formula1>"1,2,3,4,5"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6"/>
  <sheetViews>
    <sheetView workbookViewId="0">
      <selection activeCell="B7" sqref="B7:M14"/>
    </sheetView>
  </sheetViews>
  <sheetFormatPr defaultRowHeight="14.25"/>
  <cols>
    <col min="1" max="1" width="5" customWidth="1"/>
    <col min="2" max="2" width="18" customWidth="1"/>
    <col min="3" max="3" width="26" customWidth="1"/>
    <col min="4" max="4" width="9" customWidth="1"/>
    <col min="5" max="5" width="6" customWidth="1"/>
    <col min="6" max="6" width="10.25" bestFit="1" customWidth="1"/>
    <col min="7" max="8" width="9.375" bestFit="1" customWidth="1"/>
    <col min="9" max="9" width="10.375" customWidth="1"/>
    <col min="10" max="10" width="10.125" customWidth="1"/>
    <col min="11" max="11" width="10.75" customWidth="1"/>
    <col min="12" max="12" width="11.25" customWidth="1"/>
    <col min="13" max="15" width="12" customWidth="1"/>
    <col min="16" max="16" width="20" customWidth="1"/>
  </cols>
  <sheetData>
    <row r="1" spans="1:16" ht="18">
      <c r="A1" s="15" t="s">
        <v>194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6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195</v>
      </c>
      <c r="G4" s="2" t="s">
        <v>196</v>
      </c>
      <c r="H4" s="2" t="s">
        <v>197</v>
      </c>
      <c r="I4" s="2" t="s">
        <v>198</v>
      </c>
      <c r="J4" s="2" t="s">
        <v>199</v>
      </c>
      <c r="K4" s="2" t="s">
        <v>200</v>
      </c>
      <c r="L4" s="2" t="s">
        <v>201</v>
      </c>
      <c r="M4" s="2" t="s">
        <v>15</v>
      </c>
      <c r="N4" s="2" t="s">
        <v>16</v>
      </c>
      <c r="O4" s="2" t="s">
        <v>17</v>
      </c>
      <c r="P4" s="3" t="s">
        <v>18</v>
      </c>
    </row>
    <row r="5" spans="1:16" ht="54.95" customHeight="1">
      <c r="A5" s="4"/>
      <c r="B5" s="5"/>
      <c r="C5" s="5"/>
      <c r="D5" s="5"/>
      <c r="E5" s="5"/>
      <c r="F5" s="5" t="s">
        <v>202</v>
      </c>
      <c r="G5" s="5" t="s">
        <v>203</v>
      </c>
      <c r="H5" s="5" t="s">
        <v>204</v>
      </c>
      <c r="I5" s="5" t="s">
        <v>205</v>
      </c>
      <c r="J5" s="5" t="s">
        <v>206</v>
      </c>
      <c r="K5" s="5" t="s">
        <v>207</v>
      </c>
      <c r="L5" s="5" t="s">
        <v>208</v>
      </c>
      <c r="M5" s="5"/>
      <c r="N5" s="5"/>
      <c r="O5" s="5"/>
      <c r="P5" s="6"/>
    </row>
    <row r="6" spans="1:16">
      <c r="A6" s="7"/>
      <c r="B6" s="19"/>
      <c r="C6" s="19"/>
      <c r="D6" s="19"/>
      <c r="E6" s="19"/>
      <c r="F6" s="19">
        <v>12</v>
      </c>
      <c r="G6" s="19">
        <v>20</v>
      </c>
      <c r="H6" s="19">
        <v>18</v>
      </c>
      <c r="I6" s="19">
        <v>15</v>
      </c>
      <c r="J6" s="19">
        <v>15</v>
      </c>
      <c r="K6" s="19">
        <v>10</v>
      </c>
      <c r="L6" s="19">
        <v>10</v>
      </c>
      <c r="M6" s="19" t="s">
        <v>27</v>
      </c>
      <c r="N6" s="8"/>
      <c r="O6" s="8"/>
      <c r="P6" s="9"/>
    </row>
    <row r="7" spans="1:16">
      <c r="A7" s="10">
        <v>1</v>
      </c>
      <c r="B7" s="20" t="s">
        <v>209</v>
      </c>
      <c r="C7" s="20" t="s">
        <v>210</v>
      </c>
      <c r="D7" s="20" t="s">
        <v>100</v>
      </c>
      <c r="E7" s="20" t="s">
        <v>31</v>
      </c>
      <c r="F7" s="21"/>
      <c r="G7" s="21"/>
      <c r="H7" s="21"/>
      <c r="I7" s="21"/>
      <c r="J7" s="21"/>
      <c r="K7" s="21"/>
      <c r="L7" s="21"/>
      <c r="M7" s="22" t="str">
        <f t="shared" ref="M7:M14" si="0">IF(COUNT(F7:L7)&lt;7,"",F7/5*12+G7/5*20+H7/5*18+I7/5*15+J7/5*15+K7/5*10+L7/5*10)</f>
        <v/>
      </c>
      <c r="N7" s="11" t="str">
        <f t="shared" ref="N7:N14" si="1">IF(M7="","",IF(M7&gt;=90,"Sangat Baik",IF(M7&gt;=80,"Baik",IF(M7&gt;=70,"Cukup","Perlu Pembinaan"))))</f>
        <v/>
      </c>
      <c r="O7" s="11" t="str">
        <f t="shared" ref="O7:O14" si="2">IF(M7="","",IF(M7&gt;=80,"LULUS",IF(M7&gt;=70,"REMEDIAL","BELUM LULUS")))</f>
        <v/>
      </c>
      <c r="P7" s="12"/>
    </row>
    <row r="8" spans="1:16">
      <c r="A8" s="10">
        <v>2</v>
      </c>
      <c r="B8" s="20" t="s">
        <v>211</v>
      </c>
      <c r="C8" s="20" t="s">
        <v>212</v>
      </c>
      <c r="D8" s="20" t="s">
        <v>100</v>
      </c>
      <c r="E8" s="20" t="s">
        <v>31</v>
      </c>
      <c r="F8" s="21"/>
      <c r="G8" s="21"/>
      <c r="H8" s="21"/>
      <c r="I8" s="21"/>
      <c r="J8" s="21"/>
      <c r="K8" s="21"/>
      <c r="L8" s="21"/>
      <c r="M8" s="22" t="str">
        <f t="shared" si="0"/>
        <v/>
      </c>
      <c r="N8" s="11" t="str">
        <f t="shared" si="1"/>
        <v/>
      </c>
      <c r="O8" s="11" t="str">
        <f t="shared" si="2"/>
        <v/>
      </c>
      <c r="P8" s="12"/>
    </row>
    <row r="9" spans="1:16">
      <c r="A9" s="10">
        <v>3</v>
      </c>
      <c r="B9" s="20" t="s">
        <v>213</v>
      </c>
      <c r="C9" s="20" t="s">
        <v>214</v>
      </c>
      <c r="D9" s="20" t="s">
        <v>100</v>
      </c>
      <c r="E9" s="20" t="s">
        <v>31</v>
      </c>
      <c r="F9" s="21"/>
      <c r="G9" s="21"/>
      <c r="H9" s="21"/>
      <c r="I9" s="21"/>
      <c r="J9" s="21"/>
      <c r="K9" s="21"/>
      <c r="L9" s="21"/>
      <c r="M9" s="22" t="str">
        <f t="shared" si="0"/>
        <v/>
      </c>
      <c r="N9" s="11" t="str">
        <f t="shared" si="1"/>
        <v/>
      </c>
      <c r="O9" s="11" t="str">
        <f t="shared" si="2"/>
        <v/>
      </c>
      <c r="P9" s="12"/>
    </row>
    <row r="10" spans="1:16">
      <c r="A10" s="10">
        <v>4</v>
      </c>
      <c r="B10" s="20" t="s">
        <v>215</v>
      </c>
      <c r="C10" s="20" t="s">
        <v>216</v>
      </c>
      <c r="D10" s="20" t="s">
        <v>100</v>
      </c>
      <c r="E10" s="20" t="s">
        <v>31</v>
      </c>
      <c r="F10" s="21"/>
      <c r="G10" s="21"/>
      <c r="H10" s="21"/>
      <c r="I10" s="21"/>
      <c r="J10" s="21"/>
      <c r="K10" s="21"/>
      <c r="L10" s="21"/>
      <c r="M10" s="22" t="str">
        <f t="shared" si="0"/>
        <v/>
      </c>
      <c r="N10" s="11" t="str">
        <f t="shared" si="1"/>
        <v/>
      </c>
      <c r="O10" s="11" t="str">
        <f t="shared" si="2"/>
        <v/>
      </c>
      <c r="P10" s="12"/>
    </row>
    <row r="11" spans="1:16">
      <c r="A11" s="10">
        <v>5</v>
      </c>
      <c r="B11" s="20" t="s">
        <v>217</v>
      </c>
      <c r="C11" s="20" t="s">
        <v>218</v>
      </c>
      <c r="D11" s="20" t="s">
        <v>219</v>
      </c>
      <c r="E11" s="20" t="s">
        <v>31</v>
      </c>
      <c r="F11" s="21"/>
      <c r="G11" s="21"/>
      <c r="H11" s="21"/>
      <c r="I11" s="21"/>
      <c r="J11" s="21"/>
      <c r="K11" s="21"/>
      <c r="L11" s="21"/>
      <c r="M11" s="22" t="str">
        <f t="shared" si="0"/>
        <v/>
      </c>
      <c r="N11" s="11" t="str">
        <f t="shared" si="1"/>
        <v/>
      </c>
      <c r="O11" s="11" t="str">
        <f t="shared" si="2"/>
        <v/>
      </c>
      <c r="P11" s="12"/>
    </row>
    <row r="12" spans="1:16">
      <c r="A12" s="10">
        <v>6</v>
      </c>
      <c r="B12" s="20" t="s">
        <v>220</v>
      </c>
      <c r="C12" s="20" t="s">
        <v>221</v>
      </c>
      <c r="D12" s="20" t="s">
        <v>100</v>
      </c>
      <c r="E12" s="20" t="s">
        <v>31</v>
      </c>
      <c r="F12" s="21"/>
      <c r="G12" s="21"/>
      <c r="H12" s="21"/>
      <c r="I12" s="21"/>
      <c r="J12" s="21"/>
      <c r="K12" s="21"/>
      <c r="L12" s="21"/>
      <c r="M12" s="22" t="str">
        <f t="shared" si="0"/>
        <v/>
      </c>
      <c r="N12" s="11" t="str">
        <f t="shared" si="1"/>
        <v/>
      </c>
      <c r="O12" s="11" t="str">
        <f t="shared" si="2"/>
        <v/>
      </c>
      <c r="P12" s="12"/>
    </row>
    <row r="13" spans="1:16">
      <c r="A13" s="10">
        <v>7</v>
      </c>
      <c r="B13" s="20" t="s">
        <v>222</v>
      </c>
      <c r="C13" s="20" t="s">
        <v>223</v>
      </c>
      <c r="D13" s="20" t="s">
        <v>100</v>
      </c>
      <c r="E13" s="20" t="s">
        <v>43</v>
      </c>
      <c r="F13" s="21"/>
      <c r="G13" s="21"/>
      <c r="H13" s="21"/>
      <c r="I13" s="21"/>
      <c r="J13" s="21"/>
      <c r="K13" s="21"/>
      <c r="L13" s="21"/>
      <c r="M13" s="22" t="str">
        <f t="shared" si="0"/>
        <v/>
      </c>
      <c r="N13" s="11" t="str">
        <f t="shared" si="1"/>
        <v/>
      </c>
      <c r="O13" s="11" t="str">
        <f t="shared" si="2"/>
        <v/>
      </c>
      <c r="P13" s="12"/>
    </row>
    <row r="14" spans="1:16">
      <c r="A14" s="10">
        <v>8</v>
      </c>
      <c r="B14" s="20" t="s">
        <v>224</v>
      </c>
      <c r="C14" s="20" t="s">
        <v>225</v>
      </c>
      <c r="D14" s="20" t="s">
        <v>100</v>
      </c>
      <c r="E14" s="20" t="s">
        <v>31</v>
      </c>
      <c r="F14" s="21"/>
      <c r="G14" s="21"/>
      <c r="H14" s="21"/>
      <c r="I14" s="21"/>
      <c r="J14" s="21"/>
      <c r="K14" s="21"/>
      <c r="L14" s="21"/>
      <c r="M14" s="22" t="str">
        <f t="shared" si="0"/>
        <v/>
      </c>
      <c r="N14" s="11" t="str">
        <f t="shared" si="1"/>
        <v/>
      </c>
      <c r="O14" s="11" t="str">
        <f t="shared" si="2"/>
        <v/>
      </c>
      <c r="P14" s="12"/>
    </row>
    <row r="16" spans="1:16">
      <c r="A16" s="16" t="s">
        <v>79</v>
      </c>
      <c r="B16" s="16"/>
      <c r="C16" s="16"/>
      <c r="D16" s="16"/>
      <c r="E16" s="16"/>
      <c r="M16" s="16" t="s">
        <v>80</v>
      </c>
      <c r="N16" s="16"/>
      <c r="O16" s="16"/>
      <c r="P16" s="16"/>
    </row>
  </sheetData>
  <mergeCells count="4">
    <mergeCell ref="A1:P1"/>
    <mergeCell ref="A2:P2"/>
    <mergeCell ref="A16:E16"/>
    <mergeCell ref="M16:P16"/>
  </mergeCells>
  <dataValidations count="1">
    <dataValidation type="list" sqref="F7:L14" xr:uid="{00000000-0002-0000-0300-000000000000}">
      <formula1>"1,2,3,4,5"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8"/>
  <sheetViews>
    <sheetView workbookViewId="0">
      <selection sqref="A1:P1"/>
    </sheetView>
  </sheetViews>
  <sheetFormatPr defaultRowHeight="14.25"/>
  <cols>
    <col min="1" max="1" width="5" customWidth="1"/>
    <col min="2" max="2" width="18" customWidth="1"/>
    <col min="3" max="3" width="26" customWidth="1"/>
    <col min="4" max="4" width="9" customWidth="1"/>
    <col min="5" max="5" width="6" customWidth="1"/>
    <col min="6" max="12" width="8" customWidth="1"/>
    <col min="13" max="15" width="12" customWidth="1"/>
    <col min="16" max="16" width="20" customWidth="1"/>
  </cols>
  <sheetData>
    <row r="1" spans="1:16" ht="18">
      <c r="A1" s="15" t="s">
        <v>226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6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227</v>
      </c>
      <c r="G4" s="2" t="s">
        <v>228</v>
      </c>
      <c r="H4" s="2" t="s">
        <v>229</v>
      </c>
      <c r="I4" s="2" t="s">
        <v>230</v>
      </c>
      <c r="J4" s="2" t="s">
        <v>231</v>
      </c>
      <c r="K4" s="2" t="s">
        <v>232</v>
      </c>
      <c r="L4" s="2" t="s">
        <v>233</v>
      </c>
      <c r="M4" s="2" t="s">
        <v>15</v>
      </c>
      <c r="N4" s="2" t="s">
        <v>16</v>
      </c>
      <c r="O4" s="2" t="s">
        <v>17</v>
      </c>
      <c r="P4" s="3" t="s">
        <v>18</v>
      </c>
    </row>
    <row r="5" spans="1:16" ht="54.95" customHeight="1">
      <c r="A5" s="4"/>
      <c r="B5" s="5"/>
      <c r="C5" s="5"/>
      <c r="D5" s="5"/>
      <c r="E5" s="5"/>
      <c r="F5" s="5" t="s">
        <v>234</v>
      </c>
      <c r="G5" s="5" t="s">
        <v>235</v>
      </c>
      <c r="H5" s="5" t="s">
        <v>236</v>
      </c>
      <c r="I5" s="5" t="s">
        <v>237</v>
      </c>
      <c r="J5" s="5" t="s">
        <v>238</v>
      </c>
      <c r="K5" s="5" t="s">
        <v>239</v>
      </c>
      <c r="L5" s="5" t="s">
        <v>240</v>
      </c>
      <c r="M5" s="5"/>
      <c r="N5" s="5"/>
      <c r="O5" s="5"/>
      <c r="P5" s="6"/>
    </row>
    <row r="6" spans="1:16">
      <c r="A6" s="7"/>
      <c r="B6" s="8"/>
      <c r="C6" s="8"/>
      <c r="D6" s="8"/>
      <c r="E6" s="8"/>
      <c r="F6" s="8">
        <v>10</v>
      </c>
      <c r="G6" s="8">
        <v>20</v>
      </c>
      <c r="H6" s="8">
        <v>15</v>
      </c>
      <c r="I6" s="8">
        <v>20</v>
      </c>
      <c r="J6" s="8">
        <v>15</v>
      </c>
      <c r="K6" s="8">
        <v>10</v>
      </c>
      <c r="L6" s="8">
        <v>10</v>
      </c>
      <c r="M6" s="8" t="s">
        <v>27</v>
      </c>
      <c r="N6" s="8"/>
      <c r="O6" s="8"/>
      <c r="P6" s="9"/>
    </row>
    <row r="7" spans="1:16">
      <c r="A7" s="10">
        <v>1</v>
      </c>
      <c r="B7" s="11" t="s">
        <v>241</v>
      </c>
      <c r="C7" s="11" t="s">
        <v>242</v>
      </c>
      <c r="D7" s="11" t="s">
        <v>30</v>
      </c>
      <c r="E7" s="11" t="s">
        <v>43</v>
      </c>
      <c r="F7" s="13"/>
      <c r="G7" s="13"/>
      <c r="H7" s="13"/>
      <c r="I7" s="13"/>
      <c r="J7" s="13"/>
      <c r="K7" s="13"/>
      <c r="L7" s="13"/>
      <c r="M7" s="14" t="str">
        <f t="shared" ref="M7:M16" si="0">IF(COUNT(F7:L7)&lt;7,"",F7/5*10+G7/5*20+H7/5*15+I7/5*20+J7/5*15+K7/5*10+L7/5*10)</f>
        <v/>
      </c>
      <c r="N7" s="11" t="str">
        <f t="shared" ref="N7:N16" si="1">IF(M7="","",IF(M7&gt;=90,"Sangat Baik",IF(M7&gt;=80,"Baik",IF(M7&gt;=70,"Cukup","Perlu Pembinaan"))))</f>
        <v/>
      </c>
      <c r="O7" s="11" t="str">
        <f t="shared" ref="O7:O16" si="2">IF(M7="","",IF(M7&gt;=80,"LULUS",IF(M7&gt;=70,"REMEDIAL","BELUM LULUS")))</f>
        <v/>
      </c>
      <c r="P7" s="12"/>
    </row>
    <row r="8" spans="1:16">
      <c r="A8" s="10">
        <v>2</v>
      </c>
      <c r="B8" s="11" t="s">
        <v>243</v>
      </c>
      <c r="C8" s="11" t="s">
        <v>244</v>
      </c>
      <c r="D8" s="11" t="s">
        <v>100</v>
      </c>
      <c r="E8" s="11" t="s">
        <v>31</v>
      </c>
      <c r="F8" s="13"/>
      <c r="G8" s="13"/>
      <c r="H8" s="13"/>
      <c r="I8" s="13"/>
      <c r="J8" s="13"/>
      <c r="K8" s="13"/>
      <c r="L8" s="13"/>
      <c r="M8" s="14" t="str">
        <f t="shared" si="0"/>
        <v/>
      </c>
      <c r="N8" s="11" t="str">
        <f t="shared" si="1"/>
        <v/>
      </c>
      <c r="O8" s="11" t="str">
        <f t="shared" si="2"/>
        <v/>
      </c>
      <c r="P8" s="12"/>
    </row>
    <row r="9" spans="1:16">
      <c r="A9" s="10">
        <v>3</v>
      </c>
      <c r="B9" s="11" t="s">
        <v>245</v>
      </c>
      <c r="C9" s="11" t="s">
        <v>246</v>
      </c>
      <c r="D9" s="11" t="s">
        <v>100</v>
      </c>
      <c r="E9" s="11" t="s">
        <v>31</v>
      </c>
      <c r="F9" s="13"/>
      <c r="G9" s="13"/>
      <c r="H9" s="13"/>
      <c r="I9" s="13"/>
      <c r="J9" s="13"/>
      <c r="K9" s="13"/>
      <c r="L9" s="13"/>
      <c r="M9" s="14" t="str">
        <f t="shared" si="0"/>
        <v/>
      </c>
      <c r="N9" s="11" t="str">
        <f t="shared" si="1"/>
        <v/>
      </c>
      <c r="O9" s="11" t="str">
        <f t="shared" si="2"/>
        <v/>
      </c>
      <c r="P9" s="12"/>
    </row>
    <row r="10" spans="1:16">
      <c r="A10" s="10">
        <v>4</v>
      </c>
      <c r="B10" s="11" t="s">
        <v>247</v>
      </c>
      <c r="C10" s="11" t="s">
        <v>248</v>
      </c>
      <c r="D10" s="11" t="s">
        <v>100</v>
      </c>
      <c r="E10" s="11" t="s">
        <v>31</v>
      </c>
      <c r="F10" s="13"/>
      <c r="G10" s="13"/>
      <c r="H10" s="13"/>
      <c r="I10" s="13"/>
      <c r="J10" s="13"/>
      <c r="K10" s="13"/>
      <c r="L10" s="13"/>
      <c r="M10" s="14" t="str">
        <f t="shared" si="0"/>
        <v/>
      </c>
      <c r="N10" s="11" t="str">
        <f t="shared" si="1"/>
        <v/>
      </c>
      <c r="O10" s="11" t="str">
        <f t="shared" si="2"/>
        <v/>
      </c>
      <c r="P10" s="12"/>
    </row>
    <row r="11" spans="1:16">
      <c r="A11" s="10">
        <v>5</v>
      </c>
      <c r="B11" s="11" t="s">
        <v>249</v>
      </c>
      <c r="C11" s="11" t="s">
        <v>250</v>
      </c>
      <c r="D11" s="11" t="s">
        <v>30</v>
      </c>
      <c r="E11" s="11" t="s">
        <v>31</v>
      </c>
      <c r="F11" s="13"/>
      <c r="G11" s="13"/>
      <c r="H11" s="13"/>
      <c r="I11" s="13"/>
      <c r="J11" s="13"/>
      <c r="K11" s="13"/>
      <c r="L11" s="13"/>
      <c r="M11" s="14" t="str">
        <f t="shared" si="0"/>
        <v/>
      </c>
      <c r="N11" s="11" t="str">
        <f t="shared" si="1"/>
        <v/>
      </c>
      <c r="O11" s="11" t="str">
        <f t="shared" si="2"/>
        <v/>
      </c>
      <c r="P11" s="12"/>
    </row>
    <row r="12" spans="1:16">
      <c r="A12" s="10">
        <v>6</v>
      </c>
      <c r="B12" s="11" t="s">
        <v>251</v>
      </c>
      <c r="C12" s="11" t="s">
        <v>252</v>
      </c>
      <c r="D12" s="11" t="s">
        <v>30</v>
      </c>
      <c r="E12" s="11" t="s">
        <v>31</v>
      </c>
      <c r="F12" s="13"/>
      <c r="G12" s="13"/>
      <c r="H12" s="13"/>
      <c r="I12" s="13"/>
      <c r="J12" s="13"/>
      <c r="K12" s="13"/>
      <c r="L12" s="13"/>
      <c r="M12" s="14" t="str">
        <f t="shared" si="0"/>
        <v/>
      </c>
      <c r="N12" s="11" t="str">
        <f t="shared" si="1"/>
        <v/>
      </c>
      <c r="O12" s="11" t="str">
        <f t="shared" si="2"/>
        <v/>
      </c>
      <c r="P12" s="12"/>
    </row>
    <row r="13" spans="1:16">
      <c r="A13" s="10">
        <v>7</v>
      </c>
      <c r="B13" s="11" t="s">
        <v>253</v>
      </c>
      <c r="C13" s="11" t="s">
        <v>254</v>
      </c>
      <c r="D13" s="11" t="s">
        <v>30</v>
      </c>
      <c r="E13" s="11" t="s">
        <v>31</v>
      </c>
      <c r="F13" s="13"/>
      <c r="G13" s="13"/>
      <c r="H13" s="13"/>
      <c r="I13" s="13"/>
      <c r="J13" s="13"/>
      <c r="K13" s="13"/>
      <c r="L13" s="13"/>
      <c r="M13" s="14" t="str">
        <f t="shared" si="0"/>
        <v/>
      </c>
      <c r="N13" s="11" t="str">
        <f t="shared" si="1"/>
        <v/>
      </c>
      <c r="O13" s="11" t="str">
        <f t="shared" si="2"/>
        <v/>
      </c>
      <c r="P13" s="12"/>
    </row>
    <row r="14" spans="1:16">
      <c r="A14" s="10">
        <v>8</v>
      </c>
      <c r="B14" s="11" t="s">
        <v>255</v>
      </c>
      <c r="C14" s="11" t="s">
        <v>256</v>
      </c>
      <c r="D14" s="11" t="s">
        <v>30</v>
      </c>
      <c r="E14" s="11" t="s">
        <v>31</v>
      </c>
      <c r="F14" s="13"/>
      <c r="G14" s="13"/>
      <c r="H14" s="13"/>
      <c r="I14" s="13"/>
      <c r="J14" s="13"/>
      <c r="K14" s="13"/>
      <c r="L14" s="13"/>
      <c r="M14" s="14" t="str">
        <f t="shared" si="0"/>
        <v/>
      </c>
      <c r="N14" s="11" t="str">
        <f t="shared" si="1"/>
        <v/>
      </c>
      <c r="O14" s="11" t="str">
        <f t="shared" si="2"/>
        <v/>
      </c>
      <c r="P14" s="12"/>
    </row>
    <row r="15" spans="1:16">
      <c r="A15" s="10">
        <v>9</v>
      </c>
      <c r="B15" s="11" t="s">
        <v>257</v>
      </c>
      <c r="C15" s="11" t="s">
        <v>258</v>
      </c>
      <c r="D15" s="11" t="s">
        <v>30</v>
      </c>
      <c r="E15" s="11" t="s">
        <v>31</v>
      </c>
      <c r="F15" s="13"/>
      <c r="G15" s="13"/>
      <c r="H15" s="13"/>
      <c r="I15" s="13"/>
      <c r="J15" s="13"/>
      <c r="K15" s="13"/>
      <c r="L15" s="13"/>
      <c r="M15" s="14" t="str">
        <f t="shared" si="0"/>
        <v/>
      </c>
      <c r="N15" s="11" t="str">
        <f t="shared" si="1"/>
        <v/>
      </c>
      <c r="O15" s="11" t="str">
        <f t="shared" si="2"/>
        <v/>
      </c>
      <c r="P15" s="12"/>
    </row>
    <row r="16" spans="1:16">
      <c r="A16" s="10">
        <v>10</v>
      </c>
      <c r="B16" s="11" t="s">
        <v>259</v>
      </c>
      <c r="C16" s="11" t="s">
        <v>260</v>
      </c>
      <c r="D16" s="11" t="s">
        <v>30</v>
      </c>
      <c r="E16" s="11" t="s">
        <v>31</v>
      </c>
      <c r="F16" s="13"/>
      <c r="G16" s="13"/>
      <c r="H16" s="13"/>
      <c r="I16" s="13"/>
      <c r="J16" s="13"/>
      <c r="K16" s="13"/>
      <c r="L16" s="13"/>
      <c r="M16" s="14" t="str">
        <f t="shared" si="0"/>
        <v/>
      </c>
      <c r="N16" s="11" t="str">
        <f t="shared" si="1"/>
        <v/>
      </c>
      <c r="O16" s="11" t="str">
        <f t="shared" si="2"/>
        <v/>
      </c>
      <c r="P16" s="12"/>
    </row>
    <row r="18" spans="1:16">
      <c r="A18" s="16" t="s">
        <v>79</v>
      </c>
      <c r="B18" s="16"/>
      <c r="C18" s="16"/>
      <c r="D18" s="16"/>
      <c r="E18" s="16"/>
      <c r="M18" s="16" t="s">
        <v>80</v>
      </c>
      <c r="N18" s="16"/>
      <c r="O18" s="16"/>
      <c r="P18" s="16"/>
    </row>
  </sheetData>
  <mergeCells count="4">
    <mergeCell ref="A1:P1"/>
    <mergeCell ref="A2:P2"/>
    <mergeCell ref="A18:E18"/>
    <mergeCell ref="M18:P18"/>
  </mergeCells>
  <dataValidations count="1">
    <dataValidation type="list" sqref="F7:L16" xr:uid="{00000000-0002-0000-0400-000000000000}">
      <formula1>"1,2,3,4,5"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4"/>
  <sheetViews>
    <sheetView workbookViewId="0">
      <selection activeCell="A7" sqref="A7:M12"/>
    </sheetView>
  </sheetViews>
  <sheetFormatPr defaultRowHeight="14.25"/>
  <cols>
    <col min="1" max="1" width="5" customWidth="1"/>
    <col min="2" max="2" width="18" customWidth="1"/>
    <col min="3" max="3" width="26" customWidth="1"/>
    <col min="4" max="4" width="9" customWidth="1"/>
    <col min="5" max="5" width="6" customWidth="1"/>
    <col min="6" max="6" width="12.5" customWidth="1"/>
    <col min="7" max="7" width="12.75" customWidth="1"/>
    <col min="8" max="8" width="12.125" customWidth="1"/>
    <col min="9" max="9" width="10.75" customWidth="1"/>
    <col min="10" max="10" width="12" customWidth="1"/>
    <col min="11" max="11" width="10.875" customWidth="1"/>
    <col min="12" max="12" width="10.75" customWidth="1"/>
    <col min="13" max="15" width="12" customWidth="1"/>
    <col min="16" max="16" width="20" customWidth="1"/>
  </cols>
  <sheetData>
    <row r="1" spans="1:16" ht="18">
      <c r="A1" s="15" t="s">
        <v>261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6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262</v>
      </c>
      <c r="G4" s="2" t="s">
        <v>263</v>
      </c>
      <c r="H4" s="2" t="s">
        <v>264</v>
      </c>
      <c r="I4" s="2" t="s">
        <v>265</v>
      </c>
      <c r="J4" s="2" t="s">
        <v>266</v>
      </c>
      <c r="K4" s="2" t="s">
        <v>267</v>
      </c>
      <c r="L4" s="2" t="s">
        <v>268</v>
      </c>
      <c r="M4" s="2" t="s">
        <v>15</v>
      </c>
      <c r="N4" s="2" t="s">
        <v>16</v>
      </c>
      <c r="O4" s="2" t="s">
        <v>17</v>
      </c>
      <c r="P4" s="3" t="s">
        <v>18</v>
      </c>
    </row>
    <row r="5" spans="1:16" ht="54.95" customHeight="1">
      <c r="A5" s="4"/>
      <c r="B5" s="5"/>
      <c r="C5" s="5"/>
      <c r="D5" s="5"/>
      <c r="E5" s="5"/>
      <c r="F5" s="5" t="s">
        <v>269</v>
      </c>
      <c r="G5" s="5" t="s">
        <v>270</v>
      </c>
      <c r="H5" s="5" t="s">
        <v>271</v>
      </c>
      <c r="I5" s="5" t="s">
        <v>272</v>
      </c>
      <c r="J5" s="5" t="s">
        <v>273</v>
      </c>
      <c r="K5" s="5" t="s">
        <v>274</v>
      </c>
      <c r="L5" s="5" t="s">
        <v>275</v>
      </c>
      <c r="M5" s="5"/>
      <c r="N5" s="5"/>
      <c r="O5" s="5"/>
      <c r="P5" s="6"/>
    </row>
    <row r="6" spans="1:16">
      <c r="A6" s="18"/>
      <c r="B6" s="19"/>
      <c r="C6" s="19"/>
      <c r="D6" s="19"/>
      <c r="E6" s="19"/>
      <c r="F6" s="19">
        <v>20</v>
      </c>
      <c r="G6" s="19">
        <v>15</v>
      </c>
      <c r="H6" s="19">
        <v>20</v>
      </c>
      <c r="I6" s="19">
        <v>15</v>
      </c>
      <c r="J6" s="19">
        <v>10</v>
      </c>
      <c r="K6" s="19">
        <v>10</v>
      </c>
      <c r="L6" s="19">
        <v>10</v>
      </c>
      <c r="M6" s="19" t="s">
        <v>27</v>
      </c>
      <c r="N6" s="8"/>
      <c r="O6" s="8"/>
      <c r="P6" s="9"/>
    </row>
    <row r="7" spans="1:16">
      <c r="A7" s="20">
        <v>1</v>
      </c>
      <c r="B7" s="20" t="s">
        <v>276</v>
      </c>
      <c r="C7" s="20" t="s">
        <v>277</v>
      </c>
      <c r="D7" s="20" t="s">
        <v>100</v>
      </c>
      <c r="E7" s="20" t="s">
        <v>31</v>
      </c>
      <c r="F7" s="21"/>
      <c r="G7" s="21"/>
      <c r="H7" s="21"/>
      <c r="I7" s="21"/>
      <c r="J7" s="21"/>
      <c r="K7" s="21"/>
      <c r="L7" s="21"/>
      <c r="M7" s="22" t="str">
        <f t="shared" ref="M7:M12" si="0">IF(COUNT(F7:L7)&lt;7,"",F7/5*20+G7/5*15+H7/5*20+I7/5*15+J7/5*10+K7/5*10+L7/5*10)</f>
        <v/>
      </c>
      <c r="N7" s="11" t="str">
        <f t="shared" ref="N7:N12" si="1">IF(M7="","",IF(M7&gt;=90,"Sangat Baik",IF(M7&gt;=80,"Baik",IF(M7&gt;=70,"Cukup","Perlu Pembinaan"))))</f>
        <v/>
      </c>
      <c r="O7" s="11" t="str">
        <f t="shared" ref="O7:O12" si="2">IF(M7="","",IF(M7&gt;=80,"LULUS",IF(M7&gt;=70,"REMEDIAL","BELUM LULUS")))</f>
        <v/>
      </c>
      <c r="P7" s="12"/>
    </row>
    <row r="8" spans="1:16">
      <c r="A8" s="20">
        <v>2</v>
      </c>
      <c r="B8" s="20" t="s">
        <v>278</v>
      </c>
      <c r="C8" s="20" t="s">
        <v>279</v>
      </c>
      <c r="D8" s="20" t="s">
        <v>100</v>
      </c>
      <c r="E8" s="20" t="s">
        <v>31</v>
      </c>
      <c r="F8" s="21"/>
      <c r="G8" s="21"/>
      <c r="H8" s="21"/>
      <c r="I8" s="21"/>
      <c r="J8" s="21"/>
      <c r="K8" s="21"/>
      <c r="L8" s="21"/>
      <c r="M8" s="22" t="str">
        <f t="shared" si="0"/>
        <v/>
      </c>
      <c r="N8" s="11" t="str">
        <f t="shared" si="1"/>
        <v/>
      </c>
      <c r="O8" s="11" t="str">
        <f t="shared" si="2"/>
        <v/>
      </c>
      <c r="P8" s="12"/>
    </row>
    <row r="9" spans="1:16">
      <c r="A9" s="20">
        <v>3</v>
      </c>
      <c r="B9" s="20" t="s">
        <v>280</v>
      </c>
      <c r="C9" s="20" t="s">
        <v>281</v>
      </c>
      <c r="D9" s="20" t="s">
        <v>100</v>
      </c>
      <c r="E9" s="20" t="s">
        <v>31</v>
      </c>
      <c r="F9" s="21"/>
      <c r="G9" s="21"/>
      <c r="H9" s="21"/>
      <c r="I9" s="21"/>
      <c r="J9" s="21"/>
      <c r="K9" s="21"/>
      <c r="L9" s="21"/>
      <c r="M9" s="22" t="str">
        <f t="shared" si="0"/>
        <v/>
      </c>
      <c r="N9" s="11" t="str">
        <f t="shared" si="1"/>
        <v/>
      </c>
      <c r="O9" s="11" t="str">
        <f t="shared" si="2"/>
        <v/>
      </c>
      <c r="P9" s="12"/>
    </row>
    <row r="10" spans="1:16">
      <c r="A10" s="20">
        <v>4</v>
      </c>
      <c r="B10" s="20" t="s">
        <v>282</v>
      </c>
      <c r="C10" s="20" t="s">
        <v>283</v>
      </c>
      <c r="D10" s="20" t="s">
        <v>219</v>
      </c>
      <c r="E10" s="20" t="s">
        <v>31</v>
      </c>
      <c r="F10" s="21"/>
      <c r="G10" s="21"/>
      <c r="H10" s="21"/>
      <c r="I10" s="21"/>
      <c r="J10" s="21"/>
      <c r="K10" s="21"/>
      <c r="L10" s="21"/>
      <c r="M10" s="22" t="str">
        <f t="shared" si="0"/>
        <v/>
      </c>
      <c r="N10" s="11" t="str">
        <f t="shared" si="1"/>
        <v/>
      </c>
      <c r="O10" s="11" t="str">
        <f t="shared" si="2"/>
        <v/>
      </c>
      <c r="P10" s="12"/>
    </row>
    <row r="11" spans="1:16">
      <c r="A11" s="20">
        <v>5</v>
      </c>
      <c r="B11" s="20" t="s">
        <v>284</v>
      </c>
      <c r="C11" s="20" t="s">
        <v>285</v>
      </c>
      <c r="D11" s="20" t="s">
        <v>100</v>
      </c>
      <c r="E11" s="20" t="s">
        <v>31</v>
      </c>
      <c r="F11" s="21"/>
      <c r="G11" s="21"/>
      <c r="H11" s="21"/>
      <c r="I11" s="21"/>
      <c r="J11" s="21"/>
      <c r="K11" s="21"/>
      <c r="L11" s="21"/>
      <c r="M11" s="22" t="str">
        <f t="shared" si="0"/>
        <v/>
      </c>
      <c r="N11" s="11" t="str">
        <f t="shared" si="1"/>
        <v/>
      </c>
      <c r="O11" s="11" t="str">
        <f t="shared" si="2"/>
        <v/>
      </c>
      <c r="P11" s="12"/>
    </row>
    <row r="12" spans="1:16">
      <c r="A12" s="20">
        <v>6</v>
      </c>
      <c r="B12" s="20" t="s">
        <v>286</v>
      </c>
      <c r="C12" s="20" t="s">
        <v>287</v>
      </c>
      <c r="D12" s="20" t="s">
        <v>100</v>
      </c>
      <c r="E12" s="20" t="s">
        <v>31</v>
      </c>
      <c r="F12" s="21"/>
      <c r="G12" s="21"/>
      <c r="H12" s="21"/>
      <c r="I12" s="21"/>
      <c r="J12" s="21"/>
      <c r="K12" s="21"/>
      <c r="L12" s="21"/>
      <c r="M12" s="22" t="str">
        <f t="shared" si="0"/>
        <v/>
      </c>
      <c r="N12" s="11" t="str">
        <f t="shared" si="1"/>
        <v/>
      </c>
      <c r="O12" s="11" t="str">
        <f t="shared" si="2"/>
        <v/>
      </c>
      <c r="P12" s="12"/>
    </row>
    <row r="14" spans="1:16">
      <c r="A14" s="16" t="s">
        <v>79</v>
      </c>
      <c r="B14" s="16"/>
      <c r="C14" s="16"/>
      <c r="D14" s="16"/>
      <c r="E14" s="16"/>
      <c r="M14" s="16" t="s">
        <v>80</v>
      </c>
      <c r="N14" s="16"/>
      <c r="O14" s="16"/>
      <c r="P14" s="16"/>
    </row>
  </sheetData>
  <mergeCells count="4">
    <mergeCell ref="A1:P1"/>
    <mergeCell ref="A2:P2"/>
    <mergeCell ref="A14:E14"/>
    <mergeCell ref="M14:P14"/>
  </mergeCells>
  <dataValidations count="1">
    <dataValidation type="list" sqref="F7:L12" xr:uid="{00000000-0002-0000-0500-000000000000}">
      <formula1>"1,2,3,4,5"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Pelatih Daerah</vt:lpstr>
      <vt:lpstr>Pelatih Nasional</vt:lpstr>
      <vt:lpstr>Penguji Daerah</vt:lpstr>
      <vt:lpstr>Penguji Nasional</vt:lpstr>
      <vt:lpstr>Wasit Daerah</vt:lpstr>
      <vt:lpstr>Wasit Nasional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FUJITSU</cp:lastModifiedBy>
  <dcterms:modified xsi:type="dcterms:W3CDTF">2026-09-26T23:46:28Z</dcterms:modified>
</cp:coreProperties>
</file>