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 PB PERKEMI\Downloads\"/>
    </mc:Choice>
  </mc:AlternateContent>
  <xr:revisionPtr revIDLastSave="0" documentId="13_ncr:1_{47700406-432F-42CD-90C0-065108EC216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ata Kyu" sheetId="8" r:id="rId1"/>
    <sheet name="KYU Report" sheetId="1" r:id="rId2"/>
    <sheet name="Data Dan" sheetId="9" r:id="rId3"/>
    <sheet name="1st DAN Report" sheetId="7" r:id="rId4"/>
    <sheet name="Masterdata" sheetId="10" r:id="rId5"/>
  </sheets>
  <definedNames>
    <definedName name="_xlnm.Print_Area" localSheetId="3">'1st DAN Report'!$B$1:$W$740</definedName>
    <definedName name="_xlnm.Print_Area" localSheetId="1">'KYU Report'!$B$2:$V$2341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15" i="7" l="1"/>
  <c r="Y715" i="7" s="1"/>
  <c r="C711" i="7"/>
  <c r="L712" i="7" s="1"/>
  <c r="C707" i="7"/>
  <c r="Y707" i="7" s="1"/>
  <c r="C703" i="7"/>
  <c r="Y703" i="7" s="1"/>
  <c r="C699" i="7"/>
  <c r="C701" i="7" s="1"/>
  <c r="C695" i="7"/>
  <c r="Y695" i="7" s="1"/>
  <c r="C691" i="7"/>
  <c r="Y691" i="7" s="1"/>
  <c r="C687" i="7"/>
  <c r="Y687" i="7" s="1"/>
  <c r="C683" i="7"/>
  <c r="H683" i="7" s="1"/>
  <c r="C679" i="7"/>
  <c r="Y679" i="7" s="1"/>
  <c r="C641" i="7"/>
  <c r="H641" i="7" s="1"/>
  <c r="C637" i="7"/>
  <c r="Y637" i="7" s="1"/>
  <c r="C633" i="7"/>
  <c r="Y633" i="7" s="1"/>
  <c r="C629" i="7"/>
  <c r="C631" i="7" s="1"/>
  <c r="C625" i="7"/>
  <c r="Y625" i="7" s="1"/>
  <c r="C621" i="7"/>
  <c r="Y621" i="7" s="1"/>
  <c r="C617" i="7"/>
  <c r="H617" i="7" s="1"/>
  <c r="C613" i="7"/>
  <c r="P614" i="7" s="1"/>
  <c r="C609" i="7"/>
  <c r="Y609" i="7" s="1"/>
  <c r="C605" i="7"/>
  <c r="Y605" i="7" s="1"/>
  <c r="C325" i="7"/>
  <c r="Y325" i="7" s="1"/>
  <c r="C321" i="7"/>
  <c r="Y321" i="7" s="1"/>
  <c r="C317" i="7"/>
  <c r="Y317" i="7" s="1"/>
  <c r="C313" i="7"/>
  <c r="Y313" i="7" s="1"/>
  <c r="C309" i="7"/>
  <c r="P310" i="7" s="1"/>
  <c r="C271" i="7"/>
  <c r="Y271" i="7" s="1"/>
  <c r="C267" i="7"/>
  <c r="H267" i="7" s="1"/>
  <c r="C263" i="7"/>
  <c r="H263" i="7" s="1"/>
  <c r="C259" i="7"/>
  <c r="H259" i="7" s="1"/>
  <c r="C255" i="7"/>
  <c r="Y255" i="7" s="1"/>
  <c r="C251" i="7"/>
  <c r="C253" i="7" s="1"/>
  <c r="C247" i="7"/>
  <c r="P248" i="7" s="1"/>
  <c r="C243" i="7"/>
  <c r="C245" i="7" s="1"/>
  <c r="C239" i="7"/>
  <c r="H239" i="7" s="1"/>
  <c r="C235" i="7"/>
  <c r="Y235" i="7" s="1"/>
  <c r="C197" i="7"/>
  <c r="Y197" i="7" s="1"/>
  <c r="C193" i="7"/>
  <c r="Y193" i="7" s="1"/>
  <c r="C189" i="7"/>
  <c r="C191" i="7" s="1"/>
  <c r="C185" i="7"/>
  <c r="C187" i="7" s="1"/>
  <c r="C181" i="7"/>
  <c r="C183" i="7" s="1"/>
  <c r="C177" i="7"/>
  <c r="P178" i="7" s="1"/>
  <c r="C173" i="7"/>
  <c r="C175" i="7" s="1"/>
  <c r="C169" i="7"/>
  <c r="P170" i="7" s="1"/>
  <c r="C165" i="7"/>
  <c r="C167" i="7" s="1"/>
  <c r="C161" i="7"/>
  <c r="Y161" i="7" s="1"/>
  <c r="C123" i="7"/>
  <c r="Y123" i="7" s="1"/>
  <c r="C119" i="7"/>
  <c r="Y119" i="7" s="1"/>
  <c r="C115" i="7"/>
  <c r="C117" i="7" s="1"/>
  <c r="C111" i="7"/>
  <c r="H111" i="7" s="1"/>
  <c r="C107" i="7"/>
  <c r="H107" i="7" s="1"/>
  <c r="C103" i="7"/>
  <c r="Y103" i="7" s="1"/>
  <c r="C99" i="7"/>
  <c r="Y99" i="7" s="1"/>
  <c r="C95" i="7"/>
  <c r="Y95" i="7" s="1"/>
  <c r="C91" i="7"/>
  <c r="C93" i="7" s="1"/>
  <c r="C87" i="7"/>
  <c r="C89" i="7" s="1"/>
  <c r="C49" i="7"/>
  <c r="C45" i="7"/>
  <c r="C41" i="7"/>
  <c r="C37" i="7"/>
  <c r="C33" i="7"/>
  <c r="C29" i="7"/>
  <c r="C25" i="7"/>
  <c r="C21" i="7"/>
  <c r="C17" i="7"/>
  <c r="Y17" i="7" s="1"/>
  <c r="C13" i="7"/>
  <c r="Y13" i="7" s="1"/>
  <c r="C567" i="7"/>
  <c r="C569" i="7" s="1"/>
  <c r="C563" i="7"/>
  <c r="L564" i="7" s="1"/>
  <c r="C559" i="7"/>
  <c r="C561" i="7" s="1"/>
  <c r="C555" i="7"/>
  <c r="H555" i="7" s="1"/>
  <c r="C551" i="7"/>
  <c r="C553" i="7" s="1"/>
  <c r="C547" i="7"/>
  <c r="C549" i="7" s="1"/>
  <c r="C543" i="7"/>
  <c r="C545" i="7" s="1"/>
  <c r="C539" i="7"/>
  <c r="C541" i="7" s="1"/>
  <c r="C535" i="7"/>
  <c r="H535" i="7" s="1"/>
  <c r="C531" i="7"/>
  <c r="H531" i="7" s="1"/>
  <c r="C493" i="7"/>
  <c r="C495" i="7" s="1"/>
  <c r="C489" i="7"/>
  <c r="C491" i="7" s="1"/>
  <c r="C485" i="7"/>
  <c r="C487" i="7" s="1"/>
  <c r="C481" i="7"/>
  <c r="C483" i="7" s="1"/>
  <c r="C477" i="7"/>
  <c r="P478" i="7" s="1"/>
  <c r="C473" i="7"/>
  <c r="C475" i="7" s="1"/>
  <c r="C469" i="7"/>
  <c r="P470" i="7" s="1"/>
  <c r="C465" i="7"/>
  <c r="C467" i="7" s="1"/>
  <c r="C461" i="7"/>
  <c r="C463" i="7" s="1"/>
  <c r="C457" i="7"/>
  <c r="C459" i="7" s="1"/>
  <c r="C419" i="7"/>
  <c r="C421" i="7" s="1"/>
  <c r="C415" i="7"/>
  <c r="C417" i="7" s="1"/>
  <c r="C411" i="7"/>
  <c r="H411" i="7" s="1"/>
  <c r="C407" i="7"/>
  <c r="Y407" i="7" s="1"/>
  <c r="C403" i="7"/>
  <c r="H403" i="7" s="1"/>
  <c r="C399" i="7"/>
  <c r="C401" i="7" s="1"/>
  <c r="C395" i="7"/>
  <c r="P396" i="7" s="1"/>
  <c r="C391" i="7"/>
  <c r="P392" i="7" s="1"/>
  <c r="C387" i="7"/>
  <c r="Y387" i="7" s="1"/>
  <c r="C383" i="7"/>
  <c r="H383" i="7" s="1"/>
  <c r="C345" i="7"/>
  <c r="C347" i="7" s="1"/>
  <c r="C341" i="7"/>
  <c r="C343" i="7" s="1"/>
  <c r="C337" i="7"/>
  <c r="H337" i="7" s="1"/>
  <c r="C333" i="7"/>
  <c r="C335" i="7" s="1"/>
  <c r="C329" i="7"/>
  <c r="H329" i="7" s="1"/>
  <c r="I715" i="7"/>
  <c r="I711" i="7"/>
  <c r="I707" i="7"/>
  <c r="I703" i="7"/>
  <c r="I699" i="7"/>
  <c r="I695" i="7"/>
  <c r="I691" i="7"/>
  <c r="I687" i="7"/>
  <c r="I683" i="7"/>
  <c r="I679" i="7"/>
  <c r="L675" i="7"/>
  <c r="I675" i="7"/>
  <c r="G675" i="7"/>
  <c r="U670" i="7"/>
  <c r="P670" i="7"/>
  <c r="J670" i="7"/>
  <c r="I641" i="7"/>
  <c r="I637" i="7"/>
  <c r="I633" i="7"/>
  <c r="I629" i="7"/>
  <c r="I625" i="7"/>
  <c r="I621" i="7"/>
  <c r="I617" i="7"/>
  <c r="I613" i="7"/>
  <c r="I609" i="7"/>
  <c r="I605" i="7"/>
  <c r="L601" i="7"/>
  <c r="I601" i="7"/>
  <c r="G601" i="7"/>
  <c r="U596" i="7"/>
  <c r="P596" i="7"/>
  <c r="J596" i="7"/>
  <c r="I567" i="7"/>
  <c r="I563" i="7"/>
  <c r="I559" i="7"/>
  <c r="I555" i="7"/>
  <c r="I551" i="7"/>
  <c r="I547" i="7"/>
  <c r="I543" i="7"/>
  <c r="I539" i="7"/>
  <c r="I535" i="7"/>
  <c r="I531" i="7"/>
  <c r="L527" i="7"/>
  <c r="I527" i="7"/>
  <c r="G527" i="7"/>
  <c r="U522" i="7"/>
  <c r="P522" i="7"/>
  <c r="J522" i="7"/>
  <c r="I493" i="7"/>
  <c r="I489" i="7"/>
  <c r="I485" i="7"/>
  <c r="I481" i="7"/>
  <c r="I477" i="7"/>
  <c r="I473" i="7"/>
  <c r="I469" i="7"/>
  <c r="I465" i="7"/>
  <c r="I461" i="7"/>
  <c r="I457" i="7"/>
  <c r="L453" i="7"/>
  <c r="I453" i="7"/>
  <c r="G453" i="7"/>
  <c r="U448" i="7"/>
  <c r="P448" i="7"/>
  <c r="J448" i="7"/>
  <c r="I419" i="7"/>
  <c r="I415" i="7"/>
  <c r="I411" i="7"/>
  <c r="I407" i="7"/>
  <c r="I403" i="7"/>
  <c r="I399" i="7"/>
  <c r="I395" i="7"/>
  <c r="I391" i="7"/>
  <c r="I387" i="7"/>
  <c r="I383" i="7"/>
  <c r="L379" i="7"/>
  <c r="I379" i="7"/>
  <c r="G379" i="7"/>
  <c r="U374" i="7"/>
  <c r="P374" i="7"/>
  <c r="J374" i="7"/>
  <c r="I345" i="7"/>
  <c r="I341" i="7"/>
  <c r="I337" i="7"/>
  <c r="I333" i="7"/>
  <c r="I329" i="7"/>
  <c r="I325" i="7"/>
  <c r="I321" i="7"/>
  <c r="I317" i="7"/>
  <c r="I313" i="7"/>
  <c r="I309" i="7"/>
  <c r="L305" i="7"/>
  <c r="I305" i="7"/>
  <c r="G305" i="7"/>
  <c r="U300" i="7"/>
  <c r="P300" i="7"/>
  <c r="J300" i="7"/>
  <c r="I271" i="7"/>
  <c r="I267" i="7"/>
  <c r="I263" i="7"/>
  <c r="I259" i="7"/>
  <c r="I255" i="7"/>
  <c r="I251" i="7"/>
  <c r="I247" i="7"/>
  <c r="I243" i="7"/>
  <c r="I239" i="7"/>
  <c r="I235" i="7"/>
  <c r="L231" i="7"/>
  <c r="I231" i="7"/>
  <c r="G231" i="7"/>
  <c r="U226" i="7"/>
  <c r="P226" i="7"/>
  <c r="J226" i="7"/>
  <c r="I197" i="7"/>
  <c r="I193" i="7"/>
  <c r="I189" i="7"/>
  <c r="I185" i="7"/>
  <c r="I181" i="7"/>
  <c r="I177" i="7"/>
  <c r="I173" i="7"/>
  <c r="I169" i="7"/>
  <c r="I165" i="7"/>
  <c r="I161" i="7"/>
  <c r="L157" i="7"/>
  <c r="I157" i="7"/>
  <c r="G157" i="7"/>
  <c r="U152" i="7"/>
  <c r="P152" i="7"/>
  <c r="J152" i="7"/>
  <c r="I49" i="7"/>
  <c r="I45" i="7"/>
  <c r="I41" i="7"/>
  <c r="I37" i="7"/>
  <c r="I33" i="7"/>
  <c r="I29" i="7"/>
  <c r="I25" i="7"/>
  <c r="I21" i="7"/>
  <c r="I17" i="7"/>
  <c r="I13" i="7"/>
  <c r="I91" i="7"/>
  <c r="I123" i="7"/>
  <c r="I119" i="7"/>
  <c r="I115" i="7"/>
  <c r="I111" i="7"/>
  <c r="I107" i="7"/>
  <c r="I103" i="7"/>
  <c r="I99" i="7"/>
  <c r="I95" i="7"/>
  <c r="I87" i="7"/>
  <c r="B17" i="7"/>
  <c r="B21" i="7" s="1"/>
  <c r="L83" i="7"/>
  <c r="I83" i="7"/>
  <c r="G83" i="7"/>
  <c r="U78" i="7"/>
  <c r="P78" i="7"/>
  <c r="J78" i="7"/>
  <c r="H235" i="7" l="1"/>
  <c r="C163" i="7"/>
  <c r="L696" i="7"/>
  <c r="P194" i="7"/>
  <c r="C199" i="7"/>
  <c r="L688" i="7"/>
  <c r="C623" i="7"/>
  <c r="C709" i="7"/>
  <c r="H625" i="7"/>
  <c r="L680" i="7"/>
  <c r="L704" i="7"/>
  <c r="Y559" i="7"/>
  <c r="L322" i="7"/>
  <c r="Y243" i="7"/>
  <c r="Y699" i="7"/>
  <c r="Y239" i="7"/>
  <c r="Y165" i="7"/>
  <c r="Y251" i="7"/>
  <c r="C639" i="7"/>
  <c r="Y267" i="7"/>
  <c r="C717" i="7"/>
  <c r="Y329" i="7"/>
  <c r="Y177" i="7"/>
  <c r="Y399" i="7"/>
  <c r="H271" i="7"/>
  <c r="Y461" i="7"/>
  <c r="Y531" i="7"/>
  <c r="Y711" i="7"/>
  <c r="C315" i="7"/>
  <c r="H633" i="7"/>
  <c r="Y169" i="7"/>
  <c r="Y259" i="7"/>
  <c r="Y391" i="7"/>
  <c r="Y489" i="7"/>
  <c r="Y383" i="7"/>
  <c r="Y613" i="7"/>
  <c r="C607" i="7"/>
  <c r="P318" i="7"/>
  <c r="Y173" i="7"/>
  <c r="Y263" i="7"/>
  <c r="Y395" i="7"/>
  <c r="Y493" i="7"/>
  <c r="Y629" i="7"/>
  <c r="H609" i="7"/>
  <c r="C327" i="7"/>
  <c r="Y181" i="7"/>
  <c r="Y403" i="7"/>
  <c r="Y535" i="7"/>
  <c r="Y539" i="7"/>
  <c r="Y189" i="7"/>
  <c r="Y411" i="7"/>
  <c r="Y543" i="7"/>
  <c r="Y641" i="7"/>
  <c r="H691" i="7"/>
  <c r="Y87" i="7"/>
  <c r="Y415" i="7"/>
  <c r="Y547" i="7"/>
  <c r="Y185" i="7"/>
  <c r="Y309" i="7"/>
  <c r="H255" i="7"/>
  <c r="Y91" i="7"/>
  <c r="Y419" i="7"/>
  <c r="Y551" i="7"/>
  <c r="Y683" i="7"/>
  <c r="Y457" i="7"/>
  <c r="Y555" i="7"/>
  <c r="Y333" i="7"/>
  <c r="Y465" i="7"/>
  <c r="Y563" i="7"/>
  <c r="Y107" i="7"/>
  <c r="Y469" i="7"/>
  <c r="Y111" i="7"/>
  <c r="Y337" i="7"/>
  <c r="Y567" i="7"/>
  <c r="Y341" i="7"/>
  <c r="Y473" i="7"/>
  <c r="Y115" i="7"/>
  <c r="Y247" i="7"/>
  <c r="Y345" i="7"/>
  <c r="Y477" i="7"/>
  <c r="Y481" i="7"/>
  <c r="Y485" i="7"/>
  <c r="Y617" i="7"/>
  <c r="C385" i="7"/>
  <c r="L314" i="7"/>
  <c r="C413" i="7"/>
  <c r="P384" i="7"/>
  <c r="L384" i="7"/>
  <c r="H115" i="7"/>
  <c r="H387" i="7"/>
  <c r="P326" i="7"/>
  <c r="L708" i="7"/>
  <c r="L684" i="7"/>
  <c r="P684" i="7"/>
  <c r="P486" i="7"/>
  <c r="H485" i="7"/>
  <c r="H551" i="7"/>
  <c r="H391" i="7"/>
  <c r="L700" i="7"/>
  <c r="C393" i="7"/>
  <c r="H699" i="7"/>
  <c r="P700" i="7"/>
  <c r="H469" i="7"/>
  <c r="H559" i="7"/>
  <c r="C471" i="7"/>
  <c r="C685" i="7"/>
  <c r="H539" i="7"/>
  <c r="C405" i="7"/>
  <c r="C125" i="7"/>
  <c r="H563" i="7"/>
  <c r="C565" i="7"/>
  <c r="H567" i="7"/>
  <c r="C557" i="7"/>
  <c r="H547" i="7"/>
  <c r="H543" i="7"/>
  <c r="C537" i="7"/>
  <c r="C533" i="7"/>
  <c r="H477" i="7"/>
  <c r="H489" i="7"/>
  <c r="C479" i="7"/>
  <c r="H481" i="7"/>
  <c r="P494" i="7"/>
  <c r="H493" i="7"/>
  <c r="H457" i="7"/>
  <c r="H473" i="7"/>
  <c r="P462" i="7"/>
  <c r="H465" i="7"/>
  <c r="H461" i="7"/>
  <c r="H419" i="7"/>
  <c r="H415" i="7"/>
  <c r="H407" i="7"/>
  <c r="C409" i="7"/>
  <c r="H395" i="7"/>
  <c r="C397" i="7"/>
  <c r="H399" i="7"/>
  <c r="C389" i="7"/>
  <c r="C339" i="7"/>
  <c r="H341" i="7"/>
  <c r="P342" i="7"/>
  <c r="H345" i="7"/>
  <c r="H333" i="7"/>
  <c r="C331" i="7"/>
  <c r="H325" i="7"/>
  <c r="L346" i="7"/>
  <c r="L338" i="7"/>
  <c r="L330" i="7"/>
  <c r="C319" i="7"/>
  <c r="H321" i="7"/>
  <c r="C323" i="7"/>
  <c r="H317" i="7"/>
  <c r="H313" i="7"/>
  <c r="L334" i="7"/>
  <c r="H309" i="7"/>
  <c r="C311" i="7"/>
  <c r="C269" i="7"/>
  <c r="C273" i="7"/>
  <c r="P272" i="7"/>
  <c r="C261" i="7"/>
  <c r="P264" i="7"/>
  <c r="C265" i="7"/>
  <c r="C257" i="7"/>
  <c r="H251" i="7"/>
  <c r="P256" i="7"/>
  <c r="C249" i="7"/>
  <c r="H247" i="7"/>
  <c r="H243" i="7"/>
  <c r="P240" i="7"/>
  <c r="C241" i="7"/>
  <c r="C237" i="7"/>
  <c r="P186" i="7"/>
  <c r="P162" i="7"/>
  <c r="B25" i="7"/>
  <c r="P716" i="7"/>
  <c r="H119" i="7"/>
  <c r="H123" i="7"/>
  <c r="L416" i="7"/>
  <c r="C113" i="7"/>
  <c r="L404" i="7"/>
  <c r="P416" i="7"/>
  <c r="H707" i="7"/>
  <c r="L412" i="7"/>
  <c r="C109" i="7"/>
  <c r="L392" i="7"/>
  <c r="P404" i="7"/>
  <c r="L692" i="7"/>
  <c r="H715" i="7"/>
  <c r="H103" i="7"/>
  <c r="L420" i="7"/>
  <c r="P708" i="7"/>
  <c r="C693" i="7"/>
  <c r="L408" i="7"/>
  <c r="P420" i="7"/>
  <c r="C105" i="7"/>
  <c r="P692" i="7"/>
  <c r="C195" i="7"/>
  <c r="L396" i="7"/>
  <c r="P408" i="7"/>
  <c r="L400" i="7"/>
  <c r="P412" i="7"/>
  <c r="C171" i="7"/>
  <c r="L388" i="7"/>
  <c r="P400" i="7"/>
  <c r="L716" i="7"/>
  <c r="C179" i="7"/>
  <c r="P388" i="7"/>
  <c r="P622" i="7"/>
  <c r="P680" i="7"/>
  <c r="P704" i="7"/>
  <c r="L642" i="7"/>
  <c r="P610" i="7"/>
  <c r="P618" i="7"/>
  <c r="P626" i="7"/>
  <c r="P634" i="7"/>
  <c r="P642" i="7"/>
  <c r="L606" i="7"/>
  <c r="L622" i="7"/>
  <c r="L638" i="7"/>
  <c r="P606" i="7"/>
  <c r="P638" i="7"/>
  <c r="P688" i="7"/>
  <c r="P696" i="7"/>
  <c r="P712" i="7"/>
  <c r="L610" i="7"/>
  <c r="L618" i="7"/>
  <c r="L626" i="7"/>
  <c r="L634" i="7"/>
  <c r="C681" i="7"/>
  <c r="C689" i="7"/>
  <c r="C697" i="7"/>
  <c r="C705" i="7"/>
  <c r="C713" i="7"/>
  <c r="C611" i="7"/>
  <c r="C619" i="7"/>
  <c r="C627" i="7"/>
  <c r="C635" i="7"/>
  <c r="C643" i="7"/>
  <c r="H637" i="7"/>
  <c r="H605" i="7"/>
  <c r="H613" i="7"/>
  <c r="H621" i="7"/>
  <c r="H629" i="7"/>
  <c r="L614" i="7"/>
  <c r="L630" i="7"/>
  <c r="P630" i="7"/>
  <c r="C615" i="7"/>
  <c r="H679" i="7"/>
  <c r="H687" i="7"/>
  <c r="H695" i="7"/>
  <c r="H703" i="7"/>
  <c r="H711" i="7"/>
  <c r="L536" i="7"/>
  <c r="L544" i="7"/>
  <c r="L552" i="7"/>
  <c r="L560" i="7"/>
  <c r="L568" i="7"/>
  <c r="P536" i="7"/>
  <c r="P544" i="7"/>
  <c r="P552" i="7"/>
  <c r="P560" i="7"/>
  <c r="P568" i="7"/>
  <c r="L458" i="7"/>
  <c r="L466" i="7"/>
  <c r="L474" i="7"/>
  <c r="L482" i="7"/>
  <c r="L490" i="7"/>
  <c r="P458" i="7"/>
  <c r="P466" i="7"/>
  <c r="P474" i="7"/>
  <c r="P482" i="7"/>
  <c r="P490" i="7"/>
  <c r="L532" i="7"/>
  <c r="L540" i="7"/>
  <c r="L548" i="7"/>
  <c r="L556" i="7"/>
  <c r="P532" i="7"/>
  <c r="P540" i="7"/>
  <c r="P548" i="7"/>
  <c r="P556" i="7"/>
  <c r="P564" i="7"/>
  <c r="L462" i="7"/>
  <c r="L470" i="7"/>
  <c r="L478" i="7"/>
  <c r="L486" i="7"/>
  <c r="L494" i="7"/>
  <c r="P314" i="7"/>
  <c r="P322" i="7"/>
  <c r="P330" i="7"/>
  <c r="P346" i="7"/>
  <c r="L236" i="7"/>
  <c r="L244" i="7"/>
  <c r="L252" i="7"/>
  <c r="L260" i="7"/>
  <c r="L268" i="7"/>
  <c r="P236" i="7"/>
  <c r="P244" i="7"/>
  <c r="P252" i="7"/>
  <c r="P260" i="7"/>
  <c r="P268" i="7"/>
  <c r="L310" i="7"/>
  <c r="L318" i="7"/>
  <c r="L326" i="7"/>
  <c r="L342" i="7"/>
  <c r="P334" i="7"/>
  <c r="L240" i="7"/>
  <c r="L248" i="7"/>
  <c r="L256" i="7"/>
  <c r="L264" i="7"/>
  <c r="L272" i="7"/>
  <c r="P338" i="7"/>
  <c r="H161" i="7"/>
  <c r="H169" i="7"/>
  <c r="H177" i="7"/>
  <c r="H185" i="7"/>
  <c r="H193" i="7"/>
  <c r="L162" i="7"/>
  <c r="L170" i="7"/>
  <c r="L178" i="7"/>
  <c r="L186" i="7"/>
  <c r="L194" i="7"/>
  <c r="H165" i="7"/>
  <c r="H173" i="7"/>
  <c r="H181" i="7"/>
  <c r="H189" i="7"/>
  <c r="H197" i="7"/>
  <c r="L166" i="7"/>
  <c r="L174" i="7"/>
  <c r="L182" i="7"/>
  <c r="L190" i="7"/>
  <c r="L198" i="7"/>
  <c r="P166" i="7"/>
  <c r="P174" i="7"/>
  <c r="P182" i="7"/>
  <c r="P190" i="7"/>
  <c r="P198" i="7"/>
  <c r="L120" i="7"/>
  <c r="P120" i="7"/>
  <c r="C121" i="7"/>
  <c r="L112" i="7"/>
  <c r="P112" i="7"/>
  <c r="L104" i="7"/>
  <c r="P104" i="7"/>
  <c r="L124" i="7"/>
  <c r="P124" i="7"/>
  <c r="L116" i="7"/>
  <c r="P116" i="7"/>
  <c r="L108" i="7"/>
  <c r="P108" i="7"/>
  <c r="C23" i="7" l="1"/>
  <c r="Y21" i="7"/>
  <c r="H21" i="7"/>
  <c r="B29" i="7"/>
  <c r="B33" i="7" l="1"/>
  <c r="C27" i="7"/>
  <c r="Y25" i="7"/>
  <c r="H25" i="7"/>
  <c r="B37" i="7" l="1"/>
  <c r="Y29" i="7"/>
  <c r="C31" i="7"/>
  <c r="H29" i="7"/>
  <c r="B41" i="7" l="1"/>
  <c r="C35" i="7"/>
  <c r="Y33" i="7"/>
  <c r="H33" i="7"/>
  <c r="C39" i="7" l="1"/>
  <c r="H37" i="7"/>
  <c r="Y37" i="7"/>
  <c r="B45" i="7"/>
  <c r="B49" i="7" l="1"/>
  <c r="Y41" i="7"/>
  <c r="C43" i="7"/>
  <c r="H41" i="7"/>
  <c r="Y45" i="7" l="1"/>
  <c r="C47" i="7"/>
  <c r="H45" i="7"/>
  <c r="B87" i="7"/>
  <c r="B91" i="7" l="1"/>
  <c r="H49" i="7"/>
  <c r="Y49" i="7"/>
  <c r="C51" i="7"/>
  <c r="P50" i="7"/>
  <c r="P46" i="7"/>
  <c r="P42" i="7"/>
  <c r="P38" i="7"/>
  <c r="L34" i="7"/>
  <c r="P30" i="7"/>
  <c r="L26" i="7"/>
  <c r="P22" i="7"/>
  <c r="F18" i="1"/>
  <c r="X18" i="1" s="1"/>
  <c r="H87" i="7" l="1"/>
  <c r="L88" i="7"/>
  <c r="P88" i="7"/>
  <c r="B95" i="7"/>
  <c r="H13" i="7"/>
  <c r="C15" i="7"/>
  <c r="C19" i="7"/>
  <c r="H17" i="7"/>
  <c r="P18" i="7"/>
  <c r="P34" i="7"/>
  <c r="P26" i="7"/>
  <c r="L46" i="7"/>
  <c r="L50" i="7"/>
  <c r="L38" i="7"/>
  <c r="L42" i="7"/>
  <c r="L30" i="7"/>
  <c r="L22" i="7"/>
  <c r="B99" i="7" l="1"/>
  <c r="H91" i="7"/>
  <c r="P92" i="7"/>
  <c r="L92" i="7"/>
  <c r="L18" i="7"/>
  <c r="B103" i="7" l="1"/>
  <c r="B107" i="7" s="1"/>
  <c r="B111" i="7" s="1"/>
  <c r="B115" i="7" s="1"/>
  <c r="B119" i="7" s="1"/>
  <c r="B123" i="7" s="1"/>
  <c r="B161" i="7" s="1"/>
  <c r="B165" i="7" s="1"/>
  <c r="B169" i="7" s="1"/>
  <c r="B173" i="7" s="1"/>
  <c r="B177" i="7" s="1"/>
  <c r="B181" i="7" s="1"/>
  <c r="B185" i="7" s="1"/>
  <c r="B189" i="7" s="1"/>
  <c r="B193" i="7" s="1"/>
  <c r="B197" i="7" s="1"/>
  <c r="B235" i="7" s="1"/>
  <c r="B239" i="7" s="1"/>
  <c r="B243" i="7" s="1"/>
  <c r="B247" i="7" s="1"/>
  <c r="B251" i="7" s="1"/>
  <c r="B255" i="7" s="1"/>
  <c r="B259" i="7" s="1"/>
  <c r="B263" i="7" s="1"/>
  <c r="B267" i="7" s="1"/>
  <c r="B271" i="7" s="1"/>
  <c r="B309" i="7" s="1"/>
  <c r="B313" i="7" s="1"/>
  <c r="B317" i="7" s="1"/>
  <c r="B321" i="7" s="1"/>
  <c r="B325" i="7" s="1"/>
  <c r="B329" i="7" s="1"/>
  <c r="B333" i="7" s="1"/>
  <c r="B337" i="7" s="1"/>
  <c r="B341" i="7" s="1"/>
  <c r="B345" i="7" s="1"/>
  <c r="B383" i="7" s="1"/>
  <c r="B387" i="7" s="1"/>
  <c r="B391" i="7" s="1"/>
  <c r="B395" i="7" s="1"/>
  <c r="B399" i="7" s="1"/>
  <c r="B403" i="7" s="1"/>
  <c r="B407" i="7" s="1"/>
  <c r="B411" i="7" s="1"/>
  <c r="B415" i="7" s="1"/>
  <c r="B419" i="7" s="1"/>
  <c r="B457" i="7" s="1"/>
  <c r="B461" i="7" s="1"/>
  <c r="B465" i="7" s="1"/>
  <c r="B469" i="7" s="1"/>
  <c r="B473" i="7" s="1"/>
  <c r="B477" i="7" s="1"/>
  <c r="B481" i="7" s="1"/>
  <c r="B485" i="7" s="1"/>
  <c r="B489" i="7" s="1"/>
  <c r="B493" i="7" s="1"/>
  <c r="B531" i="7" s="1"/>
  <c r="B535" i="7" s="1"/>
  <c r="B539" i="7" s="1"/>
  <c r="B543" i="7" s="1"/>
  <c r="B547" i="7" s="1"/>
  <c r="B551" i="7" s="1"/>
  <c r="B555" i="7" s="1"/>
  <c r="B559" i="7" s="1"/>
  <c r="B563" i="7" s="1"/>
  <c r="B567" i="7" s="1"/>
  <c r="B605" i="7" s="1"/>
  <c r="B609" i="7" s="1"/>
  <c r="B613" i="7" s="1"/>
  <c r="B617" i="7" s="1"/>
  <c r="B621" i="7" s="1"/>
  <c r="B625" i="7" s="1"/>
  <c r="B629" i="7" s="1"/>
  <c r="B633" i="7" s="1"/>
  <c r="B637" i="7" s="1"/>
  <c r="B641" i="7" s="1"/>
  <c r="B679" i="7" s="1"/>
  <c r="B683" i="7" s="1"/>
  <c r="B687" i="7" s="1"/>
  <c r="B691" i="7" s="1"/>
  <c r="B695" i="7" s="1"/>
  <c r="B699" i="7" s="1"/>
  <c r="B703" i="7" s="1"/>
  <c r="B707" i="7" s="1"/>
  <c r="B711" i="7" s="1"/>
  <c r="B715" i="7" s="1"/>
  <c r="H95" i="7"/>
  <c r="C97" i="7"/>
  <c r="L96" i="7"/>
  <c r="P96" i="7"/>
  <c r="L100" i="7" l="1"/>
  <c r="C101" i="7"/>
  <c r="H99" i="7"/>
  <c r="P100" i="7"/>
  <c r="L10" i="1" l="1"/>
  <c r="J10" i="1"/>
  <c r="H10" i="1"/>
  <c r="F56" i="1"/>
  <c r="V54" i="1"/>
  <c r="T54" i="1"/>
  <c r="Q54" i="1"/>
  <c r="N54" i="1"/>
  <c r="L54" i="1"/>
  <c r="F54" i="1"/>
  <c r="F52" i="1"/>
  <c r="V50" i="1"/>
  <c r="T50" i="1"/>
  <c r="Q50" i="1"/>
  <c r="N50" i="1"/>
  <c r="L50" i="1"/>
  <c r="F50" i="1"/>
  <c r="F48" i="1"/>
  <c r="V46" i="1"/>
  <c r="T46" i="1"/>
  <c r="Q46" i="1"/>
  <c r="N46" i="1"/>
  <c r="L46" i="1"/>
  <c r="F46" i="1"/>
  <c r="F44" i="1"/>
  <c r="V42" i="1"/>
  <c r="T42" i="1"/>
  <c r="Q42" i="1"/>
  <c r="N42" i="1"/>
  <c r="L42" i="1"/>
  <c r="F42" i="1"/>
  <c r="F40" i="1"/>
  <c r="V38" i="1"/>
  <c r="T38" i="1"/>
  <c r="Q38" i="1"/>
  <c r="N38" i="1"/>
  <c r="L38" i="1"/>
  <c r="F38" i="1"/>
  <c r="F36" i="1"/>
  <c r="V34" i="1"/>
  <c r="T34" i="1"/>
  <c r="Q34" i="1"/>
  <c r="N34" i="1"/>
  <c r="L34" i="1"/>
  <c r="F34" i="1"/>
  <c r="F32" i="1"/>
  <c r="V30" i="1"/>
  <c r="T30" i="1"/>
  <c r="Q30" i="1"/>
  <c r="N30" i="1"/>
  <c r="L30" i="1"/>
  <c r="F30" i="1"/>
  <c r="F28" i="1"/>
  <c r="V26" i="1"/>
  <c r="T26" i="1"/>
  <c r="Q26" i="1"/>
  <c r="N26" i="1"/>
  <c r="L26" i="1"/>
  <c r="F26" i="1"/>
  <c r="F24" i="1"/>
  <c r="V22" i="1"/>
  <c r="T22" i="1"/>
  <c r="Q22" i="1"/>
  <c r="N22" i="1"/>
  <c r="L22" i="1"/>
  <c r="F22" i="1"/>
  <c r="F20" i="1"/>
  <c r="V18" i="1"/>
  <c r="T18" i="1"/>
  <c r="Q18" i="1"/>
  <c r="N18" i="1"/>
  <c r="L18" i="1"/>
  <c r="C19" i="1"/>
  <c r="F134" i="1"/>
  <c r="V132" i="1"/>
  <c r="T132" i="1"/>
  <c r="Q132" i="1"/>
  <c r="N132" i="1"/>
  <c r="L132" i="1"/>
  <c r="F132" i="1"/>
  <c r="F130" i="1"/>
  <c r="V128" i="1"/>
  <c r="T128" i="1"/>
  <c r="Q128" i="1"/>
  <c r="N128" i="1"/>
  <c r="L128" i="1"/>
  <c r="F128" i="1"/>
  <c r="F126" i="1"/>
  <c r="V124" i="1"/>
  <c r="T124" i="1"/>
  <c r="Q124" i="1"/>
  <c r="N124" i="1"/>
  <c r="L124" i="1"/>
  <c r="F124" i="1"/>
  <c r="F122" i="1"/>
  <c r="V120" i="1"/>
  <c r="T120" i="1"/>
  <c r="Q120" i="1"/>
  <c r="N120" i="1"/>
  <c r="L120" i="1"/>
  <c r="F120" i="1"/>
  <c r="F118" i="1"/>
  <c r="V116" i="1"/>
  <c r="T116" i="1"/>
  <c r="Q116" i="1"/>
  <c r="N116" i="1"/>
  <c r="L116" i="1"/>
  <c r="F116" i="1"/>
  <c r="F114" i="1"/>
  <c r="V112" i="1"/>
  <c r="T112" i="1"/>
  <c r="Q112" i="1"/>
  <c r="N112" i="1"/>
  <c r="L112" i="1"/>
  <c r="F112" i="1"/>
  <c r="F110" i="1"/>
  <c r="V108" i="1"/>
  <c r="T108" i="1"/>
  <c r="Q108" i="1"/>
  <c r="N108" i="1"/>
  <c r="L108" i="1"/>
  <c r="F108" i="1"/>
  <c r="F106" i="1"/>
  <c r="V104" i="1"/>
  <c r="T104" i="1"/>
  <c r="Q104" i="1"/>
  <c r="N104" i="1"/>
  <c r="L104" i="1"/>
  <c r="F104" i="1"/>
  <c r="F102" i="1"/>
  <c r="V100" i="1"/>
  <c r="T100" i="1"/>
  <c r="Q100" i="1"/>
  <c r="N100" i="1"/>
  <c r="L100" i="1"/>
  <c r="F100" i="1"/>
  <c r="F98" i="1"/>
  <c r="V96" i="1"/>
  <c r="T96" i="1"/>
  <c r="Q96" i="1"/>
  <c r="N96" i="1"/>
  <c r="L96" i="1"/>
  <c r="F96" i="1"/>
  <c r="F212" i="1"/>
  <c r="V210" i="1"/>
  <c r="T210" i="1"/>
  <c r="Q210" i="1"/>
  <c r="N210" i="1"/>
  <c r="L210" i="1"/>
  <c r="F210" i="1"/>
  <c r="F208" i="1"/>
  <c r="V206" i="1"/>
  <c r="T206" i="1"/>
  <c r="Q206" i="1"/>
  <c r="N206" i="1"/>
  <c r="L206" i="1"/>
  <c r="F206" i="1"/>
  <c r="F204" i="1"/>
  <c r="V202" i="1"/>
  <c r="T202" i="1"/>
  <c r="Q202" i="1"/>
  <c r="N202" i="1"/>
  <c r="L202" i="1"/>
  <c r="F202" i="1"/>
  <c r="F200" i="1"/>
  <c r="V198" i="1"/>
  <c r="T198" i="1"/>
  <c r="Q198" i="1"/>
  <c r="N198" i="1"/>
  <c r="L198" i="1"/>
  <c r="F198" i="1"/>
  <c r="F196" i="1"/>
  <c r="V194" i="1"/>
  <c r="T194" i="1"/>
  <c r="Q194" i="1"/>
  <c r="N194" i="1"/>
  <c r="L194" i="1"/>
  <c r="F194" i="1"/>
  <c r="F192" i="1"/>
  <c r="V190" i="1"/>
  <c r="T190" i="1"/>
  <c r="Q190" i="1"/>
  <c r="N190" i="1"/>
  <c r="L190" i="1"/>
  <c r="F190" i="1"/>
  <c r="F188" i="1"/>
  <c r="V186" i="1"/>
  <c r="T186" i="1"/>
  <c r="Q186" i="1"/>
  <c r="N186" i="1"/>
  <c r="L186" i="1"/>
  <c r="F186" i="1"/>
  <c r="F184" i="1"/>
  <c r="V182" i="1"/>
  <c r="T182" i="1"/>
  <c r="Q182" i="1"/>
  <c r="N182" i="1"/>
  <c r="L182" i="1"/>
  <c r="F182" i="1"/>
  <c r="F180" i="1"/>
  <c r="V178" i="1"/>
  <c r="T178" i="1"/>
  <c r="Q178" i="1"/>
  <c r="N178" i="1"/>
  <c r="L178" i="1"/>
  <c r="F178" i="1"/>
  <c r="F176" i="1"/>
  <c r="V174" i="1"/>
  <c r="T174" i="1"/>
  <c r="Q174" i="1"/>
  <c r="N174" i="1"/>
  <c r="L174" i="1"/>
  <c r="F174" i="1"/>
  <c r="F290" i="1"/>
  <c r="V288" i="1"/>
  <c r="T288" i="1"/>
  <c r="Q288" i="1"/>
  <c r="N288" i="1"/>
  <c r="L288" i="1"/>
  <c r="F288" i="1"/>
  <c r="F286" i="1"/>
  <c r="V284" i="1"/>
  <c r="T284" i="1"/>
  <c r="Q284" i="1"/>
  <c r="N284" i="1"/>
  <c r="L284" i="1"/>
  <c r="F284" i="1"/>
  <c r="F282" i="1"/>
  <c r="V280" i="1"/>
  <c r="T280" i="1"/>
  <c r="Q280" i="1"/>
  <c r="N280" i="1"/>
  <c r="L280" i="1"/>
  <c r="F280" i="1"/>
  <c r="F278" i="1"/>
  <c r="V276" i="1"/>
  <c r="T276" i="1"/>
  <c r="Q276" i="1"/>
  <c r="N276" i="1"/>
  <c r="L276" i="1"/>
  <c r="F276" i="1"/>
  <c r="F274" i="1"/>
  <c r="V272" i="1"/>
  <c r="T272" i="1"/>
  <c r="Q272" i="1"/>
  <c r="N272" i="1"/>
  <c r="L272" i="1"/>
  <c r="F272" i="1"/>
  <c r="F270" i="1"/>
  <c r="V268" i="1"/>
  <c r="T268" i="1"/>
  <c r="Q268" i="1"/>
  <c r="N268" i="1"/>
  <c r="L268" i="1"/>
  <c r="F268" i="1"/>
  <c r="F266" i="1"/>
  <c r="V264" i="1"/>
  <c r="T264" i="1"/>
  <c r="Q264" i="1"/>
  <c r="N264" i="1"/>
  <c r="L264" i="1"/>
  <c r="F264" i="1"/>
  <c r="F262" i="1"/>
  <c r="V260" i="1"/>
  <c r="T260" i="1"/>
  <c r="Q260" i="1"/>
  <c r="N260" i="1"/>
  <c r="L260" i="1"/>
  <c r="F260" i="1"/>
  <c r="F258" i="1"/>
  <c r="V256" i="1"/>
  <c r="T256" i="1"/>
  <c r="Q256" i="1"/>
  <c r="N256" i="1"/>
  <c r="L256" i="1"/>
  <c r="F256" i="1"/>
  <c r="F254" i="1"/>
  <c r="V252" i="1"/>
  <c r="T252" i="1"/>
  <c r="Q252" i="1"/>
  <c r="N252" i="1"/>
  <c r="L252" i="1"/>
  <c r="F252" i="1"/>
  <c r="F368" i="1"/>
  <c r="V366" i="1"/>
  <c r="T366" i="1"/>
  <c r="Q366" i="1"/>
  <c r="N366" i="1"/>
  <c r="L366" i="1"/>
  <c r="F366" i="1"/>
  <c r="F364" i="1"/>
  <c r="V362" i="1"/>
  <c r="T362" i="1"/>
  <c r="Q362" i="1"/>
  <c r="N362" i="1"/>
  <c r="L362" i="1"/>
  <c r="F362" i="1"/>
  <c r="F360" i="1"/>
  <c r="V358" i="1"/>
  <c r="T358" i="1"/>
  <c r="Q358" i="1"/>
  <c r="N358" i="1"/>
  <c r="L358" i="1"/>
  <c r="F358" i="1"/>
  <c r="F356" i="1"/>
  <c r="V354" i="1"/>
  <c r="T354" i="1"/>
  <c r="Q354" i="1"/>
  <c r="N354" i="1"/>
  <c r="L354" i="1"/>
  <c r="F354" i="1"/>
  <c r="F352" i="1"/>
  <c r="V350" i="1"/>
  <c r="T350" i="1"/>
  <c r="Q350" i="1"/>
  <c r="N350" i="1"/>
  <c r="L350" i="1"/>
  <c r="F350" i="1"/>
  <c r="F348" i="1"/>
  <c r="V346" i="1"/>
  <c r="T346" i="1"/>
  <c r="Q346" i="1"/>
  <c r="N346" i="1"/>
  <c r="L346" i="1"/>
  <c r="F346" i="1"/>
  <c r="F344" i="1"/>
  <c r="V342" i="1"/>
  <c r="T342" i="1"/>
  <c r="Q342" i="1"/>
  <c r="N342" i="1"/>
  <c r="L342" i="1"/>
  <c r="F342" i="1"/>
  <c r="F340" i="1"/>
  <c r="V338" i="1"/>
  <c r="T338" i="1"/>
  <c r="Q338" i="1"/>
  <c r="N338" i="1"/>
  <c r="L338" i="1"/>
  <c r="F338" i="1"/>
  <c r="F336" i="1"/>
  <c r="V334" i="1"/>
  <c r="T334" i="1"/>
  <c r="Q334" i="1"/>
  <c r="N334" i="1"/>
  <c r="L334" i="1"/>
  <c r="F334" i="1"/>
  <c r="F332" i="1"/>
  <c r="V330" i="1"/>
  <c r="T330" i="1"/>
  <c r="Q330" i="1"/>
  <c r="N330" i="1"/>
  <c r="L330" i="1"/>
  <c r="F330" i="1"/>
  <c r="E2284" i="1"/>
  <c r="E2288" i="1" s="1"/>
  <c r="F2290" i="1" s="1"/>
  <c r="F2282" i="1"/>
  <c r="V2280" i="1"/>
  <c r="T2280" i="1"/>
  <c r="Q2280" i="1"/>
  <c r="N2280" i="1"/>
  <c r="L2280" i="1"/>
  <c r="F2280" i="1"/>
  <c r="E2206" i="1"/>
  <c r="F2204" i="1"/>
  <c r="V2202" i="1"/>
  <c r="T2202" i="1"/>
  <c r="Q2202" i="1"/>
  <c r="N2202" i="1"/>
  <c r="L2202" i="1"/>
  <c r="F2202" i="1"/>
  <c r="E2128" i="1"/>
  <c r="T2128" i="1" s="1"/>
  <c r="F2126" i="1"/>
  <c r="V2124" i="1"/>
  <c r="T2124" i="1"/>
  <c r="Q2124" i="1"/>
  <c r="N2124" i="1"/>
  <c r="L2124" i="1"/>
  <c r="F2124" i="1"/>
  <c r="E2050" i="1"/>
  <c r="E2054" i="1" s="1"/>
  <c r="F2048" i="1"/>
  <c r="V2046" i="1"/>
  <c r="T2046" i="1"/>
  <c r="Q2046" i="1"/>
  <c r="N2046" i="1"/>
  <c r="L2046" i="1"/>
  <c r="F2046" i="1"/>
  <c r="E1972" i="1"/>
  <c r="E1976" i="1" s="1"/>
  <c r="E1980" i="1" s="1"/>
  <c r="F1970" i="1"/>
  <c r="V1968" i="1"/>
  <c r="T1968" i="1"/>
  <c r="Q1968" i="1"/>
  <c r="N1968" i="1"/>
  <c r="L1968" i="1"/>
  <c r="F1968" i="1"/>
  <c r="E1894" i="1"/>
  <c r="V1894" i="1" s="1"/>
  <c r="F1892" i="1"/>
  <c r="V1890" i="1"/>
  <c r="T1890" i="1"/>
  <c r="Q1890" i="1"/>
  <c r="N1890" i="1"/>
  <c r="L1890" i="1"/>
  <c r="F1890" i="1"/>
  <c r="E1816" i="1"/>
  <c r="F1816" i="1" s="1"/>
  <c r="F1814" i="1"/>
  <c r="V1812" i="1"/>
  <c r="T1812" i="1"/>
  <c r="Q1812" i="1"/>
  <c r="N1812" i="1"/>
  <c r="L1812" i="1"/>
  <c r="F1812" i="1"/>
  <c r="E1746" i="1"/>
  <c r="F1746" i="1" s="1"/>
  <c r="E1738" i="1"/>
  <c r="E1742" i="1" s="1"/>
  <c r="V1742" i="1" s="1"/>
  <c r="F1736" i="1"/>
  <c r="V1734" i="1"/>
  <c r="T1734" i="1"/>
  <c r="Q1734" i="1"/>
  <c r="N1734" i="1"/>
  <c r="L1734" i="1"/>
  <c r="F1734" i="1"/>
  <c r="V1660" i="1"/>
  <c r="E1660" i="1"/>
  <c r="E1664" i="1" s="1"/>
  <c r="F1658" i="1"/>
  <c r="V1656" i="1"/>
  <c r="T1656" i="1"/>
  <c r="Q1656" i="1"/>
  <c r="N1656" i="1"/>
  <c r="L1656" i="1"/>
  <c r="F1656" i="1"/>
  <c r="E1582" i="1"/>
  <c r="E1586" i="1" s="1"/>
  <c r="F1580" i="1"/>
  <c r="V1578" i="1"/>
  <c r="T1578" i="1"/>
  <c r="Q1578" i="1"/>
  <c r="N1578" i="1"/>
  <c r="L1578" i="1"/>
  <c r="F1578" i="1"/>
  <c r="E1504" i="1"/>
  <c r="E1508" i="1" s="1"/>
  <c r="E1426" i="1"/>
  <c r="F1428" i="1" s="1"/>
  <c r="E1348" i="1"/>
  <c r="F1350" i="1" s="1"/>
  <c r="E1270" i="1"/>
  <c r="L1270" i="1" s="1"/>
  <c r="E1192" i="1"/>
  <c r="E1196" i="1" s="1"/>
  <c r="E1114" i="1"/>
  <c r="N1114" i="1" s="1"/>
  <c r="E1036" i="1"/>
  <c r="V1036" i="1" s="1"/>
  <c r="E958" i="1"/>
  <c r="F958" i="1" s="1"/>
  <c r="E880" i="1"/>
  <c r="E884" i="1" s="1"/>
  <c r="E802" i="1"/>
  <c r="T802" i="1" s="1"/>
  <c r="Q1504" i="1"/>
  <c r="F1502" i="1"/>
  <c r="V1500" i="1"/>
  <c r="T1500" i="1"/>
  <c r="Q1500" i="1"/>
  <c r="N1500" i="1"/>
  <c r="L1500" i="1"/>
  <c r="F1500" i="1"/>
  <c r="V1426" i="1"/>
  <c r="T1426" i="1"/>
  <c r="F1424" i="1"/>
  <c r="V1422" i="1"/>
  <c r="T1422" i="1"/>
  <c r="Q1422" i="1"/>
  <c r="N1422" i="1"/>
  <c r="L1422" i="1"/>
  <c r="F1422" i="1"/>
  <c r="F1346" i="1"/>
  <c r="V1344" i="1"/>
  <c r="T1344" i="1"/>
  <c r="Q1344" i="1"/>
  <c r="N1344" i="1"/>
  <c r="L1344" i="1"/>
  <c r="F1344" i="1"/>
  <c r="Q1270" i="1"/>
  <c r="N1270" i="1"/>
  <c r="F1268" i="1"/>
  <c r="V1266" i="1"/>
  <c r="T1266" i="1"/>
  <c r="Q1266" i="1"/>
  <c r="N1266" i="1"/>
  <c r="L1266" i="1"/>
  <c r="F1266" i="1"/>
  <c r="F1190" i="1"/>
  <c r="V1188" i="1"/>
  <c r="T1188" i="1"/>
  <c r="Q1188" i="1"/>
  <c r="N1188" i="1"/>
  <c r="L1188" i="1"/>
  <c r="F1188" i="1"/>
  <c r="F1114" i="1"/>
  <c r="F1112" i="1"/>
  <c r="V1110" i="1"/>
  <c r="T1110" i="1"/>
  <c r="Q1110" i="1"/>
  <c r="N1110" i="1"/>
  <c r="L1110" i="1"/>
  <c r="F1110" i="1"/>
  <c r="F1034" i="1"/>
  <c r="V1032" i="1"/>
  <c r="T1032" i="1"/>
  <c r="Q1032" i="1"/>
  <c r="N1032" i="1"/>
  <c r="L1032" i="1"/>
  <c r="F1032" i="1"/>
  <c r="T958" i="1"/>
  <c r="Q958" i="1"/>
  <c r="F956" i="1"/>
  <c r="V954" i="1"/>
  <c r="T954" i="1"/>
  <c r="Q954" i="1"/>
  <c r="N954" i="1"/>
  <c r="L954" i="1"/>
  <c r="F954" i="1"/>
  <c r="F878" i="1"/>
  <c r="V876" i="1"/>
  <c r="T876" i="1"/>
  <c r="Q876" i="1"/>
  <c r="N876" i="1"/>
  <c r="L876" i="1"/>
  <c r="F876" i="1"/>
  <c r="F800" i="1"/>
  <c r="V798" i="1"/>
  <c r="T798" i="1"/>
  <c r="Q798" i="1"/>
  <c r="N798" i="1"/>
  <c r="L798" i="1"/>
  <c r="F798" i="1"/>
  <c r="F758" i="1"/>
  <c r="V756" i="1"/>
  <c r="T756" i="1"/>
  <c r="Q756" i="1"/>
  <c r="N756" i="1"/>
  <c r="L756" i="1"/>
  <c r="F756" i="1"/>
  <c r="F754" i="1"/>
  <c r="V752" i="1"/>
  <c r="T752" i="1"/>
  <c r="Q752" i="1"/>
  <c r="N752" i="1"/>
  <c r="L752" i="1"/>
  <c r="F752" i="1"/>
  <c r="F750" i="1"/>
  <c r="V748" i="1"/>
  <c r="T748" i="1"/>
  <c r="Q748" i="1"/>
  <c r="N748" i="1"/>
  <c r="L748" i="1"/>
  <c r="F748" i="1"/>
  <c r="F746" i="1"/>
  <c r="V744" i="1"/>
  <c r="T744" i="1"/>
  <c r="Q744" i="1"/>
  <c r="N744" i="1"/>
  <c r="L744" i="1"/>
  <c r="F744" i="1"/>
  <c r="F742" i="1"/>
  <c r="V740" i="1"/>
  <c r="T740" i="1"/>
  <c r="Q740" i="1"/>
  <c r="N740" i="1"/>
  <c r="L740" i="1"/>
  <c r="F740" i="1"/>
  <c r="F738" i="1"/>
  <c r="V736" i="1"/>
  <c r="T736" i="1"/>
  <c r="Q736" i="1"/>
  <c r="N736" i="1"/>
  <c r="L736" i="1"/>
  <c r="F736" i="1"/>
  <c r="F734" i="1"/>
  <c r="V732" i="1"/>
  <c r="T732" i="1"/>
  <c r="Q732" i="1"/>
  <c r="N732" i="1"/>
  <c r="L732" i="1"/>
  <c r="F732" i="1"/>
  <c r="F730" i="1"/>
  <c r="V728" i="1"/>
  <c r="T728" i="1"/>
  <c r="Q728" i="1"/>
  <c r="N728" i="1"/>
  <c r="L728" i="1"/>
  <c r="F728" i="1"/>
  <c r="F726" i="1"/>
  <c r="V724" i="1"/>
  <c r="T724" i="1"/>
  <c r="Q724" i="1"/>
  <c r="N724" i="1"/>
  <c r="L724" i="1"/>
  <c r="F724" i="1"/>
  <c r="F722" i="1"/>
  <c r="V720" i="1"/>
  <c r="T720" i="1"/>
  <c r="Q720" i="1"/>
  <c r="N720" i="1"/>
  <c r="L720" i="1"/>
  <c r="F720" i="1"/>
  <c r="F680" i="1"/>
  <c r="V678" i="1"/>
  <c r="T678" i="1"/>
  <c r="Q678" i="1"/>
  <c r="N678" i="1"/>
  <c r="L678" i="1"/>
  <c r="F678" i="1"/>
  <c r="F676" i="1"/>
  <c r="V674" i="1"/>
  <c r="T674" i="1"/>
  <c r="Q674" i="1"/>
  <c r="N674" i="1"/>
  <c r="L674" i="1"/>
  <c r="F674" i="1"/>
  <c r="F672" i="1"/>
  <c r="V670" i="1"/>
  <c r="T670" i="1"/>
  <c r="Q670" i="1"/>
  <c r="N670" i="1"/>
  <c r="L670" i="1"/>
  <c r="F670" i="1"/>
  <c r="F668" i="1"/>
  <c r="V666" i="1"/>
  <c r="T666" i="1"/>
  <c r="Q666" i="1"/>
  <c r="N666" i="1"/>
  <c r="L666" i="1"/>
  <c r="F666" i="1"/>
  <c r="F664" i="1"/>
  <c r="V662" i="1"/>
  <c r="T662" i="1"/>
  <c r="Q662" i="1"/>
  <c r="N662" i="1"/>
  <c r="L662" i="1"/>
  <c r="F662" i="1"/>
  <c r="F660" i="1"/>
  <c r="V658" i="1"/>
  <c r="T658" i="1"/>
  <c r="Q658" i="1"/>
  <c r="N658" i="1"/>
  <c r="L658" i="1"/>
  <c r="F658" i="1"/>
  <c r="F656" i="1"/>
  <c r="V654" i="1"/>
  <c r="T654" i="1"/>
  <c r="Q654" i="1"/>
  <c r="N654" i="1"/>
  <c r="L654" i="1"/>
  <c r="F654" i="1"/>
  <c r="F652" i="1"/>
  <c r="V650" i="1"/>
  <c r="T650" i="1"/>
  <c r="Q650" i="1"/>
  <c r="N650" i="1"/>
  <c r="L650" i="1"/>
  <c r="F650" i="1"/>
  <c r="F648" i="1"/>
  <c r="V646" i="1"/>
  <c r="T646" i="1"/>
  <c r="Q646" i="1"/>
  <c r="N646" i="1"/>
  <c r="L646" i="1"/>
  <c r="F646" i="1"/>
  <c r="F644" i="1"/>
  <c r="V642" i="1"/>
  <c r="T642" i="1"/>
  <c r="Q642" i="1"/>
  <c r="N642" i="1"/>
  <c r="L642" i="1"/>
  <c r="F642" i="1"/>
  <c r="F524" i="1"/>
  <c r="V522" i="1"/>
  <c r="T522" i="1"/>
  <c r="Q522" i="1"/>
  <c r="N522" i="1"/>
  <c r="L522" i="1"/>
  <c r="F522" i="1"/>
  <c r="F520" i="1"/>
  <c r="V518" i="1"/>
  <c r="T518" i="1"/>
  <c r="Q518" i="1"/>
  <c r="N518" i="1"/>
  <c r="L518" i="1"/>
  <c r="F518" i="1"/>
  <c r="F516" i="1"/>
  <c r="V514" i="1"/>
  <c r="T514" i="1"/>
  <c r="Q514" i="1"/>
  <c r="N514" i="1"/>
  <c r="L514" i="1"/>
  <c r="F514" i="1"/>
  <c r="F512" i="1"/>
  <c r="V510" i="1"/>
  <c r="T510" i="1"/>
  <c r="Q510" i="1"/>
  <c r="N510" i="1"/>
  <c r="L510" i="1"/>
  <c r="F510" i="1"/>
  <c r="F508" i="1"/>
  <c r="V506" i="1"/>
  <c r="T506" i="1"/>
  <c r="Q506" i="1"/>
  <c r="N506" i="1"/>
  <c r="L506" i="1"/>
  <c r="F506" i="1"/>
  <c r="F504" i="1"/>
  <c r="V502" i="1"/>
  <c r="T502" i="1"/>
  <c r="Q502" i="1"/>
  <c r="N502" i="1"/>
  <c r="L502" i="1"/>
  <c r="F502" i="1"/>
  <c r="F500" i="1"/>
  <c r="V498" i="1"/>
  <c r="T498" i="1"/>
  <c r="Q498" i="1"/>
  <c r="N498" i="1"/>
  <c r="L498" i="1"/>
  <c r="F498" i="1"/>
  <c r="F496" i="1"/>
  <c r="V494" i="1"/>
  <c r="T494" i="1"/>
  <c r="Q494" i="1"/>
  <c r="N494" i="1"/>
  <c r="L494" i="1"/>
  <c r="F494" i="1"/>
  <c r="F492" i="1"/>
  <c r="V490" i="1"/>
  <c r="T490" i="1"/>
  <c r="Q490" i="1"/>
  <c r="N490" i="1"/>
  <c r="L490" i="1"/>
  <c r="F490" i="1"/>
  <c r="F488" i="1"/>
  <c r="V486" i="1"/>
  <c r="T486" i="1"/>
  <c r="Q486" i="1"/>
  <c r="N486" i="1"/>
  <c r="L486" i="1"/>
  <c r="F486" i="1"/>
  <c r="F602" i="1"/>
  <c r="V600" i="1"/>
  <c r="T600" i="1"/>
  <c r="Q600" i="1"/>
  <c r="N600" i="1"/>
  <c r="L600" i="1"/>
  <c r="F600" i="1"/>
  <c r="F598" i="1"/>
  <c r="V596" i="1"/>
  <c r="T596" i="1"/>
  <c r="Q596" i="1"/>
  <c r="N596" i="1"/>
  <c r="L596" i="1"/>
  <c r="F596" i="1"/>
  <c r="F594" i="1"/>
  <c r="V592" i="1"/>
  <c r="T592" i="1"/>
  <c r="Q592" i="1"/>
  <c r="N592" i="1"/>
  <c r="L592" i="1"/>
  <c r="F592" i="1"/>
  <c r="F590" i="1"/>
  <c r="V588" i="1"/>
  <c r="T588" i="1"/>
  <c r="Q588" i="1"/>
  <c r="N588" i="1"/>
  <c r="L588" i="1"/>
  <c r="F588" i="1"/>
  <c r="F586" i="1"/>
  <c r="V584" i="1"/>
  <c r="T584" i="1"/>
  <c r="Q584" i="1"/>
  <c r="N584" i="1"/>
  <c r="L584" i="1"/>
  <c r="F584" i="1"/>
  <c r="F582" i="1"/>
  <c r="V580" i="1"/>
  <c r="T580" i="1"/>
  <c r="Q580" i="1"/>
  <c r="N580" i="1"/>
  <c r="L580" i="1"/>
  <c r="F580" i="1"/>
  <c r="F578" i="1"/>
  <c r="V576" i="1"/>
  <c r="T576" i="1"/>
  <c r="Q576" i="1"/>
  <c r="N576" i="1"/>
  <c r="L576" i="1"/>
  <c r="F576" i="1"/>
  <c r="F574" i="1"/>
  <c r="V572" i="1"/>
  <c r="T572" i="1"/>
  <c r="Q572" i="1"/>
  <c r="N572" i="1"/>
  <c r="L572" i="1"/>
  <c r="F572" i="1"/>
  <c r="F570" i="1"/>
  <c r="V568" i="1"/>
  <c r="T568" i="1"/>
  <c r="Q568" i="1"/>
  <c r="N568" i="1"/>
  <c r="L568" i="1"/>
  <c r="F568" i="1"/>
  <c r="F566" i="1"/>
  <c r="V564" i="1"/>
  <c r="T564" i="1"/>
  <c r="Q564" i="1"/>
  <c r="N564" i="1"/>
  <c r="L564" i="1"/>
  <c r="F564" i="1"/>
  <c r="F446" i="1"/>
  <c r="V444" i="1"/>
  <c r="T444" i="1"/>
  <c r="Q444" i="1"/>
  <c r="N444" i="1"/>
  <c r="L444" i="1"/>
  <c r="F444" i="1"/>
  <c r="F442" i="1"/>
  <c r="V440" i="1"/>
  <c r="T440" i="1"/>
  <c r="Q440" i="1"/>
  <c r="N440" i="1"/>
  <c r="L440" i="1"/>
  <c r="F440" i="1"/>
  <c r="F438" i="1"/>
  <c r="V436" i="1"/>
  <c r="T436" i="1"/>
  <c r="Q436" i="1"/>
  <c r="N436" i="1"/>
  <c r="L436" i="1"/>
  <c r="F436" i="1"/>
  <c r="F434" i="1"/>
  <c r="V432" i="1"/>
  <c r="T432" i="1"/>
  <c r="Q432" i="1"/>
  <c r="N432" i="1"/>
  <c r="L432" i="1"/>
  <c r="F432" i="1"/>
  <c r="F430" i="1"/>
  <c r="V428" i="1"/>
  <c r="T428" i="1"/>
  <c r="Q428" i="1"/>
  <c r="N428" i="1"/>
  <c r="L428" i="1"/>
  <c r="F428" i="1"/>
  <c r="F426" i="1"/>
  <c r="V424" i="1"/>
  <c r="T424" i="1"/>
  <c r="Q424" i="1"/>
  <c r="N424" i="1"/>
  <c r="L424" i="1"/>
  <c r="F424" i="1"/>
  <c r="F422" i="1"/>
  <c r="V420" i="1"/>
  <c r="T420" i="1"/>
  <c r="Q420" i="1"/>
  <c r="N420" i="1"/>
  <c r="L420" i="1"/>
  <c r="F420" i="1"/>
  <c r="F418" i="1"/>
  <c r="V416" i="1"/>
  <c r="T416" i="1"/>
  <c r="Q416" i="1"/>
  <c r="N416" i="1"/>
  <c r="L416" i="1"/>
  <c r="F416" i="1"/>
  <c r="F414" i="1"/>
  <c r="V412" i="1"/>
  <c r="T412" i="1"/>
  <c r="Q412" i="1"/>
  <c r="N412" i="1"/>
  <c r="L412" i="1"/>
  <c r="F412" i="1"/>
  <c r="V408" i="1"/>
  <c r="T408" i="1"/>
  <c r="Q408" i="1"/>
  <c r="N408" i="1"/>
  <c r="L408" i="1"/>
  <c r="F410" i="1"/>
  <c r="F408" i="1"/>
  <c r="F2130" i="1" l="1"/>
  <c r="V2128" i="1"/>
  <c r="E2132" i="1"/>
  <c r="Q2132" i="1" s="1"/>
  <c r="F1504" i="1"/>
  <c r="L1504" i="1"/>
  <c r="N1504" i="1"/>
  <c r="T1504" i="1"/>
  <c r="F1348" i="1"/>
  <c r="L1114" i="1"/>
  <c r="F880" i="1"/>
  <c r="L880" i="1"/>
  <c r="L802" i="1"/>
  <c r="F802" i="1"/>
  <c r="X802" i="1" s="1"/>
  <c r="C803" i="1" s="1"/>
  <c r="X510" i="1"/>
  <c r="C511" i="1" s="1"/>
  <c r="X728" i="1"/>
  <c r="C729" i="1" s="1"/>
  <c r="X358" i="1"/>
  <c r="C359" i="1" s="1"/>
  <c r="X186" i="1"/>
  <c r="C187" i="1" s="1"/>
  <c r="X132" i="1"/>
  <c r="C133" i="1" s="1"/>
  <c r="X592" i="1"/>
  <c r="C593" i="1" s="1"/>
  <c r="X654" i="1"/>
  <c r="C655" i="1" s="1"/>
  <c r="X756" i="1"/>
  <c r="C757" i="1" s="1"/>
  <c r="F923" i="1"/>
  <c r="X876" i="1"/>
  <c r="C877" i="1" s="1"/>
  <c r="X1114" i="1"/>
  <c r="C1115" i="1" s="1"/>
  <c r="X268" i="1"/>
  <c r="C269" i="1" s="1"/>
  <c r="H156" i="1"/>
  <c r="X96" i="1"/>
  <c r="C97" i="1" s="1"/>
  <c r="X42" i="1"/>
  <c r="C43" i="1" s="1"/>
  <c r="X564" i="1"/>
  <c r="C565" i="1" s="1"/>
  <c r="X502" i="1"/>
  <c r="C503" i="1" s="1"/>
  <c r="F767" i="1"/>
  <c r="X720" i="1"/>
  <c r="X958" i="1"/>
  <c r="C959" i="1" s="1"/>
  <c r="X1656" i="1"/>
  <c r="C1657" i="1" s="1"/>
  <c r="X350" i="1"/>
  <c r="C351" i="1" s="1"/>
  <c r="X178" i="1"/>
  <c r="C179" i="1" s="1"/>
  <c r="X124" i="1"/>
  <c r="C125" i="1" s="1"/>
  <c r="X584" i="1"/>
  <c r="C585" i="1" s="1"/>
  <c r="X646" i="1"/>
  <c r="C647" i="1" s="1"/>
  <c r="X748" i="1"/>
  <c r="C749" i="1" s="1"/>
  <c r="F1079" i="1"/>
  <c r="X1032" i="1"/>
  <c r="C1033" i="1" s="1"/>
  <c r="X1188" i="1"/>
  <c r="C1189" i="1" s="1"/>
  <c r="F1391" i="1"/>
  <c r="X1344" i="1"/>
  <c r="C1345" i="1" s="1"/>
  <c r="X1746" i="1"/>
  <c r="C1747" i="1" s="1"/>
  <c r="X260" i="1"/>
  <c r="C261" i="1" s="1"/>
  <c r="X206" i="1"/>
  <c r="C207" i="1" s="1"/>
  <c r="X34" i="1"/>
  <c r="C35" i="1" s="1"/>
  <c r="X494" i="1"/>
  <c r="C495" i="1" s="1"/>
  <c r="X674" i="1"/>
  <c r="C675" i="1" s="1"/>
  <c r="X1500" i="1"/>
  <c r="C1501" i="1" s="1"/>
  <c r="F1859" i="1"/>
  <c r="X1812" i="1"/>
  <c r="C1813" i="1" s="1"/>
  <c r="F2015" i="1"/>
  <c r="X1968" i="1"/>
  <c r="C1969" i="1" s="1"/>
  <c r="F2171" i="1"/>
  <c r="X2124" i="1"/>
  <c r="C2125" i="1" s="1"/>
  <c r="X342" i="1"/>
  <c r="C343" i="1" s="1"/>
  <c r="X288" i="1"/>
  <c r="C289" i="1" s="1"/>
  <c r="X116" i="1"/>
  <c r="C117" i="1" s="1"/>
  <c r="X576" i="1"/>
  <c r="C577" i="1" s="1"/>
  <c r="X522" i="1"/>
  <c r="C523" i="1" s="1"/>
  <c r="X740" i="1"/>
  <c r="C741" i="1" s="1"/>
  <c r="F299" i="1"/>
  <c r="X252" i="1"/>
  <c r="C253" i="1" s="1"/>
  <c r="X198" i="1"/>
  <c r="C199" i="1" s="1"/>
  <c r="X26" i="1"/>
  <c r="C27" i="1" s="1"/>
  <c r="X432" i="1"/>
  <c r="C433" i="1" s="1"/>
  <c r="X486" i="1"/>
  <c r="C487" i="1" s="1"/>
  <c r="X666" i="1"/>
  <c r="C667" i="1" s="1"/>
  <c r="X334" i="1"/>
  <c r="C335" i="1" s="1"/>
  <c r="X280" i="1"/>
  <c r="C281" i="1" s="1"/>
  <c r="X108" i="1"/>
  <c r="C109" i="1" s="1"/>
  <c r="X54" i="1"/>
  <c r="C55" i="1" s="1"/>
  <c r="X568" i="1"/>
  <c r="C569" i="1" s="1"/>
  <c r="X514" i="1"/>
  <c r="C515" i="1" s="1"/>
  <c r="X732" i="1"/>
  <c r="C733" i="1" s="1"/>
  <c r="F2327" i="1"/>
  <c r="X2280" i="1"/>
  <c r="C2281" i="1" s="1"/>
  <c r="X362" i="1"/>
  <c r="C363" i="1" s="1"/>
  <c r="X190" i="1"/>
  <c r="C191" i="1" s="1"/>
  <c r="X440" i="1"/>
  <c r="C441" i="1" s="1"/>
  <c r="X416" i="1"/>
  <c r="C417" i="1" s="1"/>
  <c r="X596" i="1"/>
  <c r="C597" i="1" s="1"/>
  <c r="X658" i="1"/>
  <c r="C659" i="1" s="1"/>
  <c r="F845" i="1"/>
  <c r="X798" i="1"/>
  <c r="C799" i="1" s="1"/>
  <c r="X880" i="1"/>
  <c r="C881" i="1" s="1"/>
  <c r="X272" i="1"/>
  <c r="C273" i="1" s="1"/>
  <c r="X100" i="1"/>
  <c r="C101" i="1" s="1"/>
  <c r="X46" i="1"/>
  <c r="C47" i="1" s="1"/>
  <c r="X506" i="1"/>
  <c r="C507" i="1" s="1"/>
  <c r="X724" i="1"/>
  <c r="C725" i="1" s="1"/>
  <c r="X354" i="1"/>
  <c r="C355" i="1" s="1"/>
  <c r="X182" i="1"/>
  <c r="C183" i="1" s="1"/>
  <c r="X128" i="1"/>
  <c r="C129" i="1" s="1"/>
  <c r="X444" i="1"/>
  <c r="C445" i="1" s="1"/>
  <c r="X408" i="1"/>
  <c r="C409" i="1" s="1"/>
  <c r="X588" i="1"/>
  <c r="C589" i="1" s="1"/>
  <c r="X650" i="1"/>
  <c r="C651" i="1" s="1"/>
  <c r="X752" i="1"/>
  <c r="C753" i="1" s="1"/>
  <c r="F1001" i="1"/>
  <c r="X954" i="1"/>
  <c r="C955" i="1" s="1"/>
  <c r="F1157" i="1"/>
  <c r="X1110" i="1"/>
  <c r="C1111" i="1" s="1"/>
  <c r="X1266" i="1"/>
  <c r="C1267" i="1" s="1"/>
  <c r="X1348" i="1"/>
  <c r="C1349" i="1" s="1"/>
  <c r="F1625" i="1"/>
  <c r="X1578" i="1"/>
  <c r="C1579" i="1" s="1"/>
  <c r="X264" i="1"/>
  <c r="C265" i="1" s="1"/>
  <c r="X210" i="1"/>
  <c r="C211" i="1" s="1"/>
  <c r="X38" i="1"/>
  <c r="C39" i="1" s="1"/>
  <c r="X436" i="1"/>
  <c r="C437" i="1" s="1"/>
  <c r="X498" i="1"/>
  <c r="C499" i="1" s="1"/>
  <c r="X678" i="1"/>
  <c r="C679" i="1" s="1"/>
  <c r="X1422" i="1"/>
  <c r="C1423" i="1" s="1"/>
  <c r="X1504" i="1"/>
  <c r="C1505" i="1" s="1"/>
  <c r="F1781" i="1"/>
  <c r="X1734" i="1"/>
  <c r="X1816" i="1"/>
  <c r="C1817" i="1" s="1"/>
  <c r="X346" i="1"/>
  <c r="C347" i="1" s="1"/>
  <c r="F221" i="1"/>
  <c r="X174" i="1"/>
  <c r="C175" i="1" s="1"/>
  <c r="X120" i="1"/>
  <c r="C121" i="1" s="1"/>
  <c r="X580" i="1"/>
  <c r="C581" i="1" s="1"/>
  <c r="X642" i="1"/>
  <c r="C643" i="1" s="1"/>
  <c r="X744" i="1"/>
  <c r="C745" i="1" s="1"/>
  <c r="F1937" i="1"/>
  <c r="X1890" i="1"/>
  <c r="C1891" i="1" s="1"/>
  <c r="F2093" i="1"/>
  <c r="X2046" i="1"/>
  <c r="C2047" i="1" s="1"/>
  <c r="X256" i="1"/>
  <c r="C257" i="1" s="1"/>
  <c r="X202" i="1"/>
  <c r="C203" i="1" s="1"/>
  <c r="X30" i="1"/>
  <c r="C31" i="1" s="1"/>
  <c r="X424" i="1"/>
  <c r="C425" i="1" s="1"/>
  <c r="X490" i="1"/>
  <c r="C491" i="1" s="1"/>
  <c r="X670" i="1"/>
  <c r="C671" i="1" s="1"/>
  <c r="X338" i="1"/>
  <c r="C339" i="1" s="1"/>
  <c r="X284" i="1"/>
  <c r="C285" i="1" s="1"/>
  <c r="X112" i="1"/>
  <c r="C113" i="1" s="1"/>
  <c r="X412" i="1"/>
  <c r="C413" i="1" s="1"/>
  <c r="X428" i="1"/>
  <c r="C429" i="1" s="1"/>
  <c r="X518" i="1"/>
  <c r="C519" i="1" s="1"/>
  <c r="X736" i="1"/>
  <c r="C737" i="1" s="1"/>
  <c r="X366" i="1"/>
  <c r="C367" i="1" s="1"/>
  <c r="X194" i="1"/>
  <c r="C195" i="1" s="1"/>
  <c r="X22" i="1"/>
  <c r="C23" i="1" s="1"/>
  <c r="X572" i="1"/>
  <c r="C573" i="1" s="1"/>
  <c r="X420" i="1"/>
  <c r="C421" i="1" s="1"/>
  <c r="X600" i="1"/>
  <c r="C601" i="1" s="1"/>
  <c r="X662" i="1"/>
  <c r="C663" i="1" s="1"/>
  <c r="F2249" i="1"/>
  <c r="X2202" i="1"/>
  <c r="C2203" i="1" s="1"/>
  <c r="F377" i="1"/>
  <c r="X330" i="1"/>
  <c r="C331" i="1" s="1"/>
  <c r="X276" i="1"/>
  <c r="C277" i="1" s="1"/>
  <c r="X104" i="1"/>
  <c r="C105" i="1" s="1"/>
  <c r="X50" i="1"/>
  <c r="C51" i="1" s="1"/>
  <c r="H624" i="1"/>
  <c r="H1872" i="1"/>
  <c r="H244" i="1"/>
  <c r="Q473" i="1"/>
  <c r="L634" i="1"/>
  <c r="H868" i="1"/>
  <c r="Q1097" i="1"/>
  <c r="L1258" i="1"/>
  <c r="H1492" i="1"/>
  <c r="Q1721" i="1"/>
  <c r="L1882" i="1"/>
  <c r="H2116" i="1"/>
  <c r="H702" i="1"/>
  <c r="H1950" i="1"/>
  <c r="J244" i="1"/>
  <c r="U473" i="1"/>
  <c r="L707" i="1"/>
  <c r="J868" i="1"/>
  <c r="U1097" i="1"/>
  <c r="L1331" i="1"/>
  <c r="J1492" i="1"/>
  <c r="U1721" i="1"/>
  <c r="L1955" i="1"/>
  <c r="J2116" i="1"/>
  <c r="H780" i="1"/>
  <c r="H2028" i="1"/>
  <c r="L244" i="1"/>
  <c r="H478" i="1"/>
  <c r="Q707" i="1"/>
  <c r="L868" i="1"/>
  <c r="H1102" i="1"/>
  <c r="Q1331" i="1"/>
  <c r="L1492" i="1"/>
  <c r="H1726" i="1"/>
  <c r="Q1955" i="1"/>
  <c r="L2116" i="1"/>
  <c r="H858" i="1"/>
  <c r="H2106" i="1"/>
  <c r="L317" i="1"/>
  <c r="J478" i="1"/>
  <c r="U707" i="1"/>
  <c r="L941" i="1"/>
  <c r="J1102" i="1"/>
  <c r="U1331" i="1"/>
  <c r="L1565" i="1"/>
  <c r="J1726" i="1"/>
  <c r="U1955" i="1"/>
  <c r="L2189" i="1"/>
  <c r="H936" i="1"/>
  <c r="H2184" i="1"/>
  <c r="Q317" i="1"/>
  <c r="L478" i="1"/>
  <c r="H712" i="1"/>
  <c r="Q941" i="1"/>
  <c r="L1102" i="1"/>
  <c r="H1336" i="1"/>
  <c r="Q1565" i="1"/>
  <c r="L1726" i="1"/>
  <c r="H1960" i="1"/>
  <c r="Q2189" i="1"/>
  <c r="H1014" i="1"/>
  <c r="H2262" i="1"/>
  <c r="U317" i="1"/>
  <c r="L551" i="1"/>
  <c r="J712" i="1"/>
  <c r="U941" i="1"/>
  <c r="L1175" i="1"/>
  <c r="J1336" i="1"/>
  <c r="U1565" i="1"/>
  <c r="L1799" i="1"/>
  <c r="J1960" i="1"/>
  <c r="U2189" i="1"/>
  <c r="H1092" i="1"/>
  <c r="H2340" i="1"/>
  <c r="H322" i="1"/>
  <c r="Q551" i="1"/>
  <c r="L712" i="1"/>
  <c r="H946" i="1"/>
  <c r="Q1175" i="1"/>
  <c r="L1336" i="1"/>
  <c r="H1570" i="1"/>
  <c r="Q1799" i="1"/>
  <c r="L1960" i="1"/>
  <c r="H2194" i="1"/>
  <c r="H1170" i="1"/>
  <c r="L161" i="1"/>
  <c r="J322" i="1"/>
  <c r="U551" i="1"/>
  <c r="L785" i="1"/>
  <c r="J946" i="1"/>
  <c r="U1175" i="1"/>
  <c r="L1409" i="1"/>
  <c r="J1570" i="1"/>
  <c r="U1799" i="1"/>
  <c r="L2033" i="1"/>
  <c r="J2194" i="1"/>
  <c r="H1248" i="1"/>
  <c r="Q161" i="1"/>
  <c r="L322" i="1"/>
  <c r="H556" i="1"/>
  <c r="Q785" i="1"/>
  <c r="L946" i="1"/>
  <c r="H1180" i="1"/>
  <c r="Q1409" i="1"/>
  <c r="L1570" i="1"/>
  <c r="H1804" i="1"/>
  <c r="Q2033" i="1"/>
  <c r="L2194" i="1"/>
  <c r="H1326" i="1"/>
  <c r="U161" i="1"/>
  <c r="L395" i="1"/>
  <c r="J556" i="1"/>
  <c r="U785" i="1"/>
  <c r="L1019" i="1"/>
  <c r="J1180" i="1"/>
  <c r="U1409" i="1"/>
  <c r="L1643" i="1"/>
  <c r="J1804" i="1"/>
  <c r="U2033" i="1"/>
  <c r="L2267" i="1"/>
  <c r="H1404" i="1"/>
  <c r="H166" i="1"/>
  <c r="Q395" i="1"/>
  <c r="L556" i="1"/>
  <c r="H790" i="1"/>
  <c r="Q1019" i="1"/>
  <c r="L1180" i="1"/>
  <c r="H1414" i="1"/>
  <c r="Q1643" i="1"/>
  <c r="L1804" i="1"/>
  <c r="H2038" i="1"/>
  <c r="Q2267" i="1"/>
  <c r="H234" i="1"/>
  <c r="H1482" i="1"/>
  <c r="J166" i="1"/>
  <c r="U395" i="1"/>
  <c r="L629" i="1"/>
  <c r="J790" i="1"/>
  <c r="U1019" i="1"/>
  <c r="L1253" i="1"/>
  <c r="J1414" i="1"/>
  <c r="U1643" i="1"/>
  <c r="L1877" i="1"/>
  <c r="J2038" i="1"/>
  <c r="U2267" i="1"/>
  <c r="H312" i="1"/>
  <c r="H1560" i="1"/>
  <c r="L166" i="1"/>
  <c r="H400" i="1"/>
  <c r="Q629" i="1"/>
  <c r="L790" i="1"/>
  <c r="H1024" i="1"/>
  <c r="Q1253" i="1"/>
  <c r="L1414" i="1"/>
  <c r="H1648" i="1"/>
  <c r="Q1877" i="1"/>
  <c r="L2038" i="1"/>
  <c r="H2272" i="1"/>
  <c r="H390" i="1"/>
  <c r="H1638" i="1"/>
  <c r="L239" i="1"/>
  <c r="J400" i="1"/>
  <c r="U629" i="1"/>
  <c r="L863" i="1"/>
  <c r="J1024" i="1"/>
  <c r="U1253" i="1"/>
  <c r="L1487" i="1"/>
  <c r="J1648" i="1"/>
  <c r="U1877" i="1"/>
  <c r="L2111" i="1"/>
  <c r="J2272" i="1"/>
  <c r="H468" i="1"/>
  <c r="H1716" i="1"/>
  <c r="Q239" i="1"/>
  <c r="L400" i="1"/>
  <c r="H634" i="1"/>
  <c r="Q863" i="1"/>
  <c r="L1024" i="1"/>
  <c r="H1258" i="1"/>
  <c r="Q1487" i="1"/>
  <c r="L1648" i="1"/>
  <c r="H1882" i="1"/>
  <c r="Q2111" i="1"/>
  <c r="L2272" i="1"/>
  <c r="H546" i="1"/>
  <c r="H1794" i="1"/>
  <c r="U239" i="1"/>
  <c r="L473" i="1"/>
  <c r="J634" i="1"/>
  <c r="U863" i="1"/>
  <c r="L1097" i="1"/>
  <c r="J1258" i="1"/>
  <c r="U1487" i="1"/>
  <c r="L1721" i="1"/>
  <c r="J1882" i="1"/>
  <c r="U2111" i="1"/>
  <c r="L88" i="1"/>
  <c r="F143" i="1"/>
  <c r="Q83" i="1"/>
  <c r="N880" i="1"/>
  <c r="T1270" i="1"/>
  <c r="E1898" i="1"/>
  <c r="Q1898" i="1" s="1"/>
  <c r="U83" i="1"/>
  <c r="Q802" i="1"/>
  <c r="F1272" i="1"/>
  <c r="F1426" i="1"/>
  <c r="L83" i="1"/>
  <c r="F1896" i="1"/>
  <c r="N1894" i="1"/>
  <c r="L1426" i="1"/>
  <c r="H88" i="1"/>
  <c r="N1426" i="1"/>
  <c r="V1504" i="1"/>
  <c r="J88" i="1"/>
  <c r="N802" i="1"/>
  <c r="V1270" i="1"/>
  <c r="F804" i="1"/>
  <c r="F1038" i="1"/>
  <c r="Q1426" i="1"/>
  <c r="F1506" i="1"/>
  <c r="F1192" i="1"/>
  <c r="L958" i="1"/>
  <c r="N958" i="1"/>
  <c r="E806" i="1"/>
  <c r="F1740" i="1"/>
  <c r="V958" i="1"/>
  <c r="F960" i="1"/>
  <c r="F1744" i="1"/>
  <c r="C1735" i="1"/>
  <c r="F1235" i="1"/>
  <c r="C721" i="1"/>
  <c r="F1313" i="1"/>
  <c r="F689" i="1"/>
  <c r="F611" i="1"/>
  <c r="F1469" i="1"/>
  <c r="F533" i="1"/>
  <c r="F1547" i="1"/>
  <c r="F455" i="1"/>
  <c r="F1703" i="1"/>
  <c r="F2128" i="1"/>
  <c r="L2128" i="1"/>
  <c r="N2128" i="1"/>
  <c r="Q2128" i="1"/>
  <c r="F2052" i="1"/>
  <c r="Q1972" i="1"/>
  <c r="T1972" i="1"/>
  <c r="V1972" i="1"/>
  <c r="F1974" i="1"/>
  <c r="T1976" i="1"/>
  <c r="V1976" i="1"/>
  <c r="Q1976" i="1"/>
  <c r="F1978" i="1"/>
  <c r="F1894" i="1"/>
  <c r="L1898" i="1"/>
  <c r="L1894" i="1"/>
  <c r="Q1894" i="1"/>
  <c r="T1894" i="1"/>
  <c r="T1738" i="1"/>
  <c r="V1738" i="1"/>
  <c r="N1742" i="1"/>
  <c r="Q1742" i="1"/>
  <c r="T1742" i="1"/>
  <c r="F1662" i="1"/>
  <c r="Q1586" i="1"/>
  <c r="E1590" i="1"/>
  <c r="T1590" i="1" s="1"/>
  <c r="F1588" i="1"/>
  <c r="V1586" i="1"/>
  <c r="T1586" i="1"/>
  <c r="F1584" i="1"/>
  <c r="T2054" i="1"/>
  <c r="Q2054" i="1"/>
  <c r="E2058" i="1"/>
  <c r="F2056" i="1"/>
  <c r="V2054" i="1"/>
  <c r="F2054" i="1"/>
  <c r="L2054" i="1"/>
  <c r="N2054" i="1"/>
  <c r="F2288" i="1"/>
  <c r="N2288" i="1"/>
  <c r="E1984" i="1"/>
  <c r="F1982" i="1"/>
  <c r="L1980" i="1"/>
  <c r="F1980" i="1"/>
  <c r="V1980" i="1"/>
  <c r="T1980" i="1"/>
  <c r="Q1980" i="1"/>
  <c r="N1980" i="1"/>
  <c r="E2210" i="1"/>
  <c r="N2206" i="1"/>
  <c r="L2206" i="1"/>
  <c r="F2208" i="1"/>
  <c r="V2206" i="1"/>
  <c r="T2206" i="1"/>
  <c r="Q2206" i="1"/>
  <c r="T2288" i="1"/>
  <c r="F1660" i="1"/>
  <c r="F1586" i="1"/>
  <c r="L1586" i="1"/>
  <c r="N1660" i="1"/>
  <c r="V2050" i="1"/>
  <c r="Q2050" i="1"/>
  <c r="T2050" i="1"/>
  <c r="N2050" i="1"/>
  <c r="E2292" i="1"/>
  <c r="N1586" i="1"/>
  <c r="Q1660" i="1"/>
  <c r="F2050" i="1"/>
  <c r="T1816" i="1"/>
  <c r="Q1816" i="1"/>
  <c r="N1816" i="1"/>
  <c r="L1816" i="1"/>
  <c r="L1590" i="1"/>
  <c r="N1590" i="1"/>
  <c r="V1816" i="1"/>
  <c r="F1818" i="1"/>
  <c r="E1820" i="1"/>
  <c r="E1750" i="1"/>
  <c r="F1748" i="1"/>
  <c r="N1746" i="1"/>
  <c r="L1746" i="1"/>
  <c r="V1746" i="1"/>
  <c r="T1746" i="1"/>
  <c r="Q1746" i="1"/>
  <c r="L2288" i="1"/>
  <c r="Q2288" i="1"/>
  <c r="F1666" i="1"/>
  <c r="T1664" i="1"/>
  <c r="V1664" i="1"/>
  <c r="E1668" i="1"/>
  <c r="F1664" i="1"/>
  <c r="Q1664" i="1"/>
  <c r="N1664" i="1"/>
  <c r="L1664" i="1"/>
  <c r="F2206" i="1"/>
  <c r="V2288" i="1"/>
  <c r="L1660" i="1"/>
  <c r="T1660" i="1"/>
  <c r="L2050" i="1"/>
  <c r="L1742" i="1"/>
  <c r="F1742" i="1"/>
  <c r="Q1582" i="1"/>
  <c r="N1582" i="1"/>
  <c r="L1582" i="1"/>
  <c r="F1738" i="1"/>
  <c r="N1976" i="1"/>
  <c r="F1976" i="1"/>
  <c r="L1976" i="1"/>
  <c r="L2132" i="1"/>
  <c r="F2286" i="1"/>
  <c r="V2284" i="1"/>
  <c r="T2284" i="1"/>
  <c r="Q2284" i="1"/>
  <c r="F1582" i="1"/>
  <c r="L1738" i="1"/>
  <c r="F1972" i="1"/>
  <c r="F2284" i="1"/>
  <c r="T1582" i="1"/>
  <c r="N1738" i="1"/>
  <c r="L1972" i="1"/>
  <c r="L2284" i="1"/>
  <c r="F2134" i="1"/>
  <c r="E2136" i="1"/>
  <c r="V2132" i="1"/>
  <c r="V1582" i="1"/>
  <c r="Q1738" i="1"/>
  <c r="V1898" i="1"/>
  <c r="T1898" i="1"/>
  <c r="N1972" i="1"/>
  <c r="N2284" i="1"/>
  <c r="L1508" i="1"/>
  <c r="F1508" i="1"/>
  <c r="V1508" i="1"/>
  <c r="E1512" i="1"/>
  <c r="F1510" i="1"/>
  <c r="T1508" i="1"/>
  <c r="Q1508" i="1"/>
  <c r="N1508" i="1"/>
  <c r="E1430" i="1"/>
  <c r="T1348" i="1"/>
  <c r="N1348" i="1"/>
  <c r="V1348" i="1"/>
  <c r="L1348" i="1"/>
  <c r="E1352" i="1"/>
  <c r="Q1348" i="1"/>
  <c r="E1274" i="1"/>
  <c r="F1270" i="1"/>
  <c r="F1198" i="1"/>
  <c r="N1196" i="1"/>
  <c r="V1196" i="1"/>
  <c r="T1196" i="1"/>
  <c r="Q1196" i="1"/>
  <c r="E1200" i="1"/>
  <c r="L1196" i="1"/>
  <c r="F1196" i="1"/>
  <c r="L1192" i="1"/>
  <c r="N1192" i="1"/>
  <c r="Q1192" i="1"/>
  <c r="T1192" i="1"/>
  <c r="V1192" i="1"/>
  <c r="F1194" i="1"/>
  <c r="E1118" i="1"/>
  <c r="T1114" i="1"/>
  <c r="F1116" i="1"/>
  <c r="Q1114" i="1"/>
  <c r="V1114" i="1"/>
  <c r="E1040" i="1"/>
  <c r="F1036" i="1"/>
  <c r="L1036" i="1"/>
  <c r="N1036" i="1"/>
  <c r="Q1036" i="1"/>
  <c r="T1036" i="1"/>
  <c r="E962" i="1"/>
  <c r="T884" i="1"/>
  <c r="Q884" i="1"/>
  <c r="N884" i="1"/>
  <c r="E888" i="1"/>
  <c r="F886" i="1"/>
  <c r="L884" i="1"/>
  <c r="F884" i="1"/>
  <c r="V884" i="1"/>
  <c r="V880" i="1"/>
  <c r="F882" i="1"/>
  <c r="Q880" i="1"/>
  <c r="T880" i="1"/>
  <c r="V802" i="1"/>
  <c r="N2132" i="1" l="1"/>
  <c r="F2132" i="1"/>
  <c r="T2132" i="1"/>
  <c r="X1036" i="1"/>
  <c r="C1037" i="1" s="1"/>
  <c r="X2128" i="1"/>
  <c r="C2129" i="1" s="1"/>
  <c r="X2206" i="1"/>
  <c r="C2207" i="1" s="1"/>
  <c r="X1196" i="1"/>
  <c r="C1197" i="1" s="1"/>
  <c r="X1894" i="1"/>
  <c r="C1895" i="1" s="1"/>
  <c r="X1426" i="1"/>
  <c r="C1427" i="1" s="1"/>
  <c r="X1976" i="1"/>
  <c r="C1977" i="1" s="1"/>
  <c r="X1980" i="1"/>
  <c r="C1981" i="1" s="1"/>
  <c r="X1192" i="1"/>
  <c r="C1193" i="1" s="1"/>
  <c r="X1738" i="1"/>
  <c r="C1739" i="1" s="1"/>
  <c r="X1586" i="1"/>
  <c r="C1587" i="1" s="1"/>
  <c r="X1660" i="1"/>
  <c r="C1661" i="1" s="1"/>
  <c r="X1508" i="1"/>
  <c r="C1509" i="1" s="1"/>
  <c r="X1664" i="1"/>
  <c r="C1665" i="1" s="1"/>
  <c r="X1270" i="1"/>
  <c r="C1271" i="1" s="1"/>
  <c r="X2132" i="1"/>
  <c r="C2133" i="1" s="1"/>
  <c r="X884" i="1"/>
  <c r="C885" i="1" s="1"/>
  <c r="X2284" i="1"/>
  <c r="C2285" i="1" s="1"/>
  <c r="X2288" i="1"/>
  <c r="C2289" i="1" s="1"/>
  <c r="X1972" i="1"/>
  <c r="C1973" i="1" s="1"/>
  <c r="X1742" i="1"/>
  <c r="C1743" i="1" s="1"/>
  <c r="X2050" i="1"/>
  <c r="C2051" i="1" s="1"/>
  <c r="X2054" i="1"/>
  <c r="C2055" i="1" s="1"/>
  <c r="X1582" i="1"/>
  <c r="C1583" i="1" s="1"/>
  <c r="F1900" i="1"/>
  <c r="E1902" i="1"/>
  <c r="V1902" i="1" s="1"/>
  <c r="F808" i="1"/>
  <c r="V806" i="1"/>
  <c r="E810" i="1"/>
  <c r="T806" i="1"/>
  <c r="Q806" i="1"/>
  <c r="N806" i="1"/>
  <c r="L806" i="1"/>
  <c r="F806" i="1"/>
  <c r="N1898" i="1"/>
  <c r="F1898" i="1"/>
  <c r="V1590" i="1"/>
  <c r="F1592" i="1"/>
  <c r="E1594" i="1"/>
  <c r="F1594" i="1" s="1"/>
  <c r="Q1590" i="1"/>
  <c r="F1590" i="1"/>
  <c r="N1984" i="1"/>
  <c r="F1984" i="1"/>
  <c r="L1984" i="1"/>
  <c r="T1984" i="1"/>
  <c r="E1988" i="1"/>
  <c r="F1986" i="1"/>
  <c r="V1984" i="1"/>
  <c r="Q1984" i="1"/>
  <c r="L1750" i="1"/>
  <c r="F1750" i="1"/>
  <c r="V1750" i="1"/>
  <c r="Q1750" i="1"/>
  <c r="E1754" i="1"/>
  <c r="F1752" i="1"/>
  <c r="T1750" i="1"/>
  <c r="N1750" i="1"/>
  <c r="F2136" i="1"/>
  <c r="E2140" i="1"/>
  <c r="F2138" i="1"/>
  <c r="V2136" i="1"/>
  <c r="N2136" i="1"/>
  <c r="T2136" i="1"/>
  <c r="Q2136" i="1"/>
  <c r="L2136" i="1"/>
  <c r="V1820" i="1"/>
  <c r="F1820" i="1"/>
  <c r="T1820" i="1"/>
  <c r="Q1820" i="1"/>
  <c r="N1820" i="1"/>
  <c r="L1820" i="1"/>
  <c r="E1824" i="1"/>
  <c r="F1822" i="1"/>
  <c r="F2294" i="1"/>
  <c r="V2292" i="1"/>
  <c r="T2292" i="1"/>
  <c r="Q2292" i="1"/>
  <c r="L2292" i="1"/>
  <c r="F2292" i="1"/>
  <c r="E2296" i="1"/>
  <c r="N2292" i="1"/>
  <c r="Q2210" i="1"/>
  <c r="N2210" i="1"/>
  <c r="L2210" i="1"/>
  <c r="F2210" i="1"/>
  <c r="E2214" i="1"/>
  <c r="F2212" i="1"/>
  <c r="V2210" i="1"/>
  <c r="T2210" i="1"/>
  <c r="V2058" i="1"/>
  <c r="Q2058" i="1"/>
  <c r="T2058" i="1"/>
  <c r="N2058" i="1"/>
  <c r="L2058" i="1"/>
  <c r="F2058" i="1"/>
  <c r="F2060" i="1"/>
  <c r="E2062" i="1"/>
  <c r="E1672" i="1"/>
  <c r="V1668" i="1"/>
  <c r="Q1668" i="1"/>
  <c r="N1668" i="1"/>
  <c r="L1668" i="1"/>
  <c r="F1668" i="1"/>
  <c r="F1670" i="1"/>
  <c r="T1668" i="1"/>
  <c r="L1512" i="1"/>
  <c r="Q1512" i="1"/>
  <c r="E1516" i="1"/>
  <c r="F1512" i="1"/>
  <c r="F1514" i="1"/>
  <c r="V1512" i="1"/>
  <c r="T1512" i="1"/>
  <c r="N1512" i="1"/>
  <c r="T1430" i="1"/>
  <c r="V1430" i="1"/>
  <c r="Q1430" i="1"/>
  <c r="F1432" i="1"/>
  <c r="N1430" i="1"/>
  <c r="E1434" i="1"/>
  <c r="L1430" i="1"/>
  <c r="F1430" i="1"/>
  <c r="F1354" i="1"/>
  <c r="N1352" i="1"/>
  <c r="E1356" i="1"/>
  <c r="V1352" i="1"/>
  <c r="T1352" i="1"/>
  <c r="Q1352" i="1"/>
  <c r="L1352" i="1"/>
  <c r="F1352" i="1"/>
  <c r="V1274" i="1"/>
  <c r="Q1274" i="1"/>
  <c r="F1274" i="1"/>
  <c r="E1278" i="1"/>
  <c r="F1276" i="1"/>
  <c r="T1274" i="1"/>
  <c r="N1274" i="1"/>
  <c r="L1274" i="1"/>
  <c r="E1204" i="1"/>
  <c r="F1200" i="1"/>
  <c r="F1202" i="1"/>
  <c r="V1200" i="1"/>
  <c r="T1200" i="1"/>
  <c r="Q1200" i="1"/>
  <c r="N1200" i="1"/>
  <c r="L1200" i="1"/>
  <c r="Q1118" i="1"/>
  <c r="N1118" i="1"/>
  <c r="F1120" i="1"/>
  <c r="V1118" i="1"/>
  <c r="L1118" i="1"/>
  <c r="F1118" i="1"/>
  <c r="E1122" i="1"/>
  <c r="T1118" i="1"/>
  <c r="Q1040" i="1"/>
  <c r="F1040" i="1"/>
  <c r="F1042" i="1"/>
  <c r="V1040" i="1"/>
  <c r="E1044" i="1"/>
  <c r="T1040" i="1"/>
  <c r="N1040" i="1"/>
  <c r="L1040" i="1"/>
  <c r="E966" i="1"/>
  <c r="Q962" i="1"/>
  <c r="T962" i="1"/>
  <c r="F964" i="1"/>
  <c r="V962" i="1"/>
  <c r="N962" i="1"/>
  <c r="L962" i="1"/>
  <c r="F962" i="1"/>
  <c r="V888" i="1"/>
  <c r="N888" i="1"/>
  <c r="L888" i="1"/>
  <c r="F888" i="1"/>
  <c r="E892" i="1"/>
  <c r="F890" i="1"/>
  <c r="T888" i="1"/>
  <c r="Q888" i="1"/>
  <c r="F1904" i="1" l="1"/>
  <c r="X1118" i="1"/>
  <c r="C1119" i="1" s="1"/>
  <c r="X1594" i="1"/>
  <c r="C1595" i="1" s="1"/>
  <c r="X2210" i="1"/>
  <c r="C2211" i="1" s="1"/>
  <c r="X1750" i="1"/>
  <c r="C1751" i="1" s="1"/>
  <c r="X806" i="1"/>
  <c r="C807" i="1" s="1"/>
  <c r="X1898" i="1"/>
  <c r="C1899" i="1" s="1"/>
  <c r="X2058" i="1"/>
  <c r="C2059" i="1" s="1"/>
  <c r="X2292" i="1"/>
  <c r="C2293" i="1" s="1"/>
  <c r="X1274" i="1"/>
  <c r="C1275" i="1" s="1"/>
  <c r="X1668" i="1"/>
  <c r="C1669" i="1" s="1"/>
  <c r="X1352" i="1"/>
  <c r="C1353" i="1" s="1"/>
  <c r="X1200" i="1"/>
  <c r="C1201" i="1" s="1"/>
  <c r="X1512" i="1"/>
  <c r="C1513" i="1" s="1"/>
  <c r="X2136" i="1"/>
  <c r="C2137" i="1" s="1"/>
  <c r="X1984" i="1"/>
  <c r="C1985" i="1" s="1"/>
  <c r="X1820" i="1"/>
  <c r="C1821" i="1" s="1"/>
  <c r="X962" i="1"/>
  <c r="C963" i="1" s="1"/>
  <c r="X1430" i="1"/>
  <c r="C1431" i="1" s="1"/>
  <c r="X888" i="1"/>
  <c r="C889" i="1" s="1"/>
  <c r="X1040" i="1"/>
  <c r="C1041" i="1" s="1"/>
  <c r="X1590" i="1"/>
  <c r="C1591" i="1" s="1"/>
  <c r="T1902" i="1"/>
  <c r="F1902" i="1"/>
  <c r="N1902" i="1"/>
  <c r="E1906" i="1"/>
  <c r="F1906" i="1" s="1"/>
  <c r="L1902" i="1"/>
  <c r="Q1902" i="1"/>
  <c r="V810" i="1"/>
  <c r="Q810" i="1"/>
  <c r="L810" i="1"/>
  <c r="F810" i="1"/>
  <c r="E814" i="1"/>
  <c r="F812" i="1"/>
  <c r="T810" i="1"/>
  <c r="N810" i="1"/>
  <c r="N1594" i="1"/>
  <c r="Q1594" i="1"/>
  <c r="V1594" i="1"/>
  <c r="L1594" i="1"/>
  <c r="T1594" i="1"/>
  <c r="F1596" i="1"/>
  <c r="E1598" i="1"/>
  <c r="L1598" i="1" s="1"/>
  <c r="T1824" i="1"/>
  <c r="N1824" i="1"/>
  <c r="Q1824" i="1"/>
  <c r="L1824" i="1"/>
  <c r="E1828" i="1"/>
  <c r="F1826" i="1"/>
  <c r="V1824" i="1"/>
  <c r="F1824" i="1"/>
  <c r="F2216" i="1"/>
  <c r="E2218" i="1"/>
  <c r="V2214" i="1"/>
  <c r="L2214" i="1"/>
  <c r="F2214" i="1"/>
  <c r="T2214" i="1"/>
  <c r="Q2214" i="1"/>
  <c r="N2214" i="1"/>
  <c r="E1758" i="1"/>
  <c r="T1754" i="1"/>
  <c r="F1756" i="1"/>
  <c r="V1754" i="1"/>
  <c r="L1754" i="1"/>
  <c r="Q1754" i="1"/>
  <c r="N1754" i="1"/>
  <c r="F1754" i="1"/>
  <c r="E1992" i="1"/>
  <c r="F1990" i="1"/>
  <c r="V1988" i="1"/>
  <c r="T1988" i="1"/>
  <c r="F1988" i="1"/>
  <c r="Q1988" i="1"/>
  <c r="N1988" i="1"/>
  <c r="L1988" i="1"/>
  <c r="F1674" i="1"/>
  <c r="T1672" i="1"/>
  <c r="V1672" i="1"/>
  <c r="N1672" i="1"/>
  <c r="E1676" i="1"/>
  <c r="Q1672" i="1"/>
  <c r="L1672" i="1"/>
  <c r="F1672" i="1"/>
  <c r="E2066" i="1"/>
  <c r="L2062" i="1"/>
  <c r="F2062" i="1"/>
  <c r="F2064" i="1"/>
  <c r="V2062" i="1"/>
  <c r="T2062" i="1"/>
  <c r="Q2062" i="1"/>
  <c r="N2062" i="1"/>
  <c r="N2296" i="1"/>
  <c r="L2296" i="1"/>
  <c r="F2296" i="1"/>
  <c r="T2296" i="1"/>
  <c r="E2300" i="1"/>
  <c r="F2298" i="1"/>
  <c r="V2296" i="1"/>
  <c r="Q2296" i="1"/>
  <c r="F2142" i="1"/>
  <c r="E2144" i="1"/>
  <c r="V2140" i="1"/>
  <c r="T2140" i="1"/>
  <c r="Q2140" i="1"/>
  <c r="N2140" i="1"/>
  <c r="L2140" i="1"/>
  <c r="F2140" i="1"/>
  <c r="Q1598" i="1"/>
  <c r="E1520" i="1"/>
  <c r="T1516" i="1"/>
  <c r="F1516" i="1"/>
  <c r="F1518" i="1"/>
  <c r="V1516" i="1"/>
  <c r="Q1516" i="1"/>
  <c r="N1516" i="1"/>
  <c r="L1516" i="1"/>
  <c r="T1434" i="1"/>
  <c r="F1434" i="1"/>
  <c r="Q1434" i="1"/>
  <c r="N1434" i="1"/>
  <c r="L1434" i="1"/>
  <c r="E1438" i="1"/>
  <c r="F1436" i="1"/>
  <c r="V1434" i="1"/>
  <c r="Q1356" i="1"/>
  <c r="N1356" i="1"/>
  <c r="E1360" i="1"/>
  <c r="F1358" i="1"/>
  <c r="V1356" i="1"/>
  <c r="T1356" i="1"/>
  <c r="L1356" i="1"/>
  <c r="F1356" i="1"/>
  <c r="T1278" i="1"/>
  <c r="Q1278" i="1"/>
  <c r="N1278" i="1"/>
  <c r="F1280" i="1"/>
  <c r="V1278" i="1"/>
  <c r="E1282" i="1"/>
  <c r="L1278" i="1"/>
  <c r="F1278" i="1"/>
  <c r="V1204" i="1"/>
  <c r="N1204" i="1"/>
  <c r="T1204" i="1"/>
  <c r="Q1204" i="1"/>
  <c r="E1208" i="1"/>
  <c r="F1206" i="1"/>
  <c r="L1204" i="1"/>
  <c r="F1204" i="1"/>
  <c r="F1124" i="1"/>
  <c r="V1122" i="1"/>
  <c r="T1122" i="1"/>
  <c r="N1122" i="1"/>
  <c r="L1122" i="1"/>
  <c r="F1122" i="1"/>
  <c r="E1126" i="1"/>
  <c r="Q1122" i="1"/>
  <c r="V1044" i="1"/>
  <c r="T1044" i="1"/>
  <c r="F1046" i="1"/>
  <c r="Q1044" i="1"/>
  <c r="E1048" i="1"/>
  <c r="N1044" i="1"/>
  <c r="L1044" i="1"/>
  <c r="F1044" i="1"/>
  <c r="N966" i="1"/>
  <c r="V966" i="1"/>
  <c r="L966" i="1"/>
  <c r="F968" i="1"/>
  <c r="T966" i="1"/>
  <c r="F966" i="1"/>
  <c r="E970" i="1"/>
  <c r="Q966" i="1"/>
  <c r="F894" i="1"/>
  <c r="V892" i="1"/>
  <c r="T892" i="1"/>
  <c r="Q892" i="1"/>
  <c r="E896" i="1"/>
  <c r="N892" i="1"/>
  <c r="L892" i="1"/>
  <c r="F892" i="1"/>
  <c r="L1906" i="1" l="1"/>
  <c r="X966" i="1"/>
  <c r="C967" i="1" s="1"/>
  <c r="X1906" i="1"/>
  <c r="C1907" i="1" s="1"/>
  <c r="X1122" i="1"/>
  <c r="C1123" i="1" s="1"/>
  <c r="X1902" i="1"/>
  <c r="C1903" i="1" s="1"/>
  <c r="X2214" i="1"/>
  <c r="C2215" i="1" s="1"/>
  <c r="X1044" i="1"/>
  <c r="C1045" i="1" s="1"/>
  <c r="X2140" i="1"/>
  <c r="C2141" i="1" s="1"/>
  <c r="X2062" i="1"/>
  <c r="C2063" i="1" s="1"/>
  <c r="X1672" i="1"/>
  <c r="C1673" i="1" s="1"/>
  <c r="X1754" i="1"/>
  <c r="C1755" i="1" s="1"/>
  <c r="X1824" i="1"/>
  <c r="C1825" i="1" s="1"/>
  <c r="X892" i="1"/>
  <c r="C893" i="1" s="1"/>
  <c r="X1434" i="1"/>
  <c r="C1435" i="1" s="1"/>
  <c r="X1204" i="1"/>
  <c r="C1205" i="1" s="1"/>
  <c r="X1516" i="1"/>
  <c r="C1517" i="1" s="1"/>
  <c r="X810" i="1"/>
  <c r="C811" i="1" s="1"/>
  <c r="X1988" i="1"/>
  <c r="C1989" i="1" s="1"/>
  <c r="X2296" i="1"/>
  <c r="C2297" i="1" s="1"/>
  <c r="X1356" i="1"/>
  <c r="C1357" i="1" s="1"/>
  <c r="X1278" i="1"/>
  <c r="C1279" i="1" s="1"/>
  <c r="Q1906" i="1"/>
  <c r="T1906" i="1"/>
  <c r="F1908" i="1"/>
  <c r="V1906" i="1"/>
  <c r="E1910" i="1"/>
  <c r="N1910" i="1" s="1"/>
  <c r="N1906" i="1"/>
  <c r="E818" i="1"/>
  <c r="F816" i="1"/>
  <c r="V814" i="1"/>
  <c r="T814" i="1"/>
  <c r="Q814" i="1"/>
  <c r="N814" i="1"/>
  <c r="F814" i="1"/>
  <c r="L814" i="1"/>
  <c r="F1600" i="1"/>
  <c r="T1598" i="1"/>
  <c r="E1602" i="1"/>
  <c r="Q1602" i="1" s="1"/>
  <c r="F1598" i="1"/>
  <c r="V1598" i="1"/>
  <c r="N1598" i="1"/>
  <c r="N1602" i="1"/>
  <c r="L1602" i="1"/>
  <c r="F1602" i="1"/>
  <c r="V1602" i="1"/>
  <c r="E1606" i="1"/>
  <c r="F1604" i="1"/>
  <c r="T1602" i="1"/>
  <c r="Q2218" i="1"/>
  <c r="L2218" i="1"/>
  <c r="N2218" i="1"/>
  <c r="F2218" i="1"/>
  <c r="E2222" i="1"/>
  <c r="F2220" i="1"/>
  <c r="V2218" i="1"/>
  <c r="T2218" i="1"/>
  <c r="F1912" i="1"/>
  <c r="T1910" i="1"/>
  <c r="Q1910" i="1"/>
  <c r="V2066" i="1"/>
  <c r="Q2066" i="1"/>
  <c r="T2066" i="1"/>
  <c r="N2066" i="1"/>
  <c r="L2066" i="1"/>
  <c r="F2066" i="1"/>
  <c r="E2070" i="1"/>
  <c r="F2068" i="1"/>
  <c r="N1992" i="1"/>
  <c r="F1992" i="1"/>
  <c r="L1992" i="1"/>
  <c r="F1994" i="1"/>
  <c r="V1992" i="1"/>
  <c r="T1992" i="1"/>
  <c r="Q1992" i="1"/>
  <c r="E1996" i="1"/>
  <c r="F2302" i="1"/>
  <c r="V2300" i="1"/>
  <c r="T2300" i="1"/>
  <c r="Q2300" i="1"/>
  <c r="E2304" i="1"/>
  <c r="N2300" i="1"/>
  <c r="F2300" i="1"/>
  <c r="L2300" i="1"/>
  <c r="N1676" i="1"/>
  <c r="L1676" i="1"/>
  <c r="F1676" i="1"/>
  <c r="F1678" i="1"/>
  <c r="V1676" i="1"/>
  <c r="T1676" i="1"/>
  <c r="Q1676" i="1"/>
  <c r="E1680" i="1"/>
  <c r="Q1828" i="1"/>
  <c r="E1832" i="1"/>
  <c r="F1830" i="1"/>
  <c r="V1828" i="1"/>
  <c r="T1828" i="1"/>
  <c r="N1828" i="1"/>
  <c r="L1828" i="1"/>
  <c r="F1828" i="1"/>
  <c r="F2144" i="1"/>
  <c r="T2144" i="1"/>
  <c r="Q2144" i="1"/>
  <c r="N2144" i="1"/>
  <c r="L2144" i="1"/>
  <c r="V2144" i="1"/>
  <c r="E2148" i="1"/>
  <c r="F2146" i="1"/>
  <c r="L1758" i="1"/>
  <c r="F1758" i="1"/>
  <c r="T1758" i="1"/>
  <c r="Q1758" i="1"/>
  <c r="N1758" i="1"/>
  <c r="E1762" i="1"/>
  <c r="F1760" i="1"/>
  <c r="V1758" i="1"/>
  <c r="Q1520" i="1"/>
  <c r="F1520" i="1"/>
  <c r="F1522" i="1"/>
  <c r="T1520" i="1"/>
  <c r="N1520" i="1"/>
  <c r="L1520" i="1"/>
  <c r="V1520" i="1"/>
  <c r="E1524" i="1"/>
  <c r="F1440" i="1"/>
  <c r="E1442" i="1"/>
  <c r="V1438" i="1"/>
  <c r="L1438" i="1"/>
  <c r="T1438" i="1"/>
  <c r="Q1438" i="1"/>
  <c r="N1438" i="1"/>
  <c r="F1438" i="1"/>
  <c r="L1360" i="1"/>
  <c r="F1362" i="1"/>
  <c r="V1360" i="1"/>
  <c r="T1360" i="1"/>
  <c r="Q1360" i="1"/>
  <c r="N1360" i="1"/>
  <c r="E1364" i="1"/>
  <c r="F1360" i="1"/>
  <c r="E1286" i="1"/>
  <c r="F1284" i="1"/>
  <c r="T1282" i="1"/>
  <c r="L1282" i="1"/>
  <c r="F1282" i="1"/>
  <c r="N1282" i="1"/>
  <c r="V1282" i="1"/>
  <c r="Q1282" i="1"/>
  <c r="L1208" i="1"/>
  <c r="E1212" i="1"/>
  <c r="F1208" i="1"/>
  <c r="Q1208" i="1"/>
  <c r="F1210" i="1"/>
  <c r="V1208" i="1"/>
  <c r="T1208" i="1"/>
  <c r="N1208" i="1"/>
  <c r="V1126" i="1"/>
  <c r="Q1126" i="1"/>
  <c r="F1126" i="1"/>
  <c r="T1126" i="1"/>
  <c r="F1128" i="1"/>
  <c r="N1126" i="1"/>
  <c r="E1130" i="1"/>
  <c r="L1126" i="1"/>
  <c r="F1048" i="1"/>
  <c r="F1050" i="1"/>
  <c r="T1048" i="1"/>
  <c r="Q1048" i="1"/>
  <c r="E1052" i="1"/>
  <c r="V1048" i="1"/>
  <c r="N1048" i="1"/>
  <c r="L1048" i="1"/>
  <c r="T970" i="1"/>
  <c r="F970" i="1"/>
  <c r="N970" i="1"/>
  <c r="E974" i="1"/>
  <c r="F972" i="1"/>
  <c r="V970" i="1"/>
  <c r="Q970" i="1"/>
  <c r="L970" i="1"/>
  <c r="F898" i="1"/>
  <c r="Q896" i="1"/>
  <c r="N896" i="1"/>
  <c r="L896" i="1"/>
  <c r="F896" i="1"/>
  <c r="E900" i="1"/>
  <c r="V896" i="1"/>
  <c r="T896" i="1"/>
  <c r="X1602" i="1" l="1"/>
  <c r="C1603" i="1" s="1"/>
  <c r="X1360" i="1"/>
  <c r="C1361" i="1" s="1"/>
  <c r="X1676" i="1"/>
  <c r="C1677" i="1" s="1"/>
  <c r="X1598" i="1"/>
  <c r="C1599" i="1" s="1"/>
  <c r="X1520" i="1"/>
  <c r="C1521" i="1" s="1"/>
  <c r="X1992" i="1"/>
  <c r="C1993" i="1" s="1"/>
  <c r="X2218" i="1"/>
  <c r="C2219" i="1" s="1"/>
  <c r="X1828" i="1"/>
  <c r="C1829" i="1" s="1"/>
  <c r="X896" i="1"/>
  <c r="C897" i="1" s="1"/>
  <c r="X2144" i="1"/>
  <c r="C2145" i="1" s="1"/>
  <c r="X2300" i="1"/>
  <c r="C2301" i="1" s="1"/>
  <c r="X1438" i="1"/>
  <c r="C1439" i="1" s="1"/>
  <c r="X2066" i="1"/>
  <c r="C2067" i="1" s="1"/>
  <c r="X814" i="1"/>
  <c r="C815" i="1" s="1"/>
  <c r="X1048" i="1"/>
  <c r="C1049" i="1" s="1"/>
  <c r="X1208" i="1"/>
  <c r="C1209" i="1" s="1"/>
  <c r="X1282" i="1"/>
  <c r="C1283" i="1" s="1"/>
  <c r="X1126" i="1"/>
  <c r="C1127" i="1" s="1"/>
  <c r="X970" i="1"/>
  <c r="C971" i="1" s="1"/>
  <c r="X1758" i="1"/>
  <c r="C1759" i="1" s="1"/>
  <c r="L1910" i="1"/>
  <c r="V1910" i="1"/>
  <c r="E1914" i="1"/>
  <c r="N1914" i="1" s="1"/>
  <c r="F1910" i="1"/>
  <c r="V818" i="1"/>
  <c r="F820" i="1"/>
  <c r="N818" i="1"/>
  <c r="L818" i="1"/>
  <c r="F818" i="1"/>
  <c r="T818" i="1"/>
  <c r="E822" i="1"/>
  <c r="Q818" i="1"/>
  <c r="L2070" i="1"/>
  <c r="F2070" i="1"/>
  <c r="Q2070" i="1"/>
  <c r="E2074" i="1"/>
  <c r="T2070" i="1"/>
  <c r="N2070" i="1"/>
  <c r="F2072" i="1"/>
  <c r="V2070" i="1"/>
  <c r="E1766" i="1"/>
  <c r="N1762" i="1"/>
  <c r="F1762" i="1"/>
  <c r="F1764" i="1"/>
  <c r="V1762" i="1"/>
  <c r="T1762" i="1"/>
  <c r="Q1762" i="1"/>
  <c r="L1762" i="1"/>
  <c r="F2306" i="1"/>
  <c r="V2304" i="1"/>
  <c r="T2304" i="1"/>
  <c r="Q2304" i="1"/>
  <c r="N2304" i="1"/>
  <c r="L2304" i="1"/>
  <c r="F2304" i="1"/>
  <c r="E2308" i="1"/>
  <c r="F2224" i="1"/>
  <c r="T2222" i="1"/>
  <c r="Q2222" i="1"/>
  <c r="L2222" i="1"/>
  <c r="F2222" i="1"/>
  <c r="E2226" i="1"/>
  <c r="V2222" i="1"/>
  <c r="N2222" i="1"/>
  <c r="T1832" i="1"/>
  <c r="N1832" i="1"/>
  <c r="Q1832" i="1"/>
  <c r="L1832" i="1"/>
  <c r="F1832" i="1"/>
  <c r="F1834" i="1"/>
  <c r="V1832" i="1"/>
  <c r="E1836" i="1"/>
  <c r="F1682" i="1"/>
  <c r="T1680" i="1"/>
  <c r="V1680" i="1"/>
  <c r="Q1680" i="1"/>
  <c r="N1680" i="1"/>
  <c r="L1680" i="1"/>
  <c r="F1680" i="1"/>
  <c r="E1684" i="1"/>
  <c r="E2000" i="1"/>
  <c r="Q1996" i="1"/>
  <c r="N1996" i="1"/>
  <c r="L1996" i="1"/>
  <c r="F1996" i="1"/>
  <c r="F1998" i="1"/>
  <c r="V1996" i="1"/>
  <c r="T1996" i="1"/>
  <c r="F2150" i="1"/>
  <c r="E2152" i="1"/>
  <c r="V2148" i="1"/>
  <c r="L2148" i="1"/>
  <c r="Q2148" i="1"/>
  <c r="F2148" i="1"/>
  <c r="T2148" i="1"/>
  <c r="N2148" i="1"/>
  <c r="Q1606" i="1"/>
  <c r="L1606" i="1"/>
  <c r="N1606" i="1"/>
  <c r="V1606" i="1"/>
  <c r="T1606" i="1"/>
  <c r="F1606" i="1"/>
  <c r="E1610" i="1"/>
  <c r="F1608" i="1"/>
  <c r="F1524" i="1"/>
  <c r="F1526" i="1"/>
  <c r="V1524" i="1"/>
  <c r="T1524" i="1"/>
  <c r="Q1524" i="1"/>
  <c r="L1524" i="1"/>
  <c r="E1528" i="1"/>
  <c r="N1524" i="1"/>
  <c r="E1446" i="1"/>
  <c r="V1442" i="1"/>
  <c r="Q1442" i="1"/>
  <c r="L1442" i="1"/>
  <c r="F1444" i="1"/>
  <c r="T1442" i="1"/>
  <c r="N1442" i="1"/>
  <c r="F1442" i="1"/>
  <c r="E1368" i="1"/>
  <c r="T1364" i="1"/>
  <c r="F1364" i="1"/>
  <c r="F1366" i="1"/>
  <c r="V1364" i="1"/>
  <c r="Q1364" i="1"/>
  <c r="L1364" i="1"/>
  <c r="N1364" i="1"/>
  <c r="F1288" i="1"/>
  <c r="E1290" i="1"/>
  <c r="V1286" i="1"/>
  <c r="T1286" i="1"/>
  <c r="F1286" i="1"/>
  <c r="Q1286" i="1"/>
  <c r="N1286" i="1"/>
  <c r="L1286" i="1"/>
  <c r="E1216" i="1"/>
  <c r="F1214" i="1"/>
  <c r="V1212" i="1"/>
  <c r="T1212" i="1"/>
  <c r="Q1212" i="1"/>
  <c r="N1212" i="1"/>
  <c r="L1212" i="1"/>
  <c r="F1212" i="1"/>
  <c r="F1132" i="1"/>
  <c r="V1130" i="1"/>
  <c r="Q1130" i="1"/>
  <c r="L1130" i="1"/>
  <c r="F1130" i="1"/>
  <c r="E1134" i="1"/>
  <c r="T1130" i="1"/>
  <c r="N1130" i="1"/>
  <c r="E1056" i="1"/>
  <c r="F1054" i="1"/>
  <c r="F1052" i="1"/>
  <c r="V1052" i="1"/>
  <c r="T1052" i="1"/>
  <c r="Q1052" i="1"/>
  <c r="N1052" i="1"/>
  <c r="L1052" i="1"/>
  <c r="T974" i="1"/>
  <c r="F974" i="1"/>
  <c r="F976" i="1"/>
  <c r="V974" i="1"/>
  <c r="Q974" i="1"/>
  <c r="N974" i="1"/>
  <c r="E978" i="1"/>
  <c r="L974" i="1"/>
  <c r="E904" i="1"/>
  <c r="F902" i="1"/>
  <c r="N900" i="1"/>
  <c r="F900" i="1"/>
  <c r="V900" i="1"/>
  <c r="T900" i="1"/>
  <c r="Q900" i="1"/>
  <c r="L900" i="1"/>
  <c r="Q1914" i="1" l="1"/>
  <c r="V1914" i="1"/>
  <c r="F1914" i="1"/>
  <c r="X1914" i="1" s="1"/>
  <c r="C1915" i="1" s="1"/>
  <c r="F1916" i="1"/>
  <c r="E1918" i="1"/>
  <c r="X1762" i="1"/>
  <c r="C1763" i="1" s="1"/>
  <c r="X1286" i="1"/>
  <c r="C1287" i="1" s="1"/>
  <c r="X1910" i="1"/>
  <c r="C1911" i="1" s="1"/>
  <c r="X974" i="1"/>
  <c r="C975" i="1" s="1"/>
  <c r="X2304" i="1"/>
  <c r="C2305" i="1" s="1"/>
  <c r="X1130" i="1"/>
  <c r="C1131" i="1" s="1"/>
  <c r="X1996" i="1"/>
  <c r="C1997" i="1" s="1"/>
  <c r="X1832" i="1"/>
  <c r="C1833" i="1" s="1"/>
  <c r="X1606" i="1"/>
  <c r="C1607" i="1" s="1"/>
  <c r="X1212" i="1"/>
  <c r="C1213" i="1" s="1"/>
  <c r="X2070" i="1"/>
  <c r="C2071" i="1" s="1"/>
  <c r="X900" i="1"/>
  <c r="C901" i="1" s="1"/>
  <c r="X1680" i="1"/>
  <c r="C1681" i="1" s="1"/>
  <c r="X1364" i="1"/>
  <c r="C1365" i="1" s="1"/>
  <c r="X1524" i="1"/>
  <c r="C1525" i="1" s="1"/>
  <c r="X2148" i="1"/>
  <c r="C2149" i="1" s="1"/>
  <c r="X1052" i="1"/>
  <c r="C1053" i="1" s="1"/>
  <c r="X1442" i="1"/>
  <c r="C1443" i="1" s="1"/>
  <c r="X2222" i="1"/>
  <c r="C2223" i="1" s="1"/>
  <c r="X818" i="1"/>
  <c r="C819" i="1" s="1"/>
  <c r="T1914" i="1"/>
  <c r="F824" i="1"/>
  <c r="V822" i="1"/>
  <c r="T822" i="1"/>
  <c r="Q822" i="1"/>
  <c r="N822" i="1"/>
  <c r="L822" i="1"/>
  <c r="E826" i="1"/>
  <c r="F822" i="1"/>
  <c r="L1914" i="1"/>
  <c r="F1612" i="1"/>
  <c r="N1610" i="1"/>
  <c r="L1610" i="1"/>
  <c r="V1610" i="1"/>
  <c r="T1610" i="1"/>
  <c r="Q1610" i="1"/>
  <c r="F1610" i="1"/>
  <c r="E1614" i="1"/>
  <c r="Q2226" i="1"/>
  <c r="N2226" i="1"/>
  <c r="L2226" i="1"/>
  <c r="F2226" i="1"/>
  <c r="F2228" i="1"/>
  <c r="V2226" i="1"/>
  <c r="E2230" i="1"/>
  <c r="T2226" i="1"/>
  <c r="V1684" i="1"/>
  <c r="T1684" i="1"/>
  <c r="Q1684" i="1"/>
  <c r="N1684" i="1"/>
  <c r="L1684" i="1"/>
  <c r="F1684" i="1"/>
  <c r="E1688" i="1"/>
  <c r="F1686" i="1"/>
  <c r="F2152" i="1"/>
  <c r="Q2152" i="1"/>
  <c r="N2152" i="1"/>
  <c r="E2156" i="1"/>
  <c r="F2154" i="1"/>
  <c r="V2152" i="1"/>
  <c r="T2152" i="1"/>
  <c r="L2152" i="1"/>
  <c r="L1766" i="1"/>
  <c r="F1766" i="1"/>
  <c r="E1770" i="1"/>
  <c r="N1766" i="1"/>
  <c r="F1768" i="1"/>
  <c r="V1766" i="1"/>
  <c r="T1766" i="1"/>
  <c r="Q1766" i="1"/>
  <c r="E1840" i="1"/>
  <c r="F1838" i="1"/>
  <c r="T1836" i="1"/>
  <c r="N1836" i="1"/>
  <c r="L1836" i="1"/>
  <c r="F1836" i="1"/>
  <c r="V1836" i="1"/>
  <c r="Q1836" i="1"/>
  <c r="F2310" i="1"/>
  <c r="T2308" i="1"/>
  <c r="V2308" i="1"/>
  <c r="Q2308" i="1"/>
  <c r="N2308" i="1"/>
  <c r="F2308" i="1"/>
  <c r="E2312" i="1"/>
  <c r="L2308" i="1"/>
  <c r="V2074" i="1"/>
  <c r="Q2074" i="1"/>
  <c r="T2074" i="1"/>
  <c r="N2074" i="1"/>
  <c r="E2078" i="1"/>
  <c r="F2076" i="1"/>
  <c r="L2074" i="1"/>
  <c r="F2074" i="1"/>
  <c r="Q1918" i="1"/>
  <c r="N1918" i="1"/>
  <c r="L1918" i="1"/>
  <c r="F1918" i="1"/>
  <c r="E1922" i="1"/>
  <c r="F1920" i="1"/>
  <c r="V1918" i="1"/>
  <c r="T1918" i="1"/>
  <c r="N2000" i="1"/>
  <c r="L2000" i="1"/>
  <c r="F2000" i="1"/>
  <c r="F2002" i="1"/>
  <c r="V2000" i="1"/>
  <c r="E2004" i="1"/>
  <c r="T2000" i="1"/>
  <c r="Q2000" i="1"/>
  <c r="V1528" i="1"/>
  <c r="F1528" i="1"/>
  <c r="F1530" i="1"/>
  <c r="T1528" i="1"/>
  <c r="N1528" i="1"/>
  <c r="L1528" i="1"/>
  <c r="Q1528" i="1"/>
  <c r="E1532" i="1"/>
  <c r="N1446" i="1"/>
  <c r="Q1446" i="1"/>
  <c r="E1450" i="1"/>
  <c r="F1448" i="1"/>
  <c r="V1446" i="1"/>
  <c r="T1446" i="1"/>
  <c r="L1446" i="1"/>
  <c r="F1446" i="1"/>
  <c r="Q1368" i="1"/>
  <c r="T1368" i="1"/>
  <c r="N1368" i="1"/>
  <c r="F1368" i="1"/>
  <c r="L1368" i="1"/>
  <c r="F1370" i="1"/>
  <c r="V1368" i="1"/>
  <c r="E1372" i="1"/>
  <c r="F1290" i="1"/>
  <c r="E1294" i="1"/>
  <c r="F1292" i="1"/>
  <c r="N1290" i="1"/>
  <c r="L1290" i="1"/>
  <c r="V1290" i="1"/>
  <c r="T1290" i="1"/>
  <c r="Q1290" i="1"/>
  <c r="Q1216" i="1"/>
  <c r="L1216" i="1"/>
  <c r="N1216" i="1"/>
  <c r="F1216" i="1"/>
  <c r="V1216" i="1"/>
  <c r="E1220" i="1"/>
  <c r="T1216" i="1"/>
  <c r="F1218" i="1"/>
  <c r="E1138" i="1"/>
  <c r="F1136" i="1"/>
  <c r="V1134" i="1"/>
  <c r="T1134" i="1"/>
  <c r="Q1134" i="1"/>
  <c r="N1134" i="1"/>
  <c r="L1134" i="1"/>
  <c r="F1134" i="1"/>
  <c r="N1056" i="1"/>
  <c r="E1060" i="1"/>
  <c r="F1056" i="1"/>
  <c r="V1056" i="1"/>
  <c r="L1056" i="1"/>
  <c r="T1056" i="1"/>
  <c r="Q1056" i="1"/>
  <c r="F1058" i="1"/>
  <c r="F980" i="1"/>
  <c r="Q978" i="1"/>
  <c r="N978" i="1"/>
  <c r="L978" i="1"/>
  <c r="E982" i="1"/>
  <c r="V978" i="1"/>
  <c r="T978" i="1"/>
  <c r="F978" i="1"/>
  <c r="L904" i="1"/>
  <c r="E908" i="1"/>
  <c r="F904" i="1"/>
  <c r="F906" i="1"/>
  <c r="V904" i="1"/>
  <c r="T904" i="1"/>
  <c r="N904" i="1"/>
  <c r="Q904" i="1"/>
  <c r="X2226" i="1" l="1"/>
  <c r="C2227" i="1" s="1"/>
  <c r="X2000" i="1"/>
  <c r="C2001" i="1" s="1"/>
  <c r="X2152" i="1"/>
  <c r="C2153" i="1" s="1"/>
  <c r="X1290" i="1"/>
  <c r="C1291" i="1" s="1"/>
  <c r="X1610" i="1"/>
  <c r="C1611" i="1" s="1"/>
  <c r="X2308" i="1"/>
  <c r="C2309" i="1" s="1"/>
  <c r="X1684" i="1"/>
  <c r="C1685" i="1" s="1"/>
  <c r="X1918" i="1"/>
  <c r="C1919" i="1" s="1"/>
  <c r="X1056" i="1"/>
  <c r="C1057" i="1" s="1"/>
  <c r="X1216" i="1"/>
  <c r="C1217" i="1" s="1"/>
  <c r="X1766" i="1"/>
  <c r="C1767" i="1" s="1"/>
  <c r="X2074" i="1"/>
  <c r="C2075" i="1" s="1"/>
  <c r="X1368" i="1"/>
  <c r="C1369" i="1" s="1"/>
  <c r="X978" i="1"/>
  <c r="C979" i="1" s="1"/>
  <c r="X822" i="1"/>
  <c r="C823" i="1" s="1"/>
  <c r="X904" i="1"/>
  <c r="C905" i="1" s="1"/>
  <c r="X1528" i="1"/>
  <c r="C1529" i="1" s="1"/>
  <c r="X1134" i="1"/>
  <c r="C1135" i="1" s="1"/>
  <c r="X1836" i="1"/>
  <c r="C1837" i="1" s="1"/>
  <c r="X1446" i="1"/>
  <c r="C1447" i="1" s="1"/>
  <c r="T826" i="1"/>
  <c r="E830" i="1"/>
  <c r="Q826" i="1"/>
  <c r="N826" i="1"/>
  <c r="L826" i="1"/>
  <c r="F826" i="1"/>
  <c r="F828" i="1"/>
  <c r="V826" i="1"/>
  <c r="V2078" i="1"/>
  <c r="F2078" i="1"/>
  <c r="T2078" i="1"/>
  <c r="Q2078" i="1"/>
  <c r="N2078" i="1"/>
  <c r="L2078" i="1"/>
  <c r="F2080" i="1"/>
  <c r="E2082" i="1"/>
  <c r="F2158" i="1"/>
  <c r="E2160" i="1"/>
  <c r="V2156" i="1"/>
  <c r="F2156" i="1"/>
  <c r="T2156" i="1"/>
  <c r="Q2156" i="1"/>
  <c r="N2156" i="1"/>
  <c r="L2156" i="1"/>
  <c r="T1840" i="1"/>
  <c r="N1840" i="1"/>
  <c r="Q1840" i="1"/>
  <c r="L1840" i="1"/>
  <c r="E1844" i="1"/>
  <c r="F1842" i="1"/>
  <c r="V1840" i="1"/>
  <c r="F1840" i="1"/>
  <c r="Q1614" i="1"/>
  <c r="L1614" i="1"/>
  <c r="N1614" i="1"/>
  <c r="V1614" i="1"/>
  <c r="F1614" i="1"/>
  <c r="F1616" i="1"/>
  <c r="T1614" i="1"/>
  <c r="F2314" i="1"/>
  <c r="V2312" i="1"/>
  <c r="T2312" i="1"/>
  <c r="E2316" i="1"/>
  <c r="Q2312" i="1"/>
  <c r="N2312" i="1"/>
  <c r="L2312" i="1"/>
  <c r="F2312" i="1"/>
  <c r="F1690" i="1"/>
  <c r="T1688" i="1"/>
  <c r="V1688" i="1"/>
  <c r="Q1688" i="1"/>
  <c r="N1688" i="1"/>
  <c r="L1688" i="1"/>
  <c r="E1692" i="1"/>
  <c r="F1688" i="1"/>
  <c r="E1926" i="1"/>
  <c r="F1924" i="1"/>
  <c r="V1922" i="1"/>
  <c r="T1922" i="1"/>
  <c r="L1922" i="1"/>
  <c r="Q1922" i="1"/>
  <c r="F1922" i="1"/>
  <c r="N1922" i="1"/>
  <c r="Q1770" i="1"/>
  <c r="L1770" i="1"/>
  <c r="V1770" i="1"/>
  <c r="N1770" i="1"/>
  <c r="F1770" i="1"/>
  <c r="F1772" i="1"/>
  <c r="T1770" i="1"/>
  <c r="Q2230" i="1"/>
  <c r="N2230" i="1"/>
  <c r="L2230" i="1"/>
  <c r="F2230" i="1"/>
  <c r="V2230" i="1"/>
  <c r="E2234" i="1"/>
  <c r="F2232" i="1"/>
  <c r="T2230" i="1"/>
  <c r="N2004" i="1"/>
  <c r="L2004" i="1"/>
  <c r="F2004" i="1"/>
  <c r="F2006" i="1"/>
  <c r="V2004" i="1"/>
  <c r="T2004" i="1"/>
  <c r="Q2004" i="1"/>
  <c r="F1534" i="1"/>
  <c r="V1532" i="1"/>
  <c r="N1532" i="1"/>
  <c r="F1532" i="1"/>
  <c r="T1532" i="1"/>
  <c r="Q1532" i="1"/>
  <c r="E1536" i="1"/>
  <c r="L1532" i="1"/>
  <c r="L1450" i="1"/>
  <c r="N1450" i="1"/>
  <c r="F1450" i="1"/>
  <c r="F1452" i="1"/>
  <c r="V1450" i="1"/>
  <c r="T1450" i="1"/>
  <c r="E1454" i="1"/>
  <c r="Q1450" i="1"/>
  <c r="Q1372" i="1"/>
  <c r="N1372" i="1"/>
  <c r="L1372" i="1"/>
  <c r="F1374" i="1"/>
  <c r="T1372" i="1"/>
  <c r="V1372" i="1"/>
  <c r="F1372" i="1"/>
  <c r="E1376" i="1"/>
  <c r="F1296" i="1"/>
  <c r="N1294" i="1"/>
  <c r="L1294" i="1"/>
  <c r="E1298" i="1"/>
  <c r="V1294" i="1"/>
  <c r="Q1294" i="1"/>
  <c r="T1294" i="1"/>
  <c r="F1294" i="1"/>
  <c r="F1222" i="1"/>
  <c r="V1220" i="1"/>
  <c r="T1220" i="1"/>
  <c r="Q1220" i="1"/>
  <c r="N1220" i="1"/>
  <c r="L1220" i="1"/>
  <c r="F1220" i="1"/>
  <c r="E1224" i="1"/>
  <c r="F1138" i="1"/>
  <c r="T1138" i="1"/>
  <c r="Q1138" i="1"/>
  <c r="N1138" i="1"/>
  <c r="L1138" i="1"/>
  <c r="E1142" i="1"/>
  <c r="V1138" i="1"/>
  <c r="F1140" i="1"/>
  <c r="F1060" i="1"/>
  <c r="E1064" i="1"/>
  <c r="Q1060" i="1"/>
  <c r="L1060" i="1"/>
  <c r="F1062" i="1"/>
  <c r="V1060" i="1"/>
  <c r="T1060" i="1"/>
  <c r="N1060" i="1"/>
  <c r="F984" i="1"/>
  <c r="L982" i="1"/>
  <c r="E986" i="1"/>
  <c r="V982" i="1"/>
  <c r="N982" i="1"/>
  <c r="T982" i="1"/>
  <c r="Q982" i="1"/>
  <c r="F982" i="1"/>
  <c r="E912" i="1"/>
  <c r="Q908" i="1"/>
  <c r="N908" i="1"/>
  <c r="L908" i="1"/>
  <c r="F910" i="1"/>
  <c r="V908" i="1"/>
  <c r="T908" i="1"/>
  <c r="F908" i="1"/>
  <c r="X826" i="1" l="1"/>
  <c r="C827" i="1" s="1"/>
  <c r="X982" i="1"/>
  <c r="C983" i="1" s="1"/>
  <c r="X1614" i="1"/>
  <c r="C1615" i="1" s="1"/>
  <c r="X2156" i="1"/>
  <c r="C2157" i="1" s="1"/>
  <c r="X1060" i="1"/>
  <c r="C1061" i="1" s="1"/>
  <c r="X1450" i="1"/>
  <c r="C1451" i="1" s="1"/>
  <c r="X1840" i="1"/>
  <c r="C1841" i="1" s="1"/>
  <c r="X1688" i="1"/>
  <c r="C1689" i="1" s="1"/>
  <c r="X1294" i="1"/>
  <c r="C1295" i="1" s="1"/>
  <c r="X2312" i="1"/>
  <c r="C2313" i="1" s="1"/>
  <c r="X1922" i="1"/>
  <c r="C1923" i="1" s="1"/>
  <c r="X908" i="1"/>
  <c r="C909" i="1" s="1"/>
  <c r="X1770" i="1"/>
  <c r="C1771" i="1" s="1"/>
  <c r="X1220" i="1"/>
  <c r="C1221" i="1" s="1"/>
  <c r="X1372" i="1"/>
  <c r="C1373" i="1" s="1"/>
  <c r="X2004" i="1"/>
  <c r="C2005" i="1" s="1"/>
  <c r="X2230" i="1"/>
  <c r="C2231" i="1" s="1"/>
  <c r="X2078" i="1"/>
  <c r="C2079" i="1" s="1"/>
  <c r="X1138" i="1"/>
  <c r="C1139" i="1" s="1"/>
  <c r="X1532" i="1"/>
  <c r="C1533" i="1" s="1"/>
  <c r="F832" i="1"/>
  <c r="V830" i="1"/>
  <c r="T830" i="1"/>
  <c r="Q830" i="1"/>
  <c r="N830" i="1"/>
  <c r="F830" i="1"/>
  <c r="L830" i="1"/>
  <c r="E834" i="1"/>
  <c r="N1926" i="1"/>
  <c r="L1926" i="1"/>
  <c r="F1928" i="1"/>
  <c r="V1926" i="1"/>
  <c r="T1926" i="1"/>
  <c r="Q1926" i="1"/>
  <c r="F1926" i="1"/>
  <c r="Q1692" i="1"/>
  <c r="F1694" i="1"/>
  <c r="V1692" i="1"/>
  <c r="T1692" i="1"/>
  <c r="N1692" i="1"/>
  <c r="L1692" i="1"/>
  <c r="F1692" i="1"/>
  <c r="F2160" i="1"/>
  <c r="F2162" i="1"/>
  <c r="T2160" i="1"/>
  <c r="L2160" i="1"/>
  <c r="V2160" i="1"/>
  <c r="Q2160" i="1"/>
  <c r="N2160" i="1"/>
  <c r="V2082" i="1"/>
  <c r="Q2082" i="1"/>
  <c r="T2082" i="1"/>
  <c r="N2082" i="1"/>
  <c r="F2084" i="1"/>
  <c r="L2082" i="1"/>
  <c r="F2082" i="1"/>
  <c r="F1844" i="1"/>
  <c r="E1848" i="1"/>
  <c r="F1846" i="1"/>
  <c r="V1844" i="1"/>
  <c r="T1844" i="1"/>
  <c r="Q1844" i="1"/>
  <c r="N1844" i="1"/>
  <c r="L1844" i="1"/>
  <c r="Q2234" i="1"/>
  <c r="N2234" i="1"/>
  <c r="L2234" i="1"/>
  <c r="F2234" i="1"/>
  <c r="E2238" i="1"/>
  <c r="F2236" i="1"/>
  <c r="V2234" i="1"/>
  <c r="T2234" i="1"/>
  <c r="F2318" i="1"/>
  <c r="Q2316" i="1"/>
  <c r="V2316" i="1"/>
  <c r="T2316" i="1"/>
  <c r="N2316" i="1"/>
  <c r="L2316" i="1"/>
  <c r="F2316" i="1"/>
  <c r="T1536" i="1"/>
  <c r="F1536" i="1"/>
  <c r="F1538" i="1"/>
  <c r="N1536" i="1"/>
  <c r="V1536" i="1"/>
  <c r="Q1536" i="1"/>
  <c r="L1536" i="1"/>
  <c r="Q1454" i="1"/>
  <c r="V1454" i="1"/>
  <c r="T1454" i="1"/>
  <c r="F1454" i="1"/>
  <c r="E1458" i="1"/>
  <c r="F1456" i="1"/>
  <c r="N1454" i="1"/>
  <c r="L1454" i="1"/>
  <c r="V1376" i="1"/>
  <c r="N1376" i="1"/>
  <c r="F1376" i="1"/>
  <c r="T1376" i="1"/>
  <c r="Q1376" i="1"/>
  <c r="L1376" i="1"/>
  <c r="E1380" i="1"/>
  <c r="F1378" i="1"/>
  <c r="Q1298" i="1"/>
  <c r="L1298" i="1"/>
  <c r="F1298" i="1"/>
  <c r="V1298" i="1"/>
  <c r="T1298" i="1"/>
  <c r="N1298" i="1"/>
  <c r="F1300" i="1"/>
  <c r="E1302" i="1"/>
  <c r="V1224" i="1"/>
  <c r="N1224" i="1"/>
  <c r="T1224" i="1"/>
  <c r="Q1224" i="1"/>
  <c r="L1224" i="1"/>
  <c r="F1224" i="1"/>
  <c r="F1226" i="1"/>
  <c r="E1146" i="1"/>
  <c r="Q1142" i="1"/>
  <c r="N1142" i="1"/>
  <c r="L1142" i="1"/>
  <c r="F1142" i="1"/>
  <c r="F1144" i="1"/>
  <c r="V1142" i="1"/>
  <c r="T1142" i="1"/>
  <c r="E1068" i="1"/>
  <c r="T1064" i="1"/>
  <c r="F1066" i="1"/>
  <c r="V1064" i="1"/>
  <c r="Q1064" i="1"/>
  <c r="N1064" i="1"/>
  <c r="L1064" i="1"/>
  <c r="F1064" i="1"/>
  <c r="E990" i="1"/>
  <c r="F988" i="1"/>
  <c r="T986" i="1"/>
  <c r="N986" i="1"/>
  <c r="V986" i="1"/>
  <c r="Q986" i="1"/>
  <c r="L986" i="1"/>
  <c r="F986" i="1"/>
  <c r="Q912" i="1"/>
  <c r="N912" i="1"/>
  <c r="L912" i="1"/>
  <c r="F914" i="1"/>
  <c r="V912" i="1"/>
  <c r="T912" i="1"/>
  <c r="F912" i="1"/>
  <c r="X1692" i="1" l="1"/>
  <c r="C1693" i="1" s="1"/>
  <c r="X2160" i="1"/>
  <c r="C2161" i="1" s="1"/>
  <c r="X1454" i="1"/>
  <c r="C1455" i="1" s="1"/>
  <c r="X1142" i="1"/>
  <c r="C1143" i="1" s="1"/>
  <c r="X1844" i="1"/>
  <c r="C1845" i="1" s="1"/>
  <c r="X830" i="1"/>
  <c r="C831" i="1" s="1"/>
  <c r="X2234" i="1"/>
  <c r="C2235" i="1" s="1"/>
  <c r="X1926" i="1"/>
  <c r="C1927" i="1" s="1"/>
  <c r="X2082" i="1"/>
  <c r="C2083" i="1" s="1"/>
  <c r="X1064" i="1"/>
  <c r="C1065" i="1" s="1"/>
  <c r="X1224" i="1"/>
  <c r="C1225" i="1" s="1"/>
  <c r="X1376" i="1"/>
  <c r="C1377" i="1" s="1"/>
  <c r="X1536" i="1"/>
  <c r="C1537" i="1" s="1"/>
  <c r="X2316" i="1"/>
  <c r="C2317" i="1" s="1"/>
  <c r="X1298" i="1"/>
  <c r="C1299" i="1" s="1"/>
  <c r="X912" i="1"/>
  <c r="C913" i="1" s="1"/>
  <c r="X986" i="1"/>
  <c r="C987" i="1" s="1"/>
  <c r="F836" i="1"/>
  <c r="V834" i="1"/>
  <c r="T834" i="1"/>
  <c r="N834" i="1"/>
  <c r="Q834" i="1"/>
  <c r="L834" i="1"/>
  <c r="F834" i="1"/>
  <c r="T1848" i="1"/>
  <c r="N1848" i="1"/>
  <c r="Q1848" i="1"/>
  <c r="L1848" i="1"/>
  <c r="F1850" i="1"/>
  <c r="V1848" i="1"/>
  <c r="F1848" i="1"/>
  <c r="N2238" i="1"/>
  <c r="F2240" i="1"/>
  <c r="V2238" i="1"/>
  <c r="T2238" i="1"/>
  <c r="Q2238" i="1"/>
  <c r="L2238" i="1"/>
  <c r="F2238" i="1"/>
  <c r="Q1458" i="1"/>
  <c r="F1460" i="1"/>
  <c r="V1458" i="1"/>
  <c r="N1458" i="1"/>
  <c r="T1458" i="1"/>
  <c r="L1458" i="1"/>
  <c r="F1458" i="1"/>
  <c r="N1380" i="1"/>
  <c r="L1380" i="1"/>
  <c r="F1380" i="1"/>
  <c r="F1382" i="1"/>
  <c r="V1380" i="1"/>
  <c r="T1380" i="1"/>
  <c r="Q1380" i="1"/>
  <c r="T1302" i="1"/>
  <c r="N1302" i="1"/>
  <c r="F1302" i="1"/>
  <c r="F1304" i="1"/>
  <c r="V1302" i="1"/>
  <c r="Q1302" i="1"/>
  <c r="L1302" i="1"/>
  <c r="N1146" i="1"/>
  <c r="F1146" i="1"/>
  <c r="L1146" i="1"/>
  <c r="F1148" i="1"/>
  <c r="V1146" i="1"/>
  <c r="T1146" i="1"/>
  <c r="Q1146" i="1"/>
  <c r="L1068" i="1"/>
  <c r="T1068" i="1"/>
  <c r="F1070" i="1"/>
  <c r="V1068" i="1"/>
  <c r="Q1068" i="1"/>
  <c r="N1068" i="1"/>
  <c r="F1068" i="1"/>
  <c r="N990" i="1"/>
  <c r="F992" i="1"/>
  <c r="V990" i="1"/>
  <c r="T990" i="1"/>
  <c r="Q990" i="1"/>
  <c r="L990" i="1"/>
  <c r="F990" i="1"/>
  <c r="P14" i="7"/>
  <c r="L14" i="7"/>
  <c r="X1068" i="1" l="1"/>
  <c r="C1069" i="1" s="1"/>
  <c r="X834" i="1"/>
  <c r="C835" i="1" s="1"/>
  <c r="X1458" i="1"/>
  <c r="C1459" i="1" s="1"/>
  <c r="X1848" i="1"/>
  <c r="C1849" i="1" s="1"/>
  <c r="X1302" i="1"/>
  <c r="C1303" i="1" s="1"/>
  <c r="X1146" i="1"/>
  <c r="C1147" i="1" s="1"/>
  <c r="X2238" i="1"/>
  <c r="C2239" i="1" s="1"/>
  <c r="X990" i="1"/>
  <c r="C991" i="1" s="1"/>
  <c r="X1380" i="1"/>
  <c r="C1381" i="1" s="1"/>
</calcChain>
</file>

<file path=xl/sharedStrings.xml><?xml version="1.0" encoding="utf-8"?>
<sst xmlns="http://schemas.openxmlformats.org/spreadsheetml/2006/main" count="4418" uniqueCount="246">
  <si>
    <t>No</t>
  </si>
  <si>
    <t>拳士コード Kenshi No.</t>
  </si>
  <si>
    <t>合格者氏名（ローマ字）Name of Applicant/s who passed (in alphabetical order)</t>
  </si>
  <si>
    <t>級</t>
  </si>
  <si>
    <t>Kyu</t>
  </si>
  <si>
    <t>/</t>
  </si>
  <si>
    <t>Year</t>
  </si>
  <si>
    <t>Month</t>
  </si>
  <si>
    <t>Day</t>
  </si>
  <si>
    <t>Date of Birth</t>
  </si>
  <si>
    <t>生年月日</t>
  </si>
  <si>
    <t>Gender</t>
  </si>
  <si>
    <t>性別</t>
  </si>
  <si>
    <t>Branch No</t>
  </si>
  <si>
    <t>INDONESIA</t>
  </si>
  <si>
    <t>/ Month</t>
  </si>
  <si>
    <t>/ Day</t>
  </si>
  <si>
    <t>昇級考試を実施した結果、下記の受験者が合格しましたことを上申致します。</t>
  </si>
  <si>
    <t>I, the undersigned, hereby report that the following applicants passed the Kyu examination.</t>
  </si>
  <si>
    <t>考試日 Examination Date</t>
  </si>
  <si>
    <t>＊10 歳以上の拳士は原則として 6 級からの受験になりますが、個々の事情により 7、8 級を受験する場合には、この欄にチェックを入れてください。</t>
  </si>
  <si>
    <t>N.B.</t>
  </si>
  <si>
    <t>As a general rule, kenshi aged 10 or older should commence grading examinations from 6th Kyu.</t>
  </si>
  <si>
    <t>Please indicate in the first column (using a ✓) if he/ she took an examination for 7th or 8th Kyu for any given reason.</t>
  </si>
  <si>
    <t>To: Mr. Kouma So, Representative Director, Shorinji Kempo Unity</t>
  </si>
  <si>
    <r>
      <t xml:space="preserve">支部名
</t>
    </r>
    <r>
      <rPr>
        <sz val="10"/>
        <rFont val="Times New Roman"/>
        <family val="1"/>
      </rPr>
      <t>Branch</t>
    </r>
  </si>
  <si>
    <t>Male</t>
  </si>
  <si>
    <t>Female</t>
  </si>
  <si>
    <t xml:space="preserve">署名  </t>
  </si>
  <si>
    <t xml:space="preserve"> Signature  </t>
  </si>
  <si>
    <t xml:space="preserve">支部長氏名 </t>
  </si>
  <si>
    <t xml:space="preserve">Branch Master </t>
  </si>
  <si>
    <t xml:space="preserve">*監督氏名 </t>
  </si>
  <si>
    <t xml:space="preserve">Branch Coach </t>
  </si>
  <si>
    <t xml:space="preserve">考試員代表者 </t>
  </si>
  <si>
    <t xml:space="preserve">Chief Examiner </t>
  </si>
  <si>
    <t xml:space="preserve">*署名  </t>
  </si>
  <si>
    <t>*支部長が三段未満の場合、</t>
  </si>
  <si>
    <t>監督の署名が必要。</t>
  </si>
  <si>
    <t>*The signature of the Branch Coach is required if the Branch Master is under 3rd Dan.</t>
  </si>
  <si>
    <t>連盟使用欄 Federation Use Only</t>
  </si>
  <si>
    <t xml:space="preserve">  当連盟は上記を承認する。（署名または印）</t>
  </si>
  <si>
    <t xml:space="preserve">  Federation approval has been given for the above. (Signature or Stamp)</t>
  </si>
  <si>
    <t xml:space="preserve"> 昇  級  上  申  書</t>
  </si>
  <si>
    <t xml:space="preserve"> Kyu Examination Report</t>
  </si>
  <si>
    <r>
      <rPr>
        <b/>
        <sz val="11"/>
        <rFont val="Lucida Fax"/>
        <family val="1"/>
      </rPr>
      <t>SHORINJI  KEMPO  UNITY</t>
    </r>
    <r>
      <rPr>
        <b/>
        <sz val="11"/>
        <rFont val="Times New Roman"/>
        <family val="1"/>
      </rPr>
      <t xml:space="preserve">   代表理事  宗  昂馬  様</t>
    </r>
  </si>
  <si>
    <t xml:space="preserve"> 昇段考試成績上申書</t>
  </si>
  <si>
    <r>
      <rPr>
        <b/>
        <sz val="10"/>
        <rFont val="Arial"/>
        <family val="2"/>
      </rPr>
      <t>支部名</t>
    </r>
    <r>
      <rPr>
        <sz val="10"/>
        <rFont val="Arial"/>
        <family val="2"/>
      </rPr>
      <t xml:space="preserve">
</t>
    </r>
    <r>
      <rPr>
        <sz val="10"/>
        <rFont val="Times New Roman"/>
        <family val="1"/>
      </rPr>
      <t>Branch</t>
    </r>
  </si>
  <si>
    <t xml:space="preserve"> Dan Examination Report</t>
  </si>
  <si>
    <t>昇段試験を実施した結果、下記の受験者が合格しましたので、成績を上申します。</t>
  </si>
  <si>
    <t>After conducting the Dan Examination, the candidates listed below passed the examination, and we report the results.</t>
  </si>
  <si>
    <t xml:space="preserve">考試日 Examination Date       </t>
  </si>
  <si>
    <t>No.</t>
  </si>
  <si>
    <r>
      <rPr>
        <b/>
        <sz val="10"/>
        <rFont val="MS PGothic"/>
        <family val="2"/>
      </rPr>
      <t>拳士コード</t>
    </r>
    <r>
      <rPr>
        <sz val="10"/>
        <rFont val="MS PGothic"/>
        <family val="2"/>
      </rPr>
      <t xml:space="preserve">  </t>
    </r>
    <r>
      <rPr>
        <sz val="10"/>
        <rFont val="Times New Roman"/>
        <family val="1"/>
      </rPr>
      <t>Kenshi No.</t>
    </r>
  </si>
  <si>
    <r>
      <rPr>
        <b/>
        <sz val="10"/>
        <rFont val="MS PGothic"/>
        <family val="2"/>
      </rPr>
      <t>受験資格</t>
    </r>
    <r>
      <rPr>
        <sz val="10"/>
        <rFont val="MS PGothic"/>
        <family val="2"/>
      </rPr>
      <t xml:space="preserve"> </t>
    </r>
    <r>
      <rPr>
        <sz val="10"/>
        <rFont val="Times New Roman"/>
        <family val="1"/>
      </rPr>
      <t>Applying Rank</t>
    </r>
  </si>
  <si>
    <r>
      <rPr>
        <b/>
        <sz val="10"/>
        <rFont val="Times New Roman"/>
        <family val="1"/>
      </rPr>
      <t>宿題</t>
    </r>
    <r>
      <rPr>
        <sz val="10"/>
        <rFont val="Times New Roman"/>
        <family val="2"/>
        <charset val="204"/>
      </rPr>
      <t xml:space="preserve">
</t>
    </r>
    <r>
      <rPr>
        <sz val="9"/>
        <color rgb="FF000000"/>
        <rFont val="Times New Roman"/>
        <family val="1"/>
      </rPr>
      <t>Home Assignment</t>
    </r>
  </si>
  <si>
    <r>
      <rPr>
        <b/>
        <sz val="9"/>
        <rFont val="MS PGothic"/>
        <family val="2"/>
      </rPr>
      <t>受験願書</t>
    </r>
    <r>
      <rPr>
        <sz val="9"/>
        <rFont val="MS PGothic"/>
        <family val="2"/>
      </rPr>
      <t xml:space="preserve"> </t>
    </r>
    <r>
      <rPr>
        <sz val="8"/>
        <rFont val="Times New Roman"/>
        <family val="1"/>
      </rPr>
      <t>Application Form</t>
    </r>
  </si>
  <si>
    <r>
      <rPr>
        <b/>
        <sz val="9"/>
        <rFont val="MS PGothic"/>
        <family val="2"/>
      </rPr>
      <t>技術</t>
    </r>
    <r>
      <rPr>
        <sz val="9"/>
        <rFont val="MS PGothic"/>
        <family val="2"/>
      </rPr>
      <t xml:space="preserve">
</t>
    </r>
    <r>
      <rPr>
        <sz val="8"/>
        <rFont val="Times New Roman"/>
        <family val="1"/>
      </rPr>
      <t>Techniques</t>
    </r>
  </si>
  <si>
    <r>
      <rPr>
        <b/>
        <sz val="9"/>
        <rFont val="MS PGothic"/>
        <family val="2"/>
      </rPr>
      <t>学科</t>
    </r>
    <r>
      <rPr>
        <sz val="9"/>
        <rFont val="MS PGothic"/>
        <family val="2"/>
      </rPr>
      <t xml:space="preserve">
</t>
    </r>
    <r>
      <rPr>
        <sz val="8"/>
        <rFont val="Times New Roman"/>
        <family val="1"/>
      </rPr>
      <t>Philosophy</t>
    </r>
  </si>
  <si>
    <r>
      <rPr>
        <b/>
        <sz val="10"/>
        <rFont val="MS PGothic"/>
        <family val="2"/>
      </rPr>
      <t>受験者氏名（ローマ字）</t>
    </r>
    <r>
      <rPr>
        <sz val="10"/>
        <rFont val="MS PGothic"/>
        <family val="2"/>
      </rPr>
      <t xml:space="preserve">
</t>
    </r>
    <r>
      <rPr>
        <sz val="10"/>
        <rFont val="Times New Roman"/>
        <family val="1"/>
      </rPr>
      <t>Name of Applicant/s (in alphabetical order)</t>
    </r>
  </si>
  <si>
    <t>支部長氏名</t>
  </si>
  <si>
    <t>*監督氏名</t>
  </si>
  <si>
    <t>考試員代表者氏名</t>
  </si>
  <si>
    <t>SIMPERKEMI EVENT</t>
  </si>
  <si>
    <t>Get Data :</t>
  </si>
  <si>
    <t>Peserta Ujian Approved by PB. PERKEMI</t>
  </si>
  <si>
    <t>Nama Kenshi</t>
  </si>
  <si>
    <t>NIK</t>
  </si>
  <si>
    <t>Usia UKT (Thn)</t>
  </si>
  <si>
    <t>Ujian Ke</t>
  </si>
  <si>
    <t>Dojo</t>
  </si>
  <si>
    <t>Cabang</t>
  </si>
  <si>
    <t>Provinsi</t>
  </si>
  <si>
    <t>Status</t>
  </si>
  <si>
    <t>Keterangan</t>
  </si>
  <si>
    <t xml:space="preserve"> Ujian Menuju 8 KYU</t>
  </si>
  <si>
    <t>8 KYU</t>
  </si>
  <si>
    <t>approved</t>
  </si>
  <si>
    <t xml:space="preserve"> Ujian Menuju 7 KYU</t>
  </si>
  <si>
    <t>7 KYU</t>
  </si>
  <si>
    <t xml:space="preserve"> Ujian Menuju 6 KYU</t>
  </si>
  <si>
    <t>6 KYU</t>
  </si>
  <si>
    <t xml:space="preserve"> Ujian Menuju 5 KYU</t>
  </si>
  <si>
    <t>5 KYU</t>
  </si>
  <si>
    <t xml:space="preserve"> Ujian Menuju 4 KYU</t>
  </si>
  <si>
    <t>4 KYU</t>
  </si>
  <si>
    <t xml:space="preserve"> Ujian Menuju 3 KYU</t>
  </si>
  <si>
    <t>3 KYU</t>
  </si>
  <si>
    <t xml:space="preserve"> Ujian Menuju 2 KYU</t>
  </si>
  <si>
    <t>2 KYU</t>
  </si>
  <si>
    <t xml:space="preserve"> Ujian Menuju 1 KYU</t>
  </si>
  <si>
    <t>1 KYU</t>
  </si>
  <si>
    <t>Tgl Lahir</t>
  </si>
  <si>
    <t>06</t>
  </si>
  <si>
    <t>01</t>
  </si>
  <si>
    <t>02</t>
  </si>
  <si>
    <t>09</t>
  </si>
  <si>
    <t>03</t>
  </si>
  <si>
    <t>08</t>
  </si>
  <si>
    <t>07</t>
  </si>
  <si>
    <t>05</t>
  </si>
  <si>
    <t>04</t>
  </si>
  <si>
    <t>Note :</t>
  </si>
  <si>
    <t>Petunjuk :</t>
  </si>
  <si>
    <t>LULUS</t>
  </si>
  <si>
    <t>Bubuhkan ttd elektronik Penguji Utama/Tingkatan Tertinggi/Senior</t>
  </si>
  <si>
    <t>Isi Chief Examiner dengan nama Penguji Utama/Tingkatan Tertinggi/Senior</t>
  </si>
  <si>
    <t>Nama Chief Examiner otomatis akan terisi jika halaman ke-1 sudah terisi</t>
  </si>
  <si>
    <t>TIDAK HADIR</t>
  </si>
  <si>
    <t>Kenshi 1</t>
  </si>
  <si>
    <t>Kenshi 2</t>
  </si>
  <si>
    <t>Kenshi 3</t>
  </si>
  <si>
    <t>Kenshi 4</t>
  </si>
  <si>
    <t>Kenshi 5</t>
  </si>
  <si>
    <t>XX.X.XX.XX.XX.001</t>
  </si>
  <si>
    <t>XX.X.XX.XX.XX.002</t>
  </si>
  <si>
    <t>XX.X.XX.XX.XX.003</t>
  </si>
  <si>
    <t>XX.X.XX.XX.XX.004</t>
  </si>
  <si>
    <t>XX.X.XX.XX.XX.005</t>
  </si>
  <si>
    <t>Xxxxx Xxxxxx</t>
  </si>
  <si>
    <t>Xxxxxx. Kab.</t>
  </si>
  <si>
    <t>Xxxxxx</t>
  </si>
  <si>
    <t>Kenshi 6</t>
  </si>
  <si>
    <t>Kenshi 7</t>
  </si>
  <si>
    <t>Kenshi 8</t>
  </si>
  <si>
    <t>Kenshi 9</t>
  </si>
  <si>
    <t>Kenshi 10</t>
  </si>
  <si>
    <t>XX.X.XX.XX.XX.006</t>
  </si>
  <si>
    <t>XX.X.XX.XX.XX.007</t>
  </si>
  <si>
    <t>XX.X.XX.XX.XX.008</t>
  </si>
  <si>
    <t>XX.X.XX.XX.XX.009</t>
  </si>
  <si>
    <t>XX.X.XX.XX.XX.010</t>
  </si>
  <si>
    <t>10</t>
  </si>
  <si>
    <t>Kenshi 11</t>
  </si>
  <si>
    <t>Kenshi 12</t>
  </si>
  <si>
    <t>Kenshi 13</t>
  </si>
  <si>
    <t>Kenshi 14</t>
  </si>
  <si>
    <t>Kenshi 15</t>
  </si>
  <si>
    <t>Kenshi 16</t>
  </si>
  <si>
    <t>Kenshi 17</t>
  </si>
  <si>
    <t>Kenshi 18</t>
  </si>
  <si>
    <t>Kenshi 19</t>
  </si>
  <si>
    <t>Kenshi 20</t>
  </si>
  <si>
    <t>Kenshi 21</t>
  </si>
  <si>
    <t>Kenshi 22</t>
  </si>
  <si>
    <t>Kenshi 23</t>
  </si>
  <si>
    <t>Kenshi 24</t>
  </si>
  <si>
    <t>Kenshi 25</t>
  </si>
  <si>
    <t>XX.X.XX.XX.XX.011</t>
  </si>
  <si>
    <t>XX.X.XX.XX.XX.012</t>
  </si>
  <si>
    <t>XX.X.XX.XX.XX.013</t>
  </si>
  <si>
    <t>XX.X.XX.XX.XX.014</t>
  </si>
  <si>
    <t>XX.X.XX.XX.XX.015</t>
  </si>
  <si>
    <t>XX.X.XX.XX.XX.016</t>
  </si>
  <si>
    <t>XX.X.XX.XX.XX.017</t>
  </si>
  <si>
    <t>XX.X.XX.XX.XX.018</t>
  </si>
  <si>
    <t>XX.X.XX.XX.XX.019</t>
  </si>
  <si>
    <t>XX.X.XX.XX.XX.020</t>
  </si>
  <si>
    <t>XX.X.XX.XX.XX.021</t>
  </si>
  <si>
    <t>XX.X.XX.XX.XX.022</t>
  </si>
  <si>
    <t>XX.X.XX.XX.XX.023</t>
  </si>
  <si>
    <t>XX.X.XX.XX.XX.024</t>
  </si>
  <si>
    <t>XX.X.XX.XX.XX.025</t>
  </si>
  <si>
    <t>Kenshi 26</t>
  </si>
  <si>
    <t>Kenshi 27</t>
  </si>
  <si>
    <t>Kenshi 28</t>
  </si>
  <si>
    <t>Kenshi 29</t>
  </si>
  <si>
    <t>Kenshi 30</t>
  </si>
  <si>
    <t>XX.X.XX.XX.XX.026</t>
  </si>
  <si>
    <t>XX.X.XX.XX.XX.027</t>
  </si>
  <si>
    <t>XX.X.XX.XX.XX.028</t>
  </si>
  <si>
    <t>XX.X.XX.XX.XX.029</t>
  </si>
  <si>
    <t>XX.X.XX.XX.XX.030</t>
  </si>
  <si>
    <t>Kenshi 31</t>
  </si>
  <si>
    <t>Kenshi 32</t>
  </si>
  <si>
    <t>Kenshi 33</t>
  </si>
  <si>
    <t>Kenshi 34</t>
  </si>
  <si>
    <t>Kenshi 35</t>
  </si>
  <si>
    <t>Kenshi 36</t>
  </si>
  <si>
    <t>Kenshi 37</t>
  </si>
  <si>
    <t>Kenshi 38</t>
  </si>
  <si>
    <t>Kenshi 39</t>
  </si>
  <si>
    <t>Kenshi 40</t>
  </si>
  <si>
    <t>XX.X.XX.XX.XX.031</t>
  </si>
  <si>
    <t>XX.X.XX.XX.XX.037</t>
  </si>
  <si>
    <t>XX.X.XX.XX.XX.038</t>
  </si>
  <si>
    <t>XX.X.XX.XX.XX.039</t>
  </si>
  <si>
    <t>XX.X.XX.XX.XX.040</t>
  </si>
  <si>
    <t>XX.X.XX.XX.XX.032</t>
  </si>
  <si>
    <t>XX.X.XX.XX.XX.033</t>
  </si>
  <si>
    <t>XX.X.XX.XX.XX.034</t>
  </si>
  <si>
    <t>XX.X.XX.XX.XX.035</t>
  </si>
  <si>
    <t>XX.X.XX.XX.XX.036</t>
  </si>
  <si>
    <t>Gashuku dan Ujian Kenaikan Tingkat Kota Xxxxxxx Ke-1 Tahun 2026</t>
  </si>
  <si>
    <t>JANGAN HAPUS INFO KOLOM DIBAWAH INI !</t>
  </si>
  <si>
    <t>Xxxxx Xxxx (X DAN)</t>
  </si>
  <si>
    <t>TIDAK LULUS</t>
  </si>
  <si>
    <t>Jl. Xxxxxxx, Kel. Xxxxxxx, Kec, Xxxxxxx, 09-01-2026 sd 10-01-2026</t>
  </si>
  <si>
    <t>atau Copas dari sini :</t>
  </si>
  <si>
    <t>Tanggal yang diisi hanya pada baris ini, tanggal berikutnya otomatis akan terisi dengan tanggal yang sama.</t>
  </si>
  <si>
    <t>Kolom C (tanda "V") / Lulus, otomatis akan terisi jika peserta dinyatakan Lulus.</t>
  </si>
  <si>
    <t>LaksdyaTNI (Purn) Prof. Dr. Agus Setiadji, S.A.P, M.A.</t>
  </si>
  <si>
    <t>Isi dengan tanggal pembuatan laporan atau sama dengan tanggal pelantikan ujian</t>
  </si>
  <si>
    <t>Isi dengan tanggal pelantikan ujian</t>
  </si>
  <si>
    <t>Very Good</t>
  </si>
  <si>
    <t>Good</t>
  </si>
  <si>
    <t>Istimewa</t>
  </si>
  <si>
    <t>Home Assignment</t>
  </si>
  <si>
    <t>Nilai</t>
  </si>
  <si>
    <t>Excellent</t>
  </si>
  <si>
    <t>Pengertian</t>
  </si>
  <si>
    <t>Baik Sekali</t>
  </si>
  <si>
    <t>Fair</t>
  </si>
  <si>
    <t>Baik</t>
  </si>
  <si>
    <t>Cukup</t>
  </si>
  <si>
    <t>Poor</t>
  </si>
  <si>
    <t>Kurang</t>
  </si>
  <si>
    <t>(Makalah/Paper)</t>
  </si>
  <si>
    <t>60 - 69</t>
  </si>
  <si>
    <t>70 - 79</t>
  </si>
  <si>
    <t>80 - 89</t>
  </si>
  <si>
    <t>90 - 100</t>
  </si>
  <si>
    <t>50 - 59</t>
  </si>
  <si>
    <t>Deskripsi Nilai</t>
  </si>
  <si>
    <t xml:space="preserve"> Ujian Menuju 1 DAN</t>
  </si>
  <si>
    <t>1 DAN</t>
  </si>
  <si>
    <t>Xxxxxx. Kota</t>
  </si>
  <si>
    <t>Jl. Xxxxxxx, Kel. Xxxxxxx, Kec, Xxxxxxx, 01-01-2026 sd 02-01-2026</t>
  </si>
  <si>
    <t>Gashuku dan Ujian Kenaikan Tingkat Provinsi Xxxxxxx Ke-1 Tahun 2026</t>
  </si>
  <si>
    <t>Ganti contoh data peserta disamping ini dengan data peserta ujian hasil download dari SIMPERKEMI pada menu Permohonan Mandat Penguji (kolom A sd M), dan isi kolom Keterangan (N) dengan LULUS / TIDAK LULUS / TIDAK HADIR sesuai hasil di laporan F-28 yang telah dibuat.</t>
  </si>
  <si>
    <t>Item</t>
  </si>
  <si>
    <t>受験料
Exam Fee</t>
  </si>
  <si>
    <t>Techniques</t>
  </si>
  <si>
    <t>Philosophy</t>
  </si>
  <si>
    <t>70 - 100</t>
  </si>
  <si>
    <t>(Ujian Tertulis/Wawancara)</t>
  </si>
  <si>
    <t>Nilai ujian tertulis/teori</t>
  </si>
  <si>
    <r>
      <rPr>
        <b/>
        <sz val="11"/>
        <rFont val="Lucida Fax"/>
        <family val="1"/>
      </rPr>
      <t>SHORINJI KEMPO UNITY</t>
    </r>
    <r>
      <rPr>
        <b/>
        <sz val="11"/>
        <rFont val="Times New Roman"/>
        <family val="1"/>
      </rPr>
      <t xml:space="preserve">   代表理事  宗  昂馬  様</t>
    </r>
  </si>
  <si>
    <t>Gabungan total nilai Teknik Dasar, Teknik Pilihan, Embu dan Unyo Ho</t>
  </si>
  <si>
    <t>270 - 400</t>
  </si>
  <si>
    <t>Data peserta setelah terisi keterangan Lulus sesuai laporan hasil ujian (F-28), WAJIB diurutkan kembali berdasarkan urutan kolom Keterangan (urutkan dari dari LULUS sd TIDAK LULUS/TIDAK HADIR), dengan menggunakan fungsi Data --&gt; Sort (sort by Column N). HANYA peserta yang LULUS saja yang akan ditampilkan pada Report WSKO.</t>
  </si>
  <si>
    <t>Referensi Pengisian Data Laporan menuju DAN</t>
  </si>
  <si>
    <t>Kolom yang diisi hanya total nilai Teknik Ujian dan Nilai Paper/Makalah</t>
  </si>
  <si>
    <t>Ganti contoh data peserta menuju 1 DAN disamping ini dengan data peserta ujian hasil download dari SIMPERKEMI pada menu Permohonan Mandat Penguji (kolom A sd M), dan isi kolom Keterangan (N) dengan LULUS / TIDAK LULUS / TIDAK HADIR sesuai hasil di laporan F-28 yang telah dibuat.</t>
  </si>
  <si>
    <t>Data peserta setelah terisi keterangan Lulus sesuai laporan hasil ujian (F-28), WAJIB diurutkan kembali berdasarkan urutan kolom Keterangan (urutkan dari dari LULUS sd TIDAK LULUS/TIDAK HADIR), dengan menggunakan fungsi Data --&gt; Sort (sort by Column N). Agar yang tidak Lulus berada di urutan terakhir data setiap tingkatannya.</t>
  </si>
  <si>
    <t>Note : Apabila event Gasprov dengan peserta Kyu dan DAN, pisahkan peserta menuju DAN ke sheet sebelah kanan (Data Dan)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</si>
</sst>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."/>
    <numFmt numFmtId="165" formatCode="dd\-mm\-yyyy"/>
    <numFmt numFmtId="166" formatCode="0#"/>
    <numFmt numFmtId="167" formatCode="0.0"/>
  </numFmts>
  <fonts count="53" x14ac:knownFonts="1">
    <font>
      <sz val="10"/>
      <color rgb="FF000000"/>
      <name val="Times New Roman"/>
      <charset val="204"/>
    </font>
    <font>
      <sz val="10.5"/>
      <name val="Times New Roman"/>
      <family val="1"/>
    </font>
    <font>
      <b/>
      <sz val="2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2"/>
      <charset val="204"/>
    </font>
    <font>
      <sz val="9"/>
      <color rgb="FF000000"/>
      <name val="Times New Roman"/>
      <family val="1"/>
    </font>
    <font>
      <sz val="10"/>
      <color rgb="FF000000"/>
      <name val="Arial"/>
      <family val="2"/>
    </font>
    <font>
      <sz val="8"/>
      <color rgb="FF00000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  <charset val="204"/>
    </font>
    <font>
      <b/>
      <sz val="11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9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8"/>
      <color rgb="FF000000"/>
      <name val="Times New Roman"/>
      <family val="1"/>
    </font>
    <font>
      <sz val="8.5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20"/>
      <name val="MS PGothic"/>
      <family val="2"/>
    </font>
    <font>
      <b/>
      <sz val="10"/>
      <name val="Times New Roman"/>
      <family val="2"/>
      <charset val="204"/>
    </font>
    <font>
      <b/>
      <sz val="11"/>
      <name val="Lucida Fax"/>
      <family val="1"/>
    </font>
    <font>
      <sz val="10.5"/>
      <name val="Times New Roman"/>
      <family val="1"/>
      <charset val="204"/>
    </font>
    <font>
      <b/>
      <sz val="10"/>
      <name val="MS PGothic"/>
      <family val="2"/>
    </font>
    <font>
      <sz val="10"/>
      <name val="MS PGothic"/>
      <family val="2"/>
    </font>
    <font>
      <b/>
      <sz val="10"/>
      <name val="Times New Roman"/>
      <family val="1"/>
    </font>
    <font>
      <b/>
      <sz val="9"/>
      <name val="MS PGothic"/>
      <family val="2"/>
    </font>
    <font>
      <sz val="9"/>
      <name val="MS PGothic"/>
      <family val="2"/>
    </font>
    <font>
      <sz val="8"/>
      <name val="Times New Roman"/>
      <family val="1"/>
    </font>
    <font>
      <sz val="9"/>
      <name val="Times New Roman"/>
      <family val="2"/>
      <charset val="204"/>
    </font>
    <font>
      <sz val="11"/>
      <color rgb="FF000000"/>
      <name val="Arial"/>
      <family val="2"/>
    </font>
    <font>
      <sz val="10"/>
      <color theme="1"/>
      <name val="Arial"/>
      <family val="2"/>
    </font>
    <font>
      <b/>
      <sz val="10"/>
      <color rgb="FFC00000"/>
      <name val="Times New Roman"/>
      <family val="1"/>
    </font>
    <font>
      <b/>
      <sz val="11"/>
      <color rgb="FFC00000"/>
      <name val="Times New Roman"/>
      <family val="1"/>
    </font>
    <font>
      <b/>
      <sz val="11"/>
      <color rgb="FFFF0000"/>
      <name val="Arial"/>
      <family val="2"/>
    </font>
    <font>
      <b/>
      <sz val="11"/>
      <color rgb="FFC00000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4"/>
      <color rgb="FF000000"/>
      <name val="Times New Roman"/>
      <family val="1"/>
    </font>
    <font>
      <sz val="8"/>
      <name val="Times New Roman"/>
      <family val="1"/>
    </font>
    <font>
      <i/>
      <sz val="9"/>
      <color rgb="FFC00000"/>
      <name val="Arial"/>
      <family val="2"/>
    </font>
    <font>
      <b/>
      <u/>
      <sz val="11"/>
      <color rgb="FF000000"/>
      <name val="Arial"/>
      <family val="2"/>
    </font>
    <font>
      <b/>
      <sz val="11"/>
      <color rgb="FF0A0A0A"/>
      <name val="Arial"/>
      <family val="2"/>
    </font>
    <font>
      <sz val="11"/>
      <color rgb="FF0A0A0A"/>
      <name val="Arial"/>
      <family val="2"/>
    </font>
    <font>
      <b/>
      <sz val="10"/>
      <color rgb="FFC00000"/>
      <name val="Arial"/>
      <family val="2"/>
    </font>
    <font>
      <b/>
      <sz val="10"/>
      <color rgb="FF0070C0"/>
      <name val="Arial"/>
      <family val="2"/>
    </font>
    <font>
      <b/>
      <sz val="14"/>
      <color rgb="FF0070C0"/>
      <name val="Arial"/>
      <family val="2"/>
    </font>
    <font>
      <b/>
      <sz val="11"/>
      <color rgb="FF0070C0"/>
      <name val="Arial"/>
      <family val="2"/>
    </font>
    <font>
      <sz val="12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rgb="FF000000"/>
      </patternFill>
    </fill>
    <fill>
      <patternFill patternType="solid">
        <fgColor rgb="FFF6F6F6"/>
        <bgColor rgb="FF000000"/>
      </patternFill>
    </fill>
    <fill>
      <patternFill patternType="solid">
        <fgColor rgb="FFFFFEA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F923"/>
        <bgColor rgb="FF000000"/>
      </patternFill>
    </fill>
    <fill>
      <patternFill patternType="solid">
        <fgColor rgb="FF91CBFC"/>
        <bgColor rgb="FF000000"/>
      </patternFill>
    </fill>
    <fill>
      <patternFill patternType="solid">
        <fgColor rgb="FFD18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0000"/>
        <bgColor rgb="FF000000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thin">
        <color indexed="64"/>
      </bottom>
      <diagonal/>
    </border>
    <border>
      <left style="hair">
        <color theme="0" tint="-0.14996795556505021"/>
      </left>
      <right/>
      <top style="hair">
        <color theme="0" tint="-0.14996795556505021"/>
      </top>
      <bottom style="thin">
        <color indexed="64"/>
      </bottom>
      <diagonal/>
    </border>
    <border>
      <left/>
      <right style="hair">
        <color theme="0" tint="-0.14996795556505021"/>
      </right>
      <top style="hair">
        <color theme="0" tint="-0.14996795556505021"/>
      </top>
      <bottom style="thin">
        <color indexed="64"/>
      </bottom>
      <diagonal/>
    </border>
    <border>
      <left style="hair">
        <color theme="0" tint="-0.14996795556505021"/>
      </left>
      <right/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 style="hair">
        <color theme="0" tint="-0.1499679555650502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theme="0" tint="-0.14996795556505021"/>
      </right>
      <top/>
      <bottom style="thin">
        <color indexed="64"/>
      </bottom>
      <diagonal/>
    </border>
    <border>
      <left style="hair">
        <color theme="0" tint="-0.14993743705557422"/>
      </left>
      <right/>
      <top/>
      <bottom style="hair">
        <color theme="0" tint="-0.14990691854609822"/>
      </bottom>
      <diagonal/>
    </border>
    <border>
      <left/>
      <right/>
      <top/>
      <bottom style="hair">
        <color theme="0" tint="-0.14990691854609822"/>
      </bottom>
      <diagonal/>
    </border>
    <border>
      <left style="hair">
        <color theme="0" tint="-0.24994659260841701"/>
      </left>
      <right/>
      <top style="hair">
        <color theme="0" tint="-0.24994659260841701"/>
      </top>
      <bottom style="thin">
        <color indexed="64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1"/>
      </bottom>
      <diagonal/>
    </border>
  </borders>
  <cellStyleXfs count="1">
    <xf numFmtId="0" fontId="0" fillId="0" borderId="0"/>
  </cellStyleXfs>
  <cellXfs count="26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wrapText="1" indent="2"/>
    </xf>
    <xf numFmtId="0" fontId="5" fillId="0" borderId="0" xfId="0" applyFont="1" applyAlignment="1">
      <alignment horizontal="left" vertical="top" wrapText="1"/>
    </xf>
    <xf numFmtId="0" fontId="7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0" fillId="0" borderId="9" xfId="0" applyBorder="1" applyAlignment="1">
      <alignment vertical="top"/>
    </xf>
    <xf numFmtId="0" fontId="13" fillId="0" borderId="2" xfId="0" applyFont="1" applyBorder="1" applyAlignment="1">
      <alignment horizontal="right" wrapText="1"/>
    </xf>
    <xf numFmtId="0" fontId="17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4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top"/>
    </xf>
    <xf numFmtId="17" fontId="0" fillId="0" borderId="0" xfId="0" applyNumberFormat="1" applyAlignment="1">
      <alignment horizontal="left" vertical="top"/>
    </xf>
    <xf numFmtId="0" fontId="4" fillId="0" borderId="0" xfId="0" applyFont="1" applyAlignment="1">
      <alignment horizontal="right" vertical="top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horizontal="right" vertical="top"/>
    </xf>
    <xf numFmtId="0" fontId="0" fillId="0" borderId="16" xfId="0" applyBorder="1" applyAlignment="1">
      <alignment horizontal="left" vertical="top"/>
    </xf>
    <xf numFmtId="0" fontId="16" fillId="0" borderId="16" xfId="0" applyFont="1" applyBorder="1" applyAlignment="1">
      <alignment horizontal="left" vertical="top"/>
    </xf>
    <xf numFmtId="0" fontId="22" fillId="0" borderId="16" xfId="0" applyFont="1" applyBorder="1" applyAlignment="1">
      <alignment horizontal="left" vertical="top"/>
    </xf>
    <xf numFmtId="0" fontId="2" fillId="0" borderId="0" xfId="0" applyFont="1" applyAlignment="1">
      <alignment horizontal="left"/>
    </xf>
    <xf numFmtId="0" fontId="26" fillId="0" borderId="0" xfId="0" applyFont="1" applyAlignment="1">
      <alignment vertical="top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7" fillId="0" borderId="6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0" xfId="0" applyFont="1" applyAlignment="1">
      <alignment vertical="top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29" fillId="0" borderId="17" xfId="0" applyFont="1" applyBorder="1" applyAlignment="1">
      <alignment horizontal="center" vertical="center" wrapText="1"/>
    </xf>
    <xf numFmtId="0" fontId="7" fillId="0" borderId="0" xfId="0" applyFont="1"/>
    <xf numFmtId="0" fontId="7" fillId="0" borderId="6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17" fontId="36" fillId="0" borderId="0" xfId="0" applyNumberFormat="1" applyFont="1" applyAlignment="1">
      <alignment horizontal="left" vertical="top"/>
    </xf>
    <xf numFmtId="17" fontId="36" fillId="0" borderId="0" xfId="0" applyNumberFormat="1" applyFont="1" applyAlignment="1">
      <alignment vertical="top"/>
    </xf>
    <xf numFmtId="17" fontId="37" fillId="0" borderId="0" xfId="0" applyNumberFormat="1" applyFont="1" applyAlignment="1">
      <alignment vertical="top"/>
    </xf>
    <xf numFmtId="0" fontId="39" fillId="10" borderId="0" xfId="0" applyFont="1" applyFill="1" applyAlignment="1">
      <alignment horizontal="center" vertical="center"/>
    </xf>
    <xf numFmtId="0" fontId="19" fillId="0" borderId="0" xfId="0" applyFont="1" applyAlignment="1">
      <alignment horizontal="left"/>
    </xf>
    <xf numFmtId="0" fontId="0" fillId="0" borderId="0" xfId="0" applyAlignment="1">
      <alignment horizontal="left"/>
    </xf>
    <xf numFmtId="17" fontId="0" fillId="0" borderId="0" xfId="0" applyNumberFormat="1" applyAlignment="1">
      <alignment horizontal="left"/>
    </xf>
    <xf numFmtId="0" fontId="4" fillId="0" borderId="0" xfId="0" applyFont="1"/>
    <xf numFmtId="0" fontId="17" fillId="0" borderId="9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7" fontId="36" fillId="0" borderId="0" xfId="0" applyNumberFormat="1" applyFont="1" applyAlignment="1">
      <alignment horizontal="left" vertical="center"/>
    </xf>
    <xf numFmtId="0" fontId="17" fillId="0" borderId="0" xfId="0" applyFont="1"/>
    <xf numFmtId="0" fontId="34" fillId="0" borderId="0" xfId="0" applyFont="1" applyAlignment="1">
      <alignment horizontal="center" vertical="center"/>
    </xf>
    <xf numFmtId="166" fontId="16" fillId="0" borderId="17" xfId="0" applyNumberFormat="1" applyFont="1" applyBorder="1" applyAlignment="1">
      <alignment horizontal="center" vertical="center"/>
    </xf>
    <xf numFmtId="166" fontId="29" fillId="0" borderId="17" xfId="0" applyNumberFormat="1" applyFont="1" applyBorder="1" applyAlignment="1">
      <alignment horizontal="center" vertical="center" wrapText="1"/>
    </xf>
    <xf numFmtId="0" fontId="3" fillId="0" borderId="32" xfId="0" applyFont="1" applyBorder="1" applyAlignment="1">
      <alignment vertical="center" wrapText="1"/>
    </xf>
    <xf numFmtId="0" fontId="3" fillId="0" borderId="33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166" fontId="16" fillId="0" borderId="17" xfId="0" applyNumberFormat="1" applyFont="1" applyBorder="1" applyAlignment="1">
      <alignment horizontal="center" vertical="top"/>
    </xf>
    <xf numFmtId="0" fontId="29" fillId="0" borderId="17" xfId="0" applyFont="1" applyBorder="1" applyAlignment="1">
      <alignment horizontal="center" vertical="top" wrapText="1"/>
    </xf>
    <xf numFmtId="166" fontId="29" fillId="0" borderId="17" xfId="0" applyNumberFormat="1" applyFont="1" applyBorder="1" applyAlignment="1">
      <alignment horizontal="center" vertical="top" wrapText="1"/>
    </xf>
    <xf numFmtId="0" fontId="22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/>
    </xf>
    <xf numFmtId="0" fontId="47" fillId="0" borderId="0" xfId="0" applyFont="1" applyAlignment="1">
      <alignment horizontal="left" vertical="top"/>
    </xf>
    <xf numFmtId="0" fontId="34" fillId="0" borderId="0" xfId="0" applyFont="1"/>
    <xf numFmtId="0" fontId="38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40" fillId="0" borderId="0" xfId="0" applyFont="1"/>
    <xf numFmtId="0" fontId="40" fillId="2" borderId="1" xfId="0" applyFont="1" applyFill="1" applyBorder="1" applyAlignment="1">
      <alignment horizontal="center" vertical="center" wrapText="1"/>
    </xf>
    <xf numFmtId="0" fontId="34" fillId="0" borderId="1" xfId="0" applyFont="1" applyBorder="1"/>
    <xf numFmtId="0" fontId="17" fillId="0" borderId="1" xfId="0" applyFont="1" applyBorder="1"/>
    <xf numFmtId="0" fontId="41" fillId="11" borderId="1" xfId="0" applyFont="1" applyFill="1" applyBorder="1" applyAlignment="1">
      <alignment vertical="center"/>
    </xf>
    <xf numFmtId="0" fontId="7" fillId="0" borderId="1" xfId="0" applyFont="1" applyBorder="1" applyAlignment="1">
      <alignment horizontal="center"/>
    </xf>
    <xf numFmtId="0" fontId="34" fillId="0" borderId="1" xfId="0" applyFont="1" applyBorder="1" applyAlignment="1">
      <alignment vertical="center"/>
    </xf>
    <xf numFmtId="167" fontId="34" fillId="0" borderId="1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49" fillId="0" borderId="1" xfId="0" applyFont="1" applyBorder="1" applyAlignment="1">
      <alignment horizontal="left" vertical="center"/>
    </xf>
    <xf numFmtId="0" fontId="7" fillId="0" borderId="1" xfId="0" applyFont="1" applyBorder="1"/>
    <xf numFmtId="0" fontId="40" fillId="3" borderId="1" xfId="0" applyFont="1" applyFill="1" applyBorder="1" applyAlignment="1">
      <alignment vertical="center"/>
    </xf>
    <xf numFmtId="0" fontId="40" fillId="4" borderId="1" xfId="0" applyFont="1" applyFill="1" applyBorder="1" applyAlignment="1">
      <alignment vertical="center"/>
    </xf>
    <xf numFmtId="0" fontId="40" fillId="5" borderId="1" xfId="0" applyFont="1" applyFill="1" applyBorder="1" applyAlignment="1">
      <alignment vertical="center"/>
    </xf>
    <xf numFmtId="0" fontId="40" fillId="6" borderId="1" xfId="0" applyFont="1" applyFill="1" applyBorder="1" applyAlignment="1">
      <alignment vertical="center"/>
    </xf>
    <xf numFmtId="0" fontId="40" fillId="7" borderId="1" xfId="0" applyFont="1" applyFill="1" applyBorder="1" applyAlignment="1">
      <alignment vertical="center"/>
    </xf>
    <xf numFmtId="0" fontId="41" fillId="8" borderId="1" xfId="0" applyFont="1" applyFill="1" applyBorder="1" applyAlignment="1">
      <alignment vertical="center"/>
    </xf>
    <xf numFmtId="0" fontId="48" fillId="0" borderId="1" xfId="0" applyFont="1" applyBorder="1"/>
    <xf numFmtId="0" fontId="38" fillId="0" borderId="0" xfId="0" applyFont="1" applyAlignment="1">
      <alignment horizontal="center" vertical="top"/>
    </xf>
    <xf numFmtId="0" fontId="22" fillId="0" borderId="0" xfId="0" applyFont="1" applyAlignment="1">
      <alignment horizontal="center" vertical="top"/>
    </xf>
    <xf numFmtId="0" fontId="40" fillId="0" borderId="1" xfId="0" applyFont="1" applyBorder="1"/>
    <xf numFmtId="0" fontId="40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50" fillId="0" borderId="0" xfId="0" applyFont="1" applyAlignment="1">
      <alignment horizontal="left" vertical="center"/>
    </xf>
    <xf numFmtId="0" fontId="14" fillId="0" borderId="36" xfId="0" applyFont="1" applyBorder="1" applyAlignment="1">
      <alignment horizontal="center" vertical="center" wrapText="1"/>
    </xf>
    <xf numFmtId="166" fontId="14" fillId="0" borderId="39" xfId="0" applyNumberFormat="1" applyFont="1" applyBorder="1" applyAlignment="1">
      <alignment horizontal="center" vertical="center" wrapText="1"/>
    </xf>
    <xf numFmtId="17" fontId="37" fillId="0" borderId="0" xfId="0" applyNumberFormat="1" applyFont="1" applyAlignment="1">
      <alignment horizontal="left" vertical="top"/>
    </xf>
    <xf numFmtId="0" fontId="38" fillId="0" borderId="0" xfId="0" applyFont="1"/>
    <xf numFmtId="0" fontId="34" fillId="0" borderId="1" xfId="0" quotePrefix="1" applyFont="1" applyBorder="1" applyAlignment="1">
      <alignment horizontal="center" vertical="center"/>
    </xf>
    <xf numFmtId="0" fontId="51" fillId="0" borderId="1" xfId="0" applyFont="1" applyBorder="1" applyAlignment="1">
      <alignment horizontal="left" vertical="center"/>
    </xf>
    <xf numFmtId="0" fontId="39" fillId="0" borderId="1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right" vertical="center"/>
    </xf>
    <xf numFmtId="0" fontId="52" fillId="0" borderId="0" xfId="0" applyFont="1"/>
    <xf numFmtId="0" fontId="52" fillId="0" borderId="0" xfId="0" applyFont="1" applyAlignment="1">
      <alignment vertical="top"/>
    </xf>
    <xf numFmtId="0" fontId="18" fillId="0" borderId="0" xfId="0" applyFont="1" applyAlignment="1">
      <alignment vertical="top"/>
    </xf>
    <xf numFmtId="165" fontId="52" fillId="0" borderId="0" xfId="0" applyNumberFormat="1" applyFont="1" applyAlignment="1">
      <alignment horizontal="right" vertical="top"/>
    </xf>
    <xf numFmtId="0" fontId="18" fillId="0" borderId="0" xfId="0" applyFont="1" applyAlignment="1">
      <alignment horizontal="left" vertical="center"/>
    </xf>
    <xf numFmtId="0" fontId="52" fillId="0" borderId="0" xfId="0" applyFont="1" applyAlignment="1">
      <alignment horizontal="left" vertical="center"/>
    </xf>
    <xf numFmtId="165" fontId="18" fillId="0" borderId="0" xfId="0" applyNumberFormat="1" applyFont="1" applyAlignment="1">
      <alignment horizontal="right" vertical="top"/>
    </xf>
    <xf numFmtId="0" fontId="40" fillId="2" borderId="1" xfId="0" applyFont="1" applyFill="1" applyBorder="1" applyAlignment="1">
      <alignment horizontal="center" vertical="center" wrapText="1"/>
    </xf>
    <xf numFmtId="0" fontId="39" fillId="9" borderId="6" xfId="0" applyFont="1" applyFill="1" applyBorder="1" applyAlignment="1">
      <alignment horizontal="center" vertical="center" wrapText="1"/>
    </xf>
    <xf numFmtId="0" fontId="39" fillId="9" borderId="0" xfId="0" applyFont="1" applyFill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top"/>
    </xf>
    <xf numFmtId="0" fontId="21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35" fillId="0" borderId="2" xfId="0" applyNumberFormat="1" applyFont="1" applyBorder="1" applyAlignment="1">
      <alignment horizontal="center" vertical="center"/>
    </xf>
    <xf numFmtId="164" fontId="35" fillId="0" borderId="4" xfId="0" applyNumberFormat="1" applyFont="1" applyBorder="1" applyAlignment="1">
      <alignment horizontal="center" vertical="center"/>
    </xf>
    <xf numFmtId="164" fontId="35" fillId="0" borderId="3" xfId="0" applyNumberFormat="1" applyFont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17" fontId="36" fillId="0" borderId="0" xfId="0" applyNumberFormat="1" applyFont="1" applyAlignment="1">
      <alignment horizontal="left" vertical="top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30" xfId="0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top"/>
    </xf>
    <xf numFmtId="166" fontId="29" fillId="0" borderId="18" xfId="0" applyNumberFormat="1" applyFont="1" applyBorder="1" applyAlignment="1">
      <alignment horizontal="left" vertical="center" wrapText="1"/>
    </xf>
    <xf numFmtId="166" fontId="29" fillId="0" borderId="19" xfId="0" applyNumberFormat="1" applyFont="1" applyBorder="1" applyAlignment="1">
      <alignment horizontal="left" vertical="center" wrapText="1"/>
    </xf>
    <xf numFmtId="0" fontId="18" fillId="0" borderId="5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0" fontId="23" fillId="0" borderId="0" xfId="0" applyFont="1" applyAlignment="1">
      <alignment horizontal="left" wrapText="1"/>
    </xf>
    <xf numFmtId="0" fontId="24" fillId="0" borderId="0" xfId="0" applyFont="1" applyAlignment="1">
      <alignment horizontal="left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 wrapText="1"/>
    </xf>
    <xf numFmtId="0" fontId="29" fillId="0" borderId="1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166" fontId="29" fillId="0" borderId="18" xfId="0" quotePrefix="1" applyNumberFormat="1" applyFont="1" applyBorder="1" applyAlignment="1">
      <alignment horizontal="center" vertical="center" wrapText="1"/>
    </xf>
    <xf numFmtId="166" fontId="29" fillId="0" borderId="19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top" wrapText="1"/>
    </xf>
    <xf numFmtId="0" fontId="29" fillId="0" borderId="19" xfId="0" applyFont="1" applyBorder="1" applyAlignment="1">
      <alignment horizontal="center" vertical="top" wrapText="1"/>
    </xf>
    <xf numFmtId="166" fontId="29" fillId="0" borderId="18" xfId="0" quotePrefix="1" applyNumberFormat="1" applyFont="1" applyBorder="1" applyAlignment="1">
      <alignment horizontal="center" vertical="top" wrapText="1"/>
    </xf>
    <xf numFmtId="166" fontId="29" fillId="0" borderId="19" xfId="0" applyNumberFormat="1" applyFont="1" applyBorder="1" applyAlignment="1">
      <alignment horizontal="center" vertical="top" wrapText="1"/>
    </xf>
    <xf numFmtId="166" fontId="29" fillId="0" borderId="18" xfId="0" applyNumberFormat="1" applyFont="1" applyBorder="1" applyAlignment="1">
      <alignment horizontal="left" vertical="top" wrapText="1"/>
    </xf>
    <xf numFmtId="166" fontId="29" fillId="0" borderId="19" xfId="0" applyNumberFormat="1" applyFont="1" applyBorder="1" applyAlignment="1">
      <alignment horizontal="left" vertical="top" wrapText="1"/>
    </xf>
    <xf numFmtId="0" fontId="44" fillId="0" borderId="0" xfId="0" applyFont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/>
    </xf>
    <xf numFmtId="0" fontId="4" fillId="0" borderId="0" xfId="0" applyFont="1" applyAlignment="1">
      <alignment horizontal="right" vertical="top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166" fontId="17" fillId="0" borderId="40" xfId="0" applyNumberFormat="1" applyFont="1" applyBorder="1" applyAlignment="1">
      <alignment horizontal="center" vertical="center"/>
    </xf>
    <xf numFmtId="166" fontId="17" fillId="0" borderId="41" xfId="0" applyNumberFormat="1" applyFont="1" applyBorder="1" applyAlignment="1">
      <alignment horizontal="center" vertical="center"/>
    </xf>
    <xf numFmtId="166" fontId="17" fillId="0" borderId="37" xfId="0" applyNumberFormat="1" applyFont="1" applyBorder="1" applyAlignment="1">
      <alignment horizontal="center" vertical="center"/>
    </xf>
    <xf numFmtId="166" fontId="17" fillId="0" borderId="38" xfId="0" applyNumberFormat="1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3" fillId="0" borderId="25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85056</xdr:colOff>
      <xdr:row>14</xdr:row>
      <xdr:rowOff>38870</xdr:rowOff>
    </xdr:from>
    <xdr:to>
      <xdr:col>3</xdr:col>
      <xdr:colOff>19113</xdr:colOff>
      <xdr:row>16</xdr:row>
      <xdr:rowOff>206116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ACFB28B6-C471-8BB6-32BC-BB4EF688D8DC}"/>
            </a:ext>
          </a:extLst>
        </xdr:cNvPr>
        <xdr:cNvGrpSpPr/>
      </xdr:nvGrpSpPr>
      <xdr:grpSpPr>
        <a:xfrm>
          <a:off x="230830" y="2457392"/>
          <a:ext cx="358126" cy="472046"/>
          <a:chOff x="219809" y="2322575"/>
          <a:chExt cx="300403" cy="483638"/>
        </a:xfrm>
      </xdr:grpSpPr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FE34310-0F7E-1B9B-2427-258A9A6E6819}"/>
              </a:ext>
            </a:extLst>
          </xdr:cNvPr>
          <xdr:cNvSpPr txBox="1"/>
        </xdr:nvSpPr>
        <xdr:spPr>
          <a:xfrm>
            <a:off x="219809" y="2535117"/>
            <a:ext cx="300403" cy="271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✓</a:t>
            </a:r>
          </a:p>
        </xdr:txBody>
      </xdr:sp>
      <xdr:sp macro="" textlink="">
        <xdr:nvSpPr>
          <xdr:cNvPr id="15" name="Shape 12">
            <a:extLst>
              <a:ext uri="{FF2B5EF4-FFF2-40B4-BE49-F238E27FC236}">
                <a16:creationId xmlns:a16="http://schemas.microsoft.com/office/drawing/2014/main" id="{1E72AE26-DF5C-4A64-9973-B64AA0914F12}"/>
              </a:ext>
            </a:extLst>
          </xdr:cNvPr>
          <xdr:cNvSpPr/>
        </xdr:nvSpPr>
        <xdr:spPr>
          <a:xfrm>
            <a:off x="315057" y="2322575"/>
            <a:ext cx="76200" cy="254000"/>
          </a:xfrm>
          <a:custGeom>
            <a:avLst/>
            <a:gdLst/>
            <a:ahLst/>
            <a:cxnLst/>
            <a:rect l="0" t="0" r="0" b="0"/>
            <a:pathLst>
              <a:path w="76200" h="254000">
                <a:moveTo>
                  <a:pt x="31750" y="177800"/>
                </a:moveTo>
                <a:lnTo>
                  <a:pt x="0" y="177800"/>
                </a:lnTo>
                <a:lnTo>
                  <a:pt x="38100" y="254000"/>
                </a:lnTo>
                <a:lnTo>
                  <a:pt x="69850" y="190500"/>
                </a:lnTo>
                <a:lnTo>
                  <a:pt x="31750" y="190500"/>
                </a:lnTo>
                <a:lnTo>
                  <a:pt x="31750" y="177800"/>
                </a:lnTo>
                <a:close/>
              </a:path>
              <a:path w="76200" h="254000">
                <a:moveTo>
                  <a:pt x="44450" y="0"/>
                </a:moveTo>
                <a:lnTo>
                  <a:pt x="31750" y="0"/>
                </a:lnTo>
                <a:lnTo>
                  <a:pt x="31750" y="190500"/>
                </a:lnTo>
                <a:lnTo>
                  <a:pt x="44450" y="190500"/>
                </a:lnTo>
                <a:lnTo>
                  <a:pt x="44450" y="0"/>
                </a:lnTo>
                <a:close/>
              </a:path>
              <a:path w="76200" h="254000">
                <a:moveTo>
                  <a:pt x="76200" y="177800"/>
                </a:moveTo>
                <a:lnTo>
                  <a:pt x="44450" y="177800"/>
                </a:lnTo>
                <a:lnTo>
                  <a:pt x="44450" y="190500"/>
                </a:lnTo>
                <a:lnTo>
                  <a:pt x="69850" y="190500"/>
                </a:lnTo>
                <a:lnTo>
                  <a:pt x="76200" y="17780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>
    <xdr:from>
      <xdr:col>1</xdr:col>
      <xdr:colOff>85056</xdr:colOff>
      <xdr:row>92</xdr:row>
      <xdr:rowOff>38870</xdr:rowOff>
    </xdr:from>
    <xdr:to>
      <xdr:col>3</xdr:col>
      <xdr:colOff>19113</xdr:colOff>
      <xdr:row>95</xdr:row>
      <xdr:rowOff>2364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4B94549-2556-4700-B890-E921CC1907CC}"/>
            </a:ext>
          </a:extLst>
        </xdr:cNvPr>
        <xdr:cNvGrpSpPr/>
      </xdr:nvGrpSpPr>
      <xdr:grpSpPr>
        <a:xfrm>
          <a:off x="230830" y="14304835"/>
          <a:ext cx="358126" cy="480329"/>
          <a:chOff x="219809" y="2322575"/>
          <a:chExt cx="300403" cy="483638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BBC1CE4B-A703-C749-9C12-4B45B744F2B3}"/>
              </a:ext>
            </a:extLst>
          </xdr:cNvPr>
          <xdr:cNvSpPr txBox="1"/>
        </xdr:nvSpPr>
        <xdr:spPr>
          <a:xfrm>
            <a:off x="219809" y="2535117"/>
            <a:ext cx="300403" cy="271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✓</a:t>
            </a:r>
          </a:p>
        </xdr:txBody>
      </xdr:sp>
      <xdr:sp macro="" textlink="">
        <xdr:nvSpPr>
          <xdr:cNvPr id="4" name="Shape 12">
            <a:extLst>
              <a:ext uri="{FF2B5EF4-FFF2-40B4-BE49-F238E27FC236}">
                <a16:creationId xmlns:a16="http://schemas.microsoft.com/office/drawing/2014/main" id="{881028E3-4C50-C203-26B3-7EFA667C5052}"/>
              </a:ext>
            </a:extLst>
          </xdr:cNvPr>
          <xdr:cNvSpPr/>
        </xdr:nvSpPr>
        <xdr:spPr>
          <a:xfrm>
            <a:off x="315057" y="2322575"/>
            <a:ext cx="76200" cy="254000"/>
          </a:xfrm>
          <a:custGeom>
            <a:avLst/>
            <a:gdLst/>
            <a:ahLst/>
            <a:cxnLst/>
            <a:rect l="0" t="0" r="0" b="0"/>
            <a:pathLst>
              <a:path w="76200" h="254000">
                <a:moveTo>
                  <a:pt x="31750" y="177800"/>
                </a:moveTo>
                <a:lnTo>
                  <a:pt x="0" y="177800"/>
                </a:lnTo>
                <a:lnTo>
                  <a:pt x="38100" y="254000"/>
                </a:lnTo>
                <a:lnTo>
                  <a:pt x="69850" y="190500"/>
                </a:lnTo>
                <a:lnTo>
                  <a:pt x="31750" y="190500"/>
                </a:lnTo>
                <a:lnTo>
                  <a:pt x="31750" y="177800"/>
                </a:lnTo>
                <a:close/>
              </a:path>
              <a:path w="76200" h="254000">
                <a:moveTo>
                  <a:pt x="44450" y="0"/>
                </a:moveTo>
                <a:lnTo>
                  <a:pt x="31750" y="0"/>
                </a:lnTo>
                <a:lnTo>
                  <a:pt x="31750" y="190500"/>
                </a:lnTo>
                <a:lnTo>
                  <a:pt x="44450" y="190500"/>
                </a:lnTo>
                <a:lnTo>
                  <a:pt x="44450" y="0"/>
                </a:lnTo>
                <a:close/>
              </a:path>
              <a:path w="76200" h="254000">
                <a:moveTo>
                  <a:pt x="76200" y="177800"/>
                </a:moveTo>
                <a:lnTo>
                  <a:pt x="44450" y="177800"/>
                </a:lnTo>
                <a:lnTo>
                  <a:pt x="44450" y="190500"/>
                </a:lnTo>
                <a:lnTo>
                  <a:pt x="69850" y="190500"/>
                </a:lnTo>
                <a:lnTo>
                  <a:pt x="76200" y="17780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>
    <xdr:from>
      <xdr:col>1</xdr:col>
      <xdr:colOff>85056</xdr:colOff>
      <xdr:row>170</xdr:row>
      <xdr:rowOff>38870</xdr:rowOff>
    </xdr:from>
    <xdr:to>
      <xdr:col>3</xdr:col>
      <xdr:colOff>19113</xdr:colOff>
      <xdr:row>173</xdr:row>
      <xdr:rowOff>2364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5AF8FCC1-C9CD-4307-8AE2-BCF47D18656D}"/>
            </a:ext>
          </a:extLst>
        </xdr:cNvPr>
        <xdr:cNvGrpSpPr/>
      </xdr:nvGrpSpPr>
      <xdr:grpSpPr>
        <a:xfrm>
          <a:off x="230830" y="26145653"/>
          <a:ext cx="358126" cy="480328"/>
          <a:chOff x="219809" y="2322575"/>
          <a:chExt cx="300403" cy="483638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AF56F78C-EFDF-891F-BAB1-E5501A7E2398}"/>
              </a:ext>
            </a:extLst>
          </xdr:cNvPr>
          <xdr:cNvSpPr txBox="1"/>
        </xdr:nvSpPr>
        <xdr:spPr>
          <a:xfrm>
            <a:off x="219809" y="2535117"/>
            <a:ext cx="300403" cy="271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✓</a:t>
            </a:r>
          </a:p>
        </xdr:txBody>
      </xdr:sp>
      <xdr:sp macro="" textlink="">
        <xdr:nvSpPr>
          <xdr:cNvPr id="7" name="Shape 12">
            <a:extLst>
              <a:ext uri="{FF2B5EF4-FFF2-40B4-BE49-F238E27FC236}">
                <a16:creationId xmlns:a16="http://schemas.microsoft.com/office/drawing/2014/main" id="{E099B308-696B-D569-BDFA-4AE8443F9F05}"/>
              </a:ext>
            </a:extLst>
          </xdr:cNvPr>
          <xdr:cNvSpPr/>
        </xdr:nvSpPr>
        <xdr:spPr>
          <a:xfrm>
            <a:off x="315057" y="2322575"/>
            <a:ext cx="76200" cy="254000"/>
          </a:xfrm>
          <a:custGeom>
            <a:avLst/>
            <a:gdLst/>
            <a:ahLst/>
            <a:cxnLst/>
            <a:rect l="0" t="0" r="0" b="0"/>
            <a:pathLst>
              <a:path w="76200" h="254000">
                <a:moveTo>
                  <a:pt x="31750" y="177800"/>
                </a:moveTo>
                <a:lnTo>
                  <a:pt x="0" y="177800"/>
                </a:lnTo>
                <a:lnTo>
                  <a:pt x="38100" y="254000"/>
                </a:lnTo>
                <a:lnTo>
                  <a:pt x="69850" y="190500"/>
                </a:lnTo>
                <a:lnTo>
                  <a:pt x="31750" y="190500"/>
                </a:lnTo>
                <a:lnTo>
                  <a:pt x="31750" y="177800"/>
                </a:lnTo>
                <a:close/>
              </a:path>
              <a:path w="76200" h="254000">
                <a:moveTo>
                  <a:pt x="44450" y="0"/>
                </a:moveTo>
                <a:lnTo>
                  <a:pt x="31750" y="0"/>
                </a:lnTo>
                <a:lnTo>
                  <a:pt x="31750" y="190500"/>
                </a:lnTo>
                <a:lnTo>
                  <a:pt x="44450" y="190500"/>
                </a:lnTo>
                <a:lnTo>
                  <a:pt x="44450" y="0"/>
                </a:lnTo>
                <a:close/>
              </a:path>
              <a:path w="76200" h="254000">
                <a:moveTo>
                  <a:pt x="76200" y="177800"/>
                </a:moveTo>
                <a:lnTo>
                  <a:pt x="44450" y="177800"/>
                </a:lnTo>
                <a:lnTo>
                  <a:pt x="44450" y="190500"/>
                </a:lnTo>
                <a:lnTo>
                  <a:pt x="69850" y="190500"/>
                </a:lnTo>
                <a:lnTo>
                  <a:pt x="76200" y="17780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>
    <xdr:from>
      <xdr:col>1</xdr:col>
      <xdr:colOff>85056</xdr:colOff>
      <xdr:row>248</xdr:row>
      <xdr:rowOff>38870</xdr:rowOff>
    </xdr:from>
    <xdr:to>
      <xdr:col>3</xdr:col>
      <xdr:colOff>19113</xdr:colOff>
      <xdr:row>251</xdr:row>
      <xdr:rowOff>2364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A3BF442-FB9B-4408-9FF6-85DE69EED457}"/>
            </a:ext>
          </a:extLst>
        </xdr:cNvPr>
        <xdr:cNvGrpSpPr/>
      </xdr:nvGrpSpPr>
      <xdr:grpSpPr>
        <a:xfrm>
          <a:off x="230830" y="37986470"/>
          <a:ext cx="358126" cy="480329"/>
          <a:chOff x="219809" y="2322575"/>
          <a:chExt cx="300403" cy="483638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8C05D1B5-1D8D-C406-7114-BCA6E1E2FA60}"/>
              </a:ext>
            </a:extLst>
          </xdr:cNvPr>
          <xdr:cNvSpPr txBox="1"/>
        </xdr:nvSpPr>
        <xdr:spPr>
          <a:xfrm>
            <a:off x="219809" y="2535117"/>
            <a:ext cx="300403" cy="271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✓</a:t>
            </a:r>
          </a:p>
        </xdr:txBody>
      </xdr:sp>
      <xdr:sp macro="" textlink="">
        <xdr:nvSpPr>
          <xdr:cNvPr id="10" name="Shape 12">
            <a:extLst>
              <a:ext uri="{FF2B5EF4-FFF2-40B4-BE49-F238E27FC236}">
                <a16:creationId xmlns:a16="http://schemas.microsoft.com/office/drawing/2014/main" id="{DCCC338E-60D5-EE10-6D2A-07C8BA69893B}"/>
              </a:ext>
            </a:extLst>
          </xdr:cNvPr>
          <xdr:cNvSpPr/>
        </xdr:nvSpPr>
        <xdr:spPr>
          <a:xfrm>
            <a:off x="315057" y="2322575"/>
            <a:ext cx="76200" cy="254000"/>
          </a:xfrm>
          <a:custGeom>
            <a:avLst/>
            <a:gdLst/>
            <a:ahLst/>
            <a:cxnLst/>
            <a:rect l="0" t="0" r="0" b="0"/>
            <a:pathLst>
              <a:path w="76200" h="254000">
                <a:moveTo>
                  <a:pt x="31750" y="177800"/>
                </a:moveTo>
                <a:lnTo>
                  <a:pt x="0" y="177800"/>
                </a:lnTo>
                <a:lnTo>
                  <a:pt x="38100" y="254000"/>
                </a:lnTo>
                <a:lnTo>
                  <a:pt x="69850" y="190500"/>
                </a:lnTo>
                <a:lnTo>
                  <a:pt x="31750" y="190500"/>
                </a:lnTo>
                <a:lnTo>
                  <a:pt x="31750" y="177800"/>
                </a:lnTo>
                <a:close/>
              </a:path>
              <a:path w="76200" h="254000">
                <a:moveTo>
                  <a:pt x="44450" y="0"/>
                </a:moveTo>
                <a:lnTo>
                  <a:pt x="31750" y="0"/>
                </a:lnTo>
                <a:lnTo>
                  <a:pt x="31750" y="190500"/>
                </a:lnTo>
                <a:lnTo>
                  <a:pt x="44450" y="190500"/>
                </a:lnTo>
                <a:lnTo>
                  <a:pt x="44450" y="0"/>
                </a:lnTo>
                <a:close/>
              </a:path>
              <a:path w="76200" h="254000">
                <a:moveTo>
                  <a:pt x="76200" y="177800"/>
                </a:moveTo>
                <a:lnTo>
                  <a:pt x="44450" y="177800"/>
                </a:lnTo>
                <a:lnTo>
                  <a:pt x="44450" y="190500"/>
                </a:lnTo>
                <a:lnTo>
                  <a:pt x="69850" y="190500"/>
                </a:lnTo>
                <a:lnTo>
                  <a:pt x="76200" y="17780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>
    <xdr:from>
      <xdr:col>1</xdr:col>
      <xdr:colOff>85056</xdr:colOff>
      <xdr:row>326</xdr:row>
      <xdr:rowOff>38870</xdr:rowOff>
    </xdr:from>
    <xdr:to>
      <xdr:col>3</xdr:col>
      <xdr:colOff>19113</xdr:colOff>
      <xdr:row>329</xdr:row>
      <xdr:rowOff>2364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A32F8341-2BE3-4DB1-A6BB-3F9A0832C24F}"/>
            </a:ext>
          </a:extLst>
        </xdr:cNvPr>
        <xdr:cNvGrpSpPr/>
      </xdr:nvGrpSpPr>
      <xdr:grpSpPr>
        <a:xfrm>
          <a:off x="230830" y="49827287"/>
          <a:ext cx="358126" cy="480329"/>
          <a:chOff x="219809" y="2322575"/>
          <a:chExt cx="300403" cy="483638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E489EE87-BD25-4BBA-93B2-FC02A042F895}"/>
              </a:ext>
            </a:extLst>
          </xdr:cNvPr>
          <xdr:cNvSpPr txBox="1"/>
        </xdr:nvSpPr>
        <xdr:spPr>
          <a:xfrm>
            <a:off x="219809" y="2535117"/>
            <a:ext cx="300403" cy="271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✓</a:t>
            </a:r>
          </a:p>
        </xdr:txBody>
      </xdr:sp>
      <xdr:sp macro="" textlink="">
        <xdr:nvSpPr>
          <xdr:cNvPr id="13" name="Shape 12">
            <a:extLst>
              <a:ext uri="{FF2B5EF4-FFF2-40B4-BE49-F238E27FC236}">
                <a16:creationId xmlns:a16="http://schemas.microsoft.com/office/drawing/2014/main" id="{F44E2334-58B4-3118-FE90-9F58842E6812}"/>
              </a:ext>
            </a:extLst>
          </xdr:cNvPr>
          <xdr:cNvSpPr/>
        </xdr:nvSpPr>
        <xdr:spPr>
          <a:xfrm>
            <a:off x="315057" y="2322575"/>
            <a:ext cx="76200" cy="254000"/>
          </a:xfrm>
          <a:custGeom>
            <a:avLst/>
            <a:gdLst/>
            <a:ahLst/>
            <a:cxnLst/>
            <a:rect l="0" t="0" r="0" b="0"/>
            <a:pathLst>
              <a:path w="76200" h="254000">
                <a:moveTo>
                  <a:pt x="31750" y="177800"/>
                </a:moveTo>
                <a:lnTo>
                  <a:pt x="0" y="177800"/>
                </a:lnTo>
                <a:lnTo>
                  <a:pt x="38100" y="254000"/>
                </a:lnTo>
                <a:lnTo>
                  <a:pt x="69850" y="190500"/>
                </a:lnTo>
                <a:lnTo>
                  <a:pt x="31750" y="190500"/>
                </a:lnTo>
                <a:lnTo>
                  <a:pt x="31750" y="177800"/>
                </a:lnTo>
                <a:close/>
              </a:path>
              <a:path w="76200" h="254000">
                <a:moveTo>
                  <a:pt x="44450" y="0"/>
                </a:moveTo>
                <a:lnTo>
                  <a:pt x="31750" y="0"/>
                </a:lnTo>
                <a:lnTo>
                  <a:pt x="31750" y="190500"/>
                </a:lnTo>
                <a:lnTo>
                  <a:pt x="44450" y="190500"/>
                </a:lnTo>
                <a:lnTo>
                  <a:pt x="44450" y="0"/>
                </a:lnTo>
                <a:close/>
              </a:path>
              <a:path w="76200" h="254000">
                <a:moveTo>
                  <a:pt x="76200" y="177800"/>
                </a:moveTo>
                <a:lnTo>
                  <a:pt x="44450" y="177800"/>
                </a:lnTo>
                <a:lnTo>
                  <a:pt x="44450" y="190500"/>
                </a:lnTo>
                <a:lnTo>
                  <a:pt x="69850" y="190500"/>
                </a:lnTo>
                <a:lnTo>
                  <a:pt x="76200" y="17780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>
    <xdr:from>
      <xdr:col>1</xdr:col>
      <xdr:colOff>85056</xdr:colOff>
      <xdr:row>404</xdr:row>
      <xdr:rowOff>38870</xdr:rowOff>
    </xdr:from>
    <xdr:to>
      <xdr:col>3</xdr:col>
      <xdr:colOff>19113</xdr:colOff>
      <xdr:row>407</xdr:row>
      <xdr:rowOff>2364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CEEBC141-BF1D-480F-A3C4-B16DC9525A4A}"/>
            </a:ext>
          </a:extLst>
        </xdr:cNvPr>
        <xdr:cNvGrpSpPr/>
      </xdr:nvGrpSpPr>
      <xdr:grpSpPr>
        <a:xfrm>
          <a:off x="230830" y="61668105"/>
          <a:ext cx="358126" cy="480329"/>
          <a:chOff x="219809" y="2322575"/>
          <a:chExt cx="300403" cy="483638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89EAD6E7-BCA3-641A-E169-31BAD6363557}"/>
              </a:ext>
            </a:extLst>
          </xdr:cNvPr>
          <xdr:cNvSpPr txBox="1"/>
        </xdr:nvSpPr>
        <xdr:spPr>
          <a:xfrm>
            <a:off x="219809" y="2535117"/>
            <a:ext cx="300403" cy="271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✓</a:t>
            </a:r>
          </a:p>
        </xdr:txBody>
      </xdr:sp>
      <xdr:sp macro="" textlink="">
        <xdr:nvSpPr>
          <xdr:cNvPr id="19" name="Shape 12">
            <a:extLst>
              <a:ext uri="{FF2B5EF4-FFF2-40B4-BE49-F238E27FC236}">
                <a16:creationId xmlns:a16="http://schemas.microsoft.com/office/drawing/2014/main" id="{53C6AC61-6C5C-3C3B-8252-7A3D3BD2571D}"/>
              </a:ext>
            </a:extLst>
          </xdr:cNvPr>
          <xdr:cNvSpPr/>
        </xdr:nvSpPr>
        <xdr:spPr>
          <a:xfrm>
            <a:off x="315057" y="2322575"/>
            <a:ext cx="76200" cy="254000"/>
          </a:xfrm>
          <a:custGeom>
            <a:avLst/>
            <a:gdLst/>
            <a:ahLst/>
            <a:cxnLst/>
            <a:rect l="0" t="0" r="0" b="0"/>
            <a:pathLst>
              <a:path w="76200" h="254000">
                <a:moveTo>
                  <a:pt x="31750" y="177800"/>
                </a:moveTo>
                <a:lnTo>
                  <a:pt x="0" y="177800"/>
                </a:lnTo>
                <a:lnTo>
                  <a:pt x="38100" y="254000"/>
                </a:lnTo>
                <a:lnTo>
                  <a:pt x="69850" y="190500"/>
                </a:lnTo>
                <a:lnTo>
                  <a:pt x="31750" y="190500"/>
                </a:lnTo>
                <a:lnTo>
                  <a:pt x="31750" y="177800"/>
                </a:lnTo>
                <a:close/>
              </a:path>
              <a:path w="76200" h="254000">
                <a:moveTo>
                  <a:pt x="44450" y="0"/>
                </a:moveTo>
                <a:lnTo>
                  <a:pt x="31750" y="0"/>
                </a:lnTo>
                <a:lnTo>
                  <a:pt x="31750" y="190500"/>
                </a:lnTo>
                <a:lnTo>
                  <a:pt x="44450" y="190500"/>
                </a:lnTo>
                <a:lnTo>
                  <a:pt x="44450" y="0"/>
                </a:lnTo>
                <a:close/>
              </a:path>
              <a:path w="76200" h="254000">
                <a:moveTo>
                  <a:pt x="76200" y="177800"/>
                </a:moveTo>
                <a:lnTo>
                  <a:pt x="44450" y="177800"/>
                </a:lnTo>
                <a:lnTo>
                  <a:pt x="44450" y="190500"/>
                </a:lnTo>
                <a:lnTo>
                  <a:pt x="69850" y="190500"/>
                </a:lnTo>
                <a:lnTo>
                  <a:pt x="76200" y="17780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>
    <xdr:from>
      <xdr:col>1</xdr:col>
      <xdr:colOff>85056</xdr:colOff>
      <xdr:row>482</xdr:row>
      <xdr:rowOff>38870</xdr:rowOff>
    </xdr:from>
    <xdr:to>
      <xdr:col>3</xdr:col>
      <xdr:colOff>19113</xdr:colOff>
      <xdr:row>485</xdr:row>
      <xdr:rowOff>2364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ED97F792-7EB8-4BBB-879A-C245B2B77E4D}"/>
            </a:ext>
          </a:extLst>
        </xdr:cNvPr>
        <xdr:cNvGrpSpPr/>
      </xdr:nvGrpSpPr>
      <xdr:grpSpPr>
        <a:xfrm>
          <a:off x="230830" y="73508922"/>
          <a:ext cx="358126" cy="480329"/>
          <a:chOff x="219809" y="2322575"/>
          <a:chExt cx="300403" cy="483638"/>
        </a:xfrm>
      </xdr:grpSpPr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476782B-E4E2-0691-397B-174C5C46C01F}"/>
              </a:ext>
            </a:extLst>
          </xdr:cNvPr>
          <xdr:cNvSpPr txBox="1"/>
        </xdr:nvSpPr>
        <xdr:spPr>
          <a:xfrm>
            <a:off x="219809" y="2535117"/>
            <a:ext cx="300403" cy="271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✓</a:t>
            </a:r>
          </a:p>
        </xdr:txBody>
      </xdr:sp>
      <xdr:sp macro="" textlink="">
        <xdr:nvSpPr>
          <xdr:cNvPr id="22" name="Shape 12">
            <a:extLst>
              <a:ext uri="{FF2B5EF4-FFF2-40B4-BE49-F238E27FC236}">
                <a16:creationId xmlns:a16="http://schemas.microsoft.com/office/drawing/2014/main" id="{FE2CAD7C-B8B4-832B-60E2-E3BCE7B15E3D}"/>
              </a:ext>
            </a:extLst>
          </xdr:cNvPr>
          <xdr:cNvSpPr/>
        </xdr:nvSpPr>
        <xdr:spPr>
          <a:xfrm>
            <a:off x="315057" y="2322575"/>
            <a:ext cx="76200" cy="254000"/>
          </a:xfrm>
          <a:custGeom>
            <a:avLst/>
            <a:gdLst/>
            <a:ahLst/>
            <a:cxnLst/>
            <a:rect l="0" t="0" r="0" b="0"/>
            <a:pathLst>
              <a:path w="76200" h="254000">
                <a:moveTo>
                  <a:pt x="31750" y="177800"/>
                </a:moveTo>
                <a:lnTo>
                  <a:pt x="0" y="177800"/>
                </a:lnTo>
                <a:lnTo>
                  <a:pt x="38100" y="254000"/>
                </a:lnTo>
                <a:lnTo>
                  <a:pt x="69850" y="190500"/>
                </a:lnTo>
                <a:lnTo>
                  <a:pt x="31750" y="190500"/>
                </a:lnTo>
                <a:lnTo>
                  <a:pt x="31750" y="177800"/>
                </a:lnTo>
                <a:close/>
              </a:path>
              <a:path w="76200" h="254000">
                <a:moveTo>
                  <a:pt x="44450" y="0"/>
                </a:moveTo>
                <a:lnTo>
                  <a:pt x="31750" y="0"/>
                </a:lnTo>
                <a:lnTo>
                  <a:pt x="31750" y="190500"/>
                </a:lnTo>
                <a:lnTo>
                  <a:pt x="44450" y="190500"/>
                </a:lnTo>
                <a:lnTo>
                  <a:pt x="44450" y="0"/>
                </a:lnTo>
                <a:close/>
              </a:path>
              <a:path w="76200" h="254000">
                <a:moveTo>
                  <a:pt x="76200" y="177800"/>
                </a:moveTo>
                <a:lnTo>
                  <a:pt x="44450" y="177800"/>
                </a:lnTo>
                <a:lnTo>
                  <a:pt x="44450" y="190500"/>
                </a:lnTo>
                <a:lnTo>
                  <a:pt x="69850" y="190500"/>
                </a:lnTo>
                <a:lnTo>
                  <a:pt x="76200" y="17780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>
    <xdr:from>
      <xdr:col>1</xdr:col>
      <xdr:colOff>85056</xdr:colOff>
      <xdr:row>560</xdr:row>
      <xdr:rowOff>38870</xdr:rowOff>
    </xdr:from>
    <xdr:to>
      <xdr:col>3</xdr:col>
      <xdr:colOff>19113</xdr:colOff>
      <xdr:row>563</xdr:row>
      <xdr:rowOff>2364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BF312004-698B-4691-B08A-4F5D2A62D742}"/>
            </a:ext>
          </a:extLst>
        </xdr:cNvPr>
        <xdr:cNvGrpSpPr/>
      </xdr:nvGrpSpPr>
      <xdr:grpSpPr>
        <a:xfrm>
          <a:off x="230830" y="85349740"/>
          <a:ext cx="358126" cy="480328"/>
          <a:chOff x="219809" y="2322575"/>
          <a:chExt cx="300403" cy="483638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77F536FB-0992-2DB3-2CBB-6E747379EC54}"/>
              </a:ext>
            </a:extLst>
          </xdr:cNvPr>
          <xdr:cNvSpPr txBox="1"/>
        </xdr:nvSpPr>
        <xdr:spPr>
          <a:xfrm>
            <a:off x="219809" y="2535117"/>
            <a:ext cx="300403" cy="271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✓</a:t>
            </a:r>
          </a:p>
        </xdr:txBody>
      </xdr:sp>
      <xdr:sp macro="" textlink="">
        <xdr:nvSpPr>
          <xdr:cNvPr id="25" name="Shape 12">
            <a:extLst>
              <a:ext uri="{FF2B5EF4-FFF2-40B4-BE49-F238E27FC236}">
                <a16:creationId xmlns:a16="http://schemas.microsoft.com/office/drawing/2014/main" id="{B0A7521C-9D68-4E9C-232A-048038A8DB2E}"/>
              </a:ext>
            </a:extLst>
          </xdr:cNvPr>
          <xdr:cNvSpPr/>
        </xdr:nvSpPr>
        <xdr:spPr>
          <a:xfrm>
            <a:off x="315057" y="2322575"/>
            <a:ext cx="76200" cy="254000"/>
          </a:xfrm>
          <a:custGeom>
            <a:avLst/>
            <a:gdLst/>
            <a:ahLst/>
            <a:cxnLst/>
            <a:rect l="0" t="0" r="0" b="0"/>
            <a:pathLst>
              <a:path w="76200" h="254000">
                <a:moveTo>
                  <a:pt x="31750" y="177800"/>
                </a:moveTo>
                <a:lnTo>
                  <a:pt x="0" y="177800"/>
                </a:lnTo>
                <a:lnTo>
                  <a:pt x="38100" y="254000"/>
                </a:lnTo>
                <a:lnTo>
                  <a:pt x="69850" y="190500"/>
                </a:lnTo>
                <a:lnTo>
                  <a:pt x="31750" y="190500"/>
                </a:lnTo>
                <a:lnTo>
                  <a:pt x="31750" y="177800"/>
                </a:lnTo>
                <a:close/>
              </a:path>
              <a:path w="76200" h="254000">
                <a:moveTo>
                  <a:pt x="44450" y="0"/>
                </a:moveTo>
                <a:lnTo>
                  <a:pt x="31750" y="0"/>
                </a:lnTo>
                <a:lnTo>
                  <a:pt x="31750" y="190500"/>
                </a:lnTo>
                <a:lnTo>
                  <a:pt x="44450" y="190500"/>
                </a:lnTo>
                <a:lnTo>
                  <a:pt x="44450" y="0"/>
                </a:lnTo>
                <a:close/>
              </a:path>
              <a:path w="76200" h="254000">
                <a:moveTo>
                  <a:pt x="76200" y="177800"/>
                </a:moveTo>
                <a:lnTo>
                  <a:pt x="44450" y="177800"/>
                </a:lnTo>
                <a:lnTo>
                  <a:pt x="44450" y="190500"/>
                </a:lnTo>
                <a:lnTo>
                  <a:pt x="69850" y="190500"/>
                </a:lnTo>
                <a:lnTo>
                  <a:pt x="76200" y="17780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>
    <xdr:from>
      <xdr:col>1</xdr:col>
      <xdr:colOff>85056</xdr:colOff>
      <xdr:row>638</xdr:row>
      <xdr:rowOff>38870</xdr:rowOff>
    </xdr:from>
    <xdr:to>
      <xdr:col>3</xdr:col>
      <xdr:colOff>19113</xdr:colOff>
      <xdr:row>641</xdr:row>
      <xdr:rowOff>2364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0DECE73A-34FA-4E76-9054-DE8E8C2BD396}"/>
            </a:ext>
          </a:extLst>
        </xdr:cNvPr>
        <xdr:cNvGrpSpPr/>
      </xdr:nvGrpSpPr>
      <xdr:grpSpPr>
        <a:xfrm>
          <a:off x="230830" y="97190557"/>
          <a:ext cx="358126" cy="480329"/>
          <a:chOff x="219809" y="2322575"/>
          <a:chExt cx="300403" cy="483638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C5AAABD2-CBA5-67E2-F458-418CC08A98CC}"/>
              </a:ext>
            </a:extLst>
          </xdr:cNvPr>
          <xdr:cNvSpPr txBox="1"/>
        </xdr:nvSpPr>
        <xdr:spPr>
          <a:xfrm>
            <a:off x="219809" y="2535117"/>
            <a:ext cx="300403" cy="271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✓</a:t>
            </a:r>
          </a:p>
        </xdr:txBody>
      </xdr:sp>
      <xdr:sp macro="" textlink="">
        <xdr:nvSpPr>
          <xdr:cNvPr id="28" name="Shape 12">
            <a:extLst>
              <a:ext uri="{FF2B5EF4-FFF2-40B4-BE49-F238E27FC236}">
                <a16:creationId xmlns:a16="http://schemas.microsoft.com/office/drawing/2014/main" id="{D31F8B60-4B6C-BD58-6FB2-0B55F9D83B3B}"/>
              </a:ext>
            </a:extLst>
          </xdr:cNvPr>
          <xdr:cNvSpPr/>
        </xdr:nvSpPr>
        <xdr:spPr>
          <a:xfrm>
            <a:off x="315057" y="2322575"/>
            <a:ext cx="76200" cy="254000"/>
          </a:xfrm>
          <a:custGeom>
            <a:avLst/>
            <a:gdLst/>
            <a:ahLst/>
            <a:cxnLst/>
            <a:rect l="0" t="0" r="0" b="0"/>
            <a:pathLst>
              <a:path w="76200" h="254000">
                <a:moveTo>
                  <a:pt x="31750" y="177800"/>
                </a:moveTo>
                <a:lnTo>
                  <a:pt x="0" y="177800"/>
                </a:lnTo>
                <a:lnTo>
                  <a:pt x="38100" y="254000"/>
                </a:lnTo>
                <a:lnTo>
                  <a:pt x="69850" y="190500"/>
                </a:lnTo>
                <a:lnTo>
                  <a:pt x="31750" y="190500"/>
                </a:lnTo>
                <a:lnTo>
                  <a:pt x="31750" y="177800"/>
                </a:lnTo>
                <a:close/>
              </a:path>
              <a:path w="76200" h="254000">
                <a:moveTo>
                  <a:pt x="44450" y="0"/>
                </a:moveTo>
                <a:lnTo>
                  <a:pt x="31750" y="0"/>
                </a:lnTo>
                <a:lnTo>
                  <a:pt x="31750" y="190500"/>
                </a:lnTo>
                <a:lnTo>
                  <a:pt x="44450" y="190500"/>
                </a:lnTo>
                <a:lnTo>
                  <a:pt x="44450" y="0"/>
                </a:lnTo>
                <a:close/>
              </a:path>
              <a:path w="76200" h="254000">
                <a:moveTo>
                  <a:pt x="76200" y="177800"/>
                </a:moveTo>
                <a:lnTo>
                  <a:pt x="44450" y="177800"/>
                </a:lnTo>
                <a:lnTo>
                  <a:pt x="44450" y="190500"/>
                </a:lnTo>
                <a:lnTo>
                  <a:pt x="69850" y="190500"/>
                </a:lnTo>
                <a:lnTo>
                  <a:pt x="76200" y="17780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>
    <xdr:from>
      <xdr:col>1</xdr:col>
      <xdr:colOff>85056</xdr:colOff>
      <xdr:row>716</xdr:row>
      <xdr:rowOff>38870</xdr:rowOff>
    </xdr:from>
    <xdr:to>
      <xdr:col>3</xdr:col>
      <xdr:colOff>19113</xdr:colOff>
      <xdr:row>719</xdr:row>
      <xdr:rowOff>2364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432A8DDD-D8D1-4AD0-AD86-C61B159BFEDA}"/>
            </a:ext>
          </a:extLst>
        </xdr:cNvPr>
        <xdr:cNvGrpSpPr/>
      </xdr:nvGrpSpPr>
      <xdr:grpSpPr>
        <a:xfrm>
          <a:off x="230830" y="109024748"/>
          <a:ext cx="358126" cy="480329"/>
          <a:chOff x="219809" y="2322575"/>
          <a:chExt cx="300403" cy="483638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208609AB-50C7-0E9B-42C6-4F4CE0B2CAEF}"/>
              </a:ext>
            </a:extLst>
          </xdr:cNvPr>
          <xdr:cNvSpPr txBox="1"/>
        </xdr:nvSpPr>
        <xdr:spPr>
          <a:xfrm>
            <a:off x="219809" y="2535117"/>
            <a:ext cx="300403" cy="271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✓</a:t>
            </a:r>
          </a:p>
        </xdr:txBody>
      </xdr:sp>
      <xdr:sp macro="" textlink="">
        <xdr:nvSpPr>
          <xdr:cNvPr id="31" name="Shape 12">
            <a:extLst>
              <a:ext uri="{FF2B5EF4-FFF2-40B4-BE49-F238E27FC236}">
                <a16:creationId xmlns:a16="http://schemas.microsoft.com/office/drawing/2014/main" id="{08CB15BB-93FC-5DAF-91D3-7F69263B1628}"/>
              </a:ext>
            </a:extLst>
          </xdr:cNvPr>
          <xdr:cNvSpPr/>
        </xdr:nvSpPr>
        <xdr:spPr>
          <a:xfrm>
            <a:off x="315057" y="2322575"/>
            <a:ext cx="76200" cy="254000"/>
          </a:xfrm>
          <a:custGeom>
            <a:avLst/>
            <a:gdLst/>
            <a:ahLst/>
            <a:cxnLst/>
            <a:rect l="0" t="0" r="0" b="0"/>
            <a:pathLst>
              <a:path w="76200" h="254000">
                <a:moveTo>
                  <a:pt x="31750" y="177800"/>
                </a:moveTo>
                <a:lnTo>
                  <a:pt x="0" y="177800"/>
                </a:lnTo>
                <a:lnTo>
                  <a:pt x="38100" y="254000"/>
                </a:lnTo>
                <a:lnTo>
                  <a:pt x="69850" y="190500"/>
                </a:lnTo>
                <a:lnTo>
                  <a:pt x="31750" y="190500"/>
                </a:lnTo>
                <a:lnTo>
                  <a:pt x="31750" y="177800"/>
                </a:lnTo>
                <a:close/>
              </a:path>
              <a:path w="76200" h="254000">
                <a:moveTo>
                  <a:pt x="44450" y="0"/>
                </a:moveTo>
                <a:lnTo>
                  <a:pt x="31750" y="0"/>
                </a:lnTo>
                <a:lnTo>
                  <a:pt x="31750" y="190500"/>
                </a:lnTo>
                <a:lnTo>
                  <a:pt x="44450" y="190500"/>
                </a:lnTo>
                <a:lnTo>
                  <a:pt x="44450" y="0"/>
                </a:lnTo>
                <a:close/>
              </a:path>
              <a:path w="76200" h="254000">
                <a:moveTo>
                  <a:pt x="76200" y="177800"/>
                </a:moveTo>
                <a:lnTo>
                  <a:pt x="44450" y="177800"/>
                </a:lnTo>
                <a:lnTo>
                  <a:pt x="44450" y="190500"/>
                </a:lnTo>
                <a:lnTo>
                  <a:pt x="69850" y="190500"/>
                </a:lnTo>
                <a:lnTo>
                  <a:pt x="76200" y="17780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>
    <xdr:from>
      <xdr:col>1</xdr:col>
      <xdr:colOff>85056</xdr:colOff>
      <xdr:row>794</xdr:row>
      <xdr:rowOff>38870</xdr:rowOff>
    </xdr:from>
    <xdr:to>
      <xdr:col>3</xdr:col>
      <xdr:colOff>19113</xdr:colOff>
      <xdr:row>797</xdr:row>
      <xdr:rowOff>2364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44CFAF71-5F37-4422-A249-A3E0A07AF198}"/>
            </a:ext>
          </a:extLst>
        </xdr:cNvPr>
        <xdr:cNvGrpSpPr/>
      </xdr:nvGrpSpPr>
      <xdr:grpSpPr>
        <a:xfrm>
          <a:off x="230830" y="120865566"/>
          <a:ext cx="358126" cy="480328"/>
          <a:chOff x="219809" y="2322575"/>
          <a:chExt cx="300403" cy="483638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D8200EC4-3755-D1F5-5575-8E7E44299A14}"/>
              </a:ext>
            </a:extLst>
          </xdr:cNvPr>
          <xdr:cNvSpPr txBox="1"/>
        </xdr:nvSpPr>
        <xdr:spPr>
          <a:xfrm>
            <a:off x="219809" y="2535117"/>
            <a:ext cx="300403" cy="271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✓</a:t>
            </a:r>
          </a:p>
        </xdr:txBody>
      </xdr:sp>
      <xdr:sp macro="" textlink="">
        <xdr:nvSpPr>
          <xdr:cNvPr id="34" name="Shape 12">
            <a:extLst>
              <a:ext uri="{FF2B5EF4-FFF2-40B4-BE49-F238E27FC236}">
                <a16:creationId xmlns:a16="http://schemas.microsoft.com/office/drawing/2014/main" id="{47401F97-3BD9-8F65-1BD5-550890407A3A}"/>
              </a:ext>
            </a:extLst>
          </xdr:cNvPr>
          <xdr:cNvSpPr/>
        </xdr:nvSpPr>
        <xdr:spPr>
          <a:xfrm>
            <a:off x="315057" y="2322575"/>
            <a:ext cx="76200" cy="254000"/>
          </a:xfrm>
          <a:custGeom>
            <a:avLst/>
            <a:gdLst/>
            <a:ahLst/>
            <a:cxnLst/>
            <a:rect l="0" t="0" r="0" b="0"/>
            <a:pathLst>
              <a:path w="76200" h="254000">
                <a:moveTo>
                  <a:pt x="31750" y="177800"/>
                </a:moveTo>
                <a:lnTo>
                  <a:pt x="0" y="177800"/>
                </a:lnTo>
                <a:lnTo>
                  <a:pt x="38100" y="254000"/>
                </a:lnTo>
                <a:lnTo>
                  <a:pt x="69850" y="190500"/>
                </a:lnTo>
                <a:lnTo>
                  <a:pt x="31750" y="190500"/>
                </a:lnTo>
                <a:lnTo>
                  <a:pt x="31750" y="177800"/>
                </a:lnTo>
                <a:close/>
              </a:path>
              <a:path w="76200" h="254000">
                <a:moveTo>
                  <a:pt x="44450" y="0"/>
                </a:moveTo>
                <a:lnTo>
                  <a:pt x="31750" y="0"/>
                </a:lnTo>
                <a:lnTo>
                  <a:pt x="31750" y="190500"/>
                </a:lnTo>
                <a:lnTo>
                  <a:pt x="44450" y="190500"/>
                </a:lnTo>
                <a:lnTo>
                  <a:pt x="44450" y="0"/>
                </a:lnTo>
                <a:close/>
              </a:path>
              <a:path w="76200" h="254000">
                <a:moveTo>
                  <a:pt x="76200" y="177800"/>
                </a:moveTo>
                <a:lnTo>
                  <a:pt x="44450" y="177800"/>
                </a:lnTo>
                <a:lnTo>
                  <a:pt x="44450" y="190500"/>
                </a:lnTo>
                <a:lnTo>
                  <a:pt x="69850" y="190500"/>
                </a:lnTo>
                <a:lnTo>
                  <a:pt x="76200" y="17780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>
    <xdr:from>
      <xdr:col>1</xdr:col>
      <xdr:colOff>85056</xdr:colOff>
      <xdr:row>872</xdr:row>
      <xdr:rowOff>38870</xdr:rowOff>
    </xdr:from>
    <xdr:to>
      <xdr:col>3</xdr:col>
      <xdr:colOff>19113</xdr:colOff>
      <xdr:row>875</xdr:row>
      <xdr:rowOff>2364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9859BD8E-83B3-41CA-AB59-5F6F32592132}"/>
            </a:ext>
          </a:extLst>
        </xdr:cNvPr>
        <xdr:cNvGrpSpPr/>
      </xdr:nvGrpSpPr>
      <xdr:grpSpPr>
        <a:xfrm>
          <a:off x="230830" y="132713009"/>
          <a:ext cx="358126" cy="480329"/>
          <a:chOff x="219809" y="2322575"/>
          <a:chExt cx="300403" cy="483638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E35743D0-C989-5FCF-5B3B-E3E76D35A96C}"/>
              </a:ext>
            </a:extLst>
          </xdr:cNvPr>
          <xdr:cNvSpPr txBox="1"/>
        </xdr:nvSpPr>
        <xdr:spPr>
          <a:xfrm>
            <a:off x="219809" y="2535117"/>
            <a:ext cx="300403" cy="271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✓</a:t>
            </a:r>
          </a:p>
        </xdr:txBody>
      </xdr:sp>
      <xdr:sp macro="" textlink="">
        <xdr:nvSpPr>
          <xdr:cNvPr id="37" name="Shape 12">
            <a:extLst>
              <a:ext uri="{FF2B5EF4-FFF2-40B4-BE49-F238E27FC236}">
                <a16:creationId xmlns:a16="http://schemas.microsoft.com/office/drawing/2014/main" id="{047E282F-02BD-3C5A-93FA-18A18448A0AF}"/>
              </a:ext>
            </a:extLst>
          </xdr:cNvPr>
          <xdr:cNvSpPr/>
        </xdr:nvSpPr>
        <xdr:spPr>
          <a:xfrm>
            <a:off x="315057" y="2322575"/>
            <a:ext cx="76200" cy="254000"/>
          </a:xfrm>
          <a:custGeom>
            <a:avLst/>
            <a:gdLst/>
            <a:ahLst/>
            <a:cxnLst/>
            <a:rect l="0" t="0" r="0" b="0"/>
            <a:pathLst>
              <a:path w="76200" h="254000">
                <a:moveTo>
                  <a:pt x="31750" y="177800"/>
                </a:moveTo>
                <a:lnTo>
                  <a:pt x="0" y="177800"/>
                </a:lnTo>
                <a:lnTo>
                  <a:pt x="38100" y="254000"/>
                </a:lnTo>
                <a:lnTo>
                  <a:pt x="69850" y="190500"/>
                </a:lnTo>
                <a:lnTo>
                  <a:pt x="31750" y="190500"/>
                </a:lnTo>
                <a:lnTo>
                  <a:pt x="31750" y="177800"/>
                </a:lnTo>
                <a:close/>
              </a:path>
              <a:path w="76200" h="254000">
                <a:moveTo>
                  <a:pt x="44450" y="0"/>
                </a:moveTo>
                <a:lnTo>
                  <a:pt x="31750" y="0"/>
                </a:lnTo>
                <a:lnTo>
                  <a:pt x="31750" y="190500"/>
                </a:lnTo>
                <a:lnTo>
                  <a:pt x="44450" y="190500"/>
                </a:lnTo>
                <a:lnTo>
                  <a:pt x="44450" y="0"/>
                </a:lnTo>
                <a:close/>
              </a:path>
              <a:path w="76200" h="254000">
                <a:moveTo>
                  <a:pt x="76200" y="177800"/>
                </a:moveTo>
                <a:lnTo>
                  <a:pt x="44450" y="177800"/>
                </a:lnTo>
                <a:lnTo>
                  <a:pt x="44450" y="190500"/>
                </a:lnTo>
                <a:lnTo>
                  <a:pt x="69850" y="190500"/>
                </a:lnTo>
                <a:lnTo>
                  <a:pt x="76200" y="17780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>
    <xdr:from>
      <xdr:col>1</xdr:col>
      <xdr:colOff>85056</xdr:colOff>
      <xdr:row>950</xdr:row>
      <xdr:rowOff>38870</xdr:rowOff>
    </xdr:from>
    <xdr:to>
      <xdr:col>3</xdr:col>
      <xdr:colOff>19113</xdr:colOff>
      <xdr:row>953</xdr:row>
      <xdr:rowOff>2364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B36164AF-25EF-4772-8A1C-FACAB3544428}"/>
            </a:ext>
          </a:extLst>
        </xdr:cNvPr>
        <xdr:cNvGrpSpPr/>
      </xdr:nvGrpSpPr>
      <xdr:grpSpPr>
        <a:xfrm>
          <a:off x="230830" y="144560453"/>
          <a:ext cx="358126" cy="480328"/>
          <a:chOff x="219809" y="2322575"/>
          <a:chExt cx="300403" cy="483638"/>
        </a:xfrm>
      </xdr:grpSpPr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DE8217A9-1550-C2C2-3A22-3EE6EC7B5B1A}"/>
              </a:ext>
            </a:extLst>
          </xdr:cNvPr>
          <xdr:cNvSpPr txBox="1"/>
        </xdr:nvSpPr>
        <xdr:spPr>
          <a:xfrm>
            <a:off x="219809" y="2535117"/>
            <a:ext cx="300403" cy="271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✓</a:t>
            </a:r>
          </a:p>
        </xdr:txBody>
      </xdr:sp>
      <xdr:sp macro="" textlink="">
        <xdr:nvSpPr>
          <xdr:cNvPr id="40" name="Shape 12">
            <a:extLst>
              <a:ext uri="{FF2B5EF4-FFF2-40B4-BE49-F238E27FC236}">
                <a16:creationId xmlns:a16="http://schemas.microsoft.com/office/drawing/2014/main" id="{60B3A3B6-C6F1-14E4-002C-7C1001979B5B}"/>
              </a:ext>
            </a:extLst>
          </xdr:cNvPr>
          <xdr:cNvSpPr/>
        </xdr:nvSpPr>
        <xdr:spPr>
          <a:xfrm>
            <a:off x="315057" y="2322575"/>
            <a:ext cx="76200" cy="254000"/>
          </a:xfrm>
          <a:custGeom>
            <a:avLst/>
            <a:gdLst/>
            <a:ahLst/>
            <a:cxnLst/>
            <a:rect l="0" t="0" r="0" b="0"/>
            <a:pathLst>
              <a:path w="76200" h="254000">
                <a:moveTo>
                  <a:pt x="31750" y="177800"/>
                </a:moveTo>
                <a:lnTo>
                  <a:pt x="0" y="177800"/>
                </a:lnTo>
                <a:lnTo>
                  <a:pt x="38100" y="254000"/>
                </a:lnTo>
                <a:lnTo>
                  <a:pt x="69850" y="190500"/>
                </a:lnTo>
                <a:lnTo>
                  <a:pt x="31750" y="190500"/>
                </a:lnTo>
                <a:lnTo>
                  <a:pt x="31750" y="177800"/>
                </a:lnTo>
                <a:close/>
              </a:path>
              <a:path w="76200" h="254000">
                <a:moveTo>
                  <a:pt x="44450" y="0"/>
                </a:moveTo>
                <a:lnTo>
                  <a:pt x="31750" y="0"/>
                </a:lnTo>
                <a:lnTo>
                  <a:pt x="31750" y="190500"/>
                </a:lnTo>
                <a:lnTo>
                  <a:pt x="44450" y="190500"/>
                </a:lnTo>
                <a:lnTo>
                  <a:pt x="44450" y="0"/>
                </a:lnTo>
                <a:close/>
              </a:path>
              <a:path w="76200" h="254000">
                <a:moveTo>
                  <a:pt x="76200" y="177800"/>
                </a:moveTo>
                <a:lnTo>
                  <a:pt x="44450" y="177800"/>
                </a:lnTo>
                <a:lnTo>
                  <a:pt x="44450" y="190500"/>
                </a:lnTo>
                <a:lnTo>
                  <a:pt x="69850" y="190500"/>
                </a:lnTo>
                <a:lnTo>
                  <a:pt x="76200" y="17780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>
    <xdr:from>
      <xdr:col>1</xdr:col>
      <xdr:colOff>85056</xdr:colOff>
      <xdr:row>1028</xdr:row>
      <xdr:rowOff>38870</xdr:rowOff>
    </xdr:from>
    <xdr:to>
      <xdr:col>3</xdr:col>
      <xdr:colOff>19113</xdr:colOff>
      <xdr:row>1031</xdr:row>
      <xdr:rowOff>2364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E3DA09A1-7063-4EEA-AA71-EF8544FA4EBF}"/>
            </a:ext>
          </a:extLst>
        </xdr:cNvPr>
        <xdr:cNvGrpSpPr/>
      </xdr:nvGrpSpPr>
      <xdr:grpSpPr>
        <a:xfrm>
          <a:off x="230830" y="156407896"/>
          <a:ext cx="358126" cy="480329"/>
          <a:chOff x="219809" y="2322575"/>
          <a:chExt cx="300403" cy="483638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E6D1D44-9B41-F9C2-805E-7A5E93D43785}"/>
              </a:ext>
            </a:extLst>
          </xdr:cNvPr>
          <xdr:cNvSpPr txBox="1"/>
        </xdr:nvSpPr>
        <xdr:spPr>
          <a:xfrm>
            <a:off x="219809" y="2535117"/>
            <a:ext cx="300403" cy="271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✓</a:t>
            </a:r>
          </a:p>
        </xdr:txBody>
      </xdr:sp>
      <xdr:sp macro="" textlink="">
        <xdr:nvSpPr>
          <xdr:cNvPr id="43" name="Shape 12">
            <a:extLst>
              <a:ext uri="{FF2B5EF4-FFF2-40B4-BE49-F238E27FC236}">
                <a16:creationId xmlns:a16="http://schemas.microsoft.com/office/drawing/2014/main" id="{83E97B83-5096-02E4-41F6-6FF4732F01DE}"/>
              </a:ext>
            </a:extLst>
          </xdr:cNvPr>
          <xdr:cNvSpPr/>
        </xdr:nvSpPr>
        <xdr:spPr>
          <a:xfrm>
            <a:off x="315057" y="2322575"/>
            <a:ext cx="76200" cy="254000"/>
          </a:xfrm>
          <a:custGeom>
            <a:avLst/>
            <a:gdLst/>
            <a:ahLst/>
            <a:cxnLst/>
            <a:rect l="0" t="0" r="0" b="0"/>
            <a:pathLst>
              <a:path w="76200" h="254000">
                <a:moveTo>
                  <a:pt x="31750" y="177800"/>
                </a:moveTo>
                <a:lnTo>
                  <a:pt x="0" y="177800"/>
                </a:lnTo>
                <a:lnTo>
                  <a:pt x="38100" y="254000"/>
                </a:lnTo>
                <a:lnTo>
                  <a:pt x="69850" y="190500"/>
                </a:lnTo>
                <a:lnTo>
                  <a:pt x="31750" y="190500"/>
                </a:lnTo>
                <a:lnTo>
                  <a:pt x="31750" y="177800"/>
                </a:lnTo>
                <a:close/>
              </a:path>
              <a:path w="76200" h="254000">
                <a:moveTo>
                  <a:pt x="44450" y="0"/>
                </a:moveTo>
                <a:lnTo>
                  <a:pt x="31750" y="0"/>
                </a:lnTo>
                <a:lnTo>
                  <a:pt x="31750" y="190500"/>
                </a:lnTo>
                <a:lnTo>
                  <a:pt x="44450" y="190500"/>
                </a:lnTo>
                <a:lnTo>
                  <a:pt x="44450" y="0"/>
                </a:lnTo>
                <a:close/>
              </a:path>
              <a:path w="76200" h="254000">
                <a:moveTo>
                  <a:pt x="76200" y="177800"/>
                </a:moveTo>
                <a:lnTo>
                  <a:pt x="44450" y="177800"/>
                </a:lnTo>
                <a:lnTo>
                  <a:pt x="44450" y="190500"/>
                </a:lnTo>
                <a:lnTo>
                  <a:pt x="69850" y="190500"/>
                </a:lnTo>
                <a:lnTo>
                  <a:pt x="76200" y="17780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>
    <xdr:from>
      <xdr:col>1</xdr:col>
      <xdr:colOff>85056</xdr:colOff>
      <xdr:row>1106</xdr:row>
      <xdr:rowOff>38870</xdr:rowOff>
    </xdr:from>
    <xdr:to>
      <xdr:col>3</xdr:col>
      <xdr:colOff>19113</xdr:colOff>
      <xdr:row>1109</xdr:row>
      <xdr:rowOff>2364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2FCB276A-B7BE-42D0-A182-7BB6C05E341A}"/>
            </a:ext>
          </a:extLst>
        </xdr:cNvPr>
        <xdr:cNvGrpSpPr/>
      </xdr:nvGrpSpPr>
      <xdr:grpSpPr>
        <a:xfrm>
          <a:off x="230830" y="168255340"/>
          <a:ext cx="358126" cy="480328"/>
          <a:chOff x="219809" y="2322575"/>
          <a:chExt cx="300403" cy="483638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74151341-4690-3804-F9A5-449BEA984F99}"/>
              </a:ext>
            </a:extLst>
          </xdr:cNvPr>
          <xdr:cNvSpPr txBox="1"/>
        </xdr:nvSpPr>
        <xdr:spPr>
          <a:xfrm>
            <a:off x="219809" y="2535117"/>
            <a:ext cx="300403" cy="271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✓</a:t>
            </a:r>
          </a:p>
        </xdr:txBody>
      </xdr:sp>
      <xdr:sp macro="" textlink="">
        <xdr:nvSpPr>
          <xdr:cNvPr id="46" name="Shape 12">
            <a:extLst>
              <a:ext uri="{FF2B5EF4-FFF2-40B4-BE49-F238E27FC236}">
                <a16:creationId xmlns:a16="http://schemas.microsoft.com/office/drawing/2014/main" id="{3E33101B-1D5E-4C9F-BA04-20832F9AF974}"/>
              </a:ext>
            </a:extLst>
          </xdr:cNvPr>
          <xdr:cNvSpPr/>
        </xdr:nvSpPr>
        <xdr:spPr>
          <a:xfrm>
            <a:off x="315057" y="2322575"/>
            <a:ext cx="76200" cy="254000"/>
          </a:xfrm>
          <a:custGeom>
            <a:avLst/>
            <a:gdLst/>
            <a:ahLst/>
            <a:cxnLst/>
            <a:rect l="0" t="0" r="0" b="0"/>
            <a:pathLst>
              <a:path w="76200" h="254000">
                <a:moveTo>
                  <a:pt x="31750" y="177800"/>
                </a:moveTo>
                <a:lnTo>
                  <a:pt x="0" y="177800"/>
                </a:lnTo>
                <a:lnTo>
                  <a:pt x="38100" y="254000"/>
                </a:lnTo>
                <a:lnTo>
                  <a:pt x="69850" y="190500"/>
                </a:lnTo>
                <a:lnTo>
                  <a:pt x="31750" y="190500"/>
                </a:lnTo>
                <a:lnTo>
                  <a:pt x="31750" y="177800"/>
                </a:lnTo>
                <a:close/>
              </a:path>
              <a:path w="76200" h="254000">
                <a:moveTo>
                  <a:pt x="44450" y="0"/>
                </a:moveTo>
                <a:lnTo>
                  <a:pt x="31750" y="0"/>
                </a:lnTo>
                <a:lnTo>
                  <a:pt x="31750" y="190500"/>
                </a:lnTo>
                <a:lnTo>
                  <a:pt x="44450" y="190500"/>
                </a:lnTo>
                <a:lnTo>
                  <a:pt x="44450" y="0"/>
                </a:lnTo>
                <a:close/>
              </a:path>
              <a:path w="76200" h="254000">
                <a:moveTo>
                  <a:pt x="76200" y="177800"/>
                </a:moveTo>
                <a:lnTo>
                  <a:pt x="44450" y="177800"/>
                </a:lnTo>
                <a:lnTo>
                  <a:pt x="44450" y="190500"/>
                </a:lnTo>
                <a:lnTo>
                  <a:pt x="69850" y="190500"/>
                </a:lnTo>
                <a:lnTo>
                  <a:pt x="76200" y="17780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>
    <xdr:from>
      <xdr:col>1</xdr:col>
      <xdr:colOff>85056</xdr:colOff>
      <xdr:row>1184</xdr:row>
      <xdr:rowOff>38870</xdr:rowOff>
    </xdr:from>
    <xdr:to>
      <xdr:col>3</xdr:col>
      <xdr:colOff>19113</xdr:colOff>
      <xdr:row>1187</xdr:row>
      <xdr:rowOff>2364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8FD651E1-BB2E-4286-A33E-3E1EB0584746}"/>
            </a:ext>
          </a:extLst>
        </xdr:cNvPr>
        <xdr:cNvGrpSpPr/>
      </xdr:nvGrpSpPr>
      <xdr:grpSpPr>
        <a:xfrm>
          <a:off x="230830" y="180102783"/>
          <a:ext cx="358126" cy="480329"/>
          <a:chOff x="219809" y="2322575"/>
          <a:chExt cx="300403" cy="483638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C6AB9BA6-3AD4-28F6-8A99-0561A2BDC891}"/>
              </a:ext>
            </a:extLst>
          </xdr:cNvPr>
          <xdr:cNvSpPr txBox="1"/>
        </xdr:nvSpPr>
        <xdr:spPr>
          <a:xfrm>
            <a:off x="219809" y="2535117"/>
            <a:ext cx="300403" cy="271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✓</a:t>
            </a:r>
          </a:p>
        </xdr:txBody>
      </xdr:sp>
      <xdr:sp macro="" textlink="">
        <xdr:nvSpPr>
          <xdr:cNvPr id="49" name="Shape 12">
            <a:extLst>
              <a:ext uri="{FF2B5EF4-FFF2-40B4-BE49-F238E27FC236}">
                <a16:creationId xmlns:a16="http://schemas.microsoft.com/office/drawing/2014/main" id="{2145C7A4-3D45-3AD4-5F0C-2905908210BD}"/>
              </a:ext>
            </a:extLst>
          </xdr:cNvPr>
          <xdr:cNvSpPr/>
        </xdr:nvSpPr>
        <xdr:spPr>
          <a:xfrm>
            <a:off x="315057" y="2322575"/>
            <a:ext cx="76200" cy="254000"/>
          </a:xfrm>
          <a:custGeom>
            <a:avLst/>
            <a:gdLst/>
            <a:ahLst/>
            <a:cxnLst/>
            <a:rect l="0" t="0" r="0" b="0"/>
            <a:pathLst>
              <a:path w="76200" h="254000">
                <a:moveTo>
                  <a:pt x="31750" y="177800"/>
                </a:moveTo>
                <a:lnTo>
                  <a:pt x="0" y="177800"/>
                </a:lnTo>
                <a:lnTo>
                  <a:pt x="38100" y="254000"/>
                </a:lnTo>
                <a:lnTo>
                  <a:pt x="69850" y="190500"/>
                </a:lnTo>
                <a:lnTo>
                  <a:pt x="31750" y="190500"/>
                </a:lnTo>
                <a:lnTo>
                  <a:pt x="31750" y="177800"/>
                </a:lnTo>
                <a:close/>
              </a:path>
              <a:path w="76200" h="254000">
                <a:moveTo>
                  <a:pt x="44450" y="0"/>
                </a:moveTo>
                <a:lnTo>
                  <a:pt x="31750" y="0"/>
                </a:lnTo>
                <a:lnTo>
                  <a:pt x="31750" y="190500"/>
                </a:lnTo>
                <a:lnTo>
                  <a:pt x="44450" y="190500"/>
                </a:lnTo>
                <a:lnTo>
                  <a:pt x="44450" y="0"/>
                </a:lnTo>
                <a:close/>
              </a:path>
              <a:path w="76200" h="254000">
                <a:moveTo>
                  <a:pt x="76200" y="177800"/>
                </a:moveTo>
                <a:lnTo>
                  <a:pt x="44450" y="177800"/>
                </a:lnTo>
                <a:lnTo>
                  <a:pt x="44450" y="190500"/>
                </a:lnTo>
                <a:lnTo>
                  <a:pt x="69850" y="190500"/>
                </a:lnTo>
                <a:lnTo>
                  <a:pt x="76200" y="17780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>
    <xdr:from>
      <xdr:col>1</xdr:col>
      <xdr:colOff>85056</xdr:colOff>
      <xdr:row>1262</xdr:row>
      <xdr:rowOff>38870</xdr:rowOff>
    </xdr:from>
    <xdr:to>
      <xdr:col>3</xdr:col>
      <xdr:colOff>19113</xdr:colOff>
      <xdr:row>1265</xdr:row>
      <xdr:rowOff>2364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B66D4F5C-97F3-48B8-841B-9B1D52B92B23}"/>
            </a:ext>
          </a:extLst>
        </xdr:cNvPr>
        <xdr:cNvGrpSpPr/>
      </xdr:nvGrpSpPr>
      <xdr:grpSpPr>
        <a:xfrm>
          <a:off x="230830" y="191950227"/>
          <a:ext cx="358126" cy="480328"/>
          <a:chOff x="219809" y="2322575"/>
          <a:chExt cx="300403" cy="483638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4F68F4D3-C389-09CB-4096-9E55CF3D9782}"/>
              </a:ext>
            </a:extLst>
          </xdr:cNvPr>
          <xdr:cNvSpPr txBox="1"/>
        </xdr:nvSpPr>
        <xdr:spPr>
          <a:xfrm>
            <a:off x="219809" y="2535117"/>
            <a:ext cx="300403" cy="271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✓</a:t>
            </a:r>
          </a:p>
        </xdr:txBody>
      </xdr:sp>
      <xdr:sp macro="" textlink="">
        <xdr:nvSpPr>
          <xdr:cNvPr id="52" name="Shape 12">
            <a:extLst>
              <a:ext uri="{FF2B5EF4-FFF2-40B4-BE49-F238E27FC236}">
                <a16:creationId xmlns:a16="http://schemas.microsoft.com/office/drawing/2014/main" id="{B86E1BDD-4570-9102-385D-E16EE689DA96}"/>
              </a:ext>
            </a:extLst>
          </xdr:cNvPr>
          <xdr:cNvSpPr/>
        </xdr:nvSpPr>
        <xdr:spPr>
          <a:xfrm>
            <a:off x="315057" y="2322575"/>
            <a:ext cx="76200" cy="254000"/>
          </a:xfrm>
          <a:custGeom>
            <a:avLst/>
            <a:gdLst/>
            <a:ahLst/>
            <a:cxnLst/>
            <a:rect l="0" t="0" r="0" b="0"/>
            <a:pathLst>
              <a:path w="76200" h="254000">
                <a:moveTo>
                  <a:pt x="31750" y="177800"/>
                </a:moveTo>
                <a:lnTo>
                  <a:pt x="0" y="177800"/>
                </a:lnTo>
                <a:lnTo>
                  <a:pt x="38100" y="254000"/>
                </a:lnTo>
                <a:lnTo>
                  <a:pt x="69850" y="190500"/>
                </a:lnTo>
                <a:lnTo>
                  <a:pt x="31750" y="190500"/>
                </a:lnTo>
                <a:lnTo>
                  <a:pt x="31750" y="177800"/>
                </a:lnTo>
                <a:close/>
              </a:path>
              <a:path w="76200" h="254000">
                <a:moveTo>
                  <a:pt x="44450" y="0"/>
                </a:moveTo>
                <a:lnTo>
                  <a:pt x="31750" y="0"/>
                </a:lnTo>
                <a:lnTo>
                  <a:pt x="31750" y="190500"/>
                </a:lnTo>
                <a:lnTo>
                  <a:pt x="44450" y="190500"/>
                </a:lnTo>
                <a:lnTo>
                  <a:pt x="44450" y="0"/>
                </a:lnTo>
                <a:close/>
              </a:path>
              <a:path w="76200" h="254000">
                <a:moveTo>
                  <a:pt x="76200" y="177800"/>
                </a:moveTo>
                <a:lnTo>
                  <a:pt x="44450" y="177800"/>
                </a:lnTo>
                <a:lnTo>
                  <a:pt x="44450" y="190500"/>
                </a:lnTo>
                <a:lnTo>
                  <a:pt x="69850" y="190500"/>
                </a:lnTo>
                <a:lnTo>
                  <a:pt x="76200" y="17780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>
    <xdr:from>
      <xdr:col>1</xdr:col>
      <xdr:colOff>85056</xdr:colOff>
      <xdr:row>1340</xdr:row>
      <xdr:rowOff>38870</xdr:rowOff>
    </xdr:from>
    <xdr:to>
      <xdr:col>3</xdr:col>
      <xdr:colOff>19113</xdr:colOff>
      <xdr:row>1343</xdr:row>
      <xdr:rowOff>2364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3A40766F-A453-452C-A244-14FE2C55A982}"/>
            </a:ext>
          </a:extLst>
        </xdr:cNvPr>
        <xdr:cNvGrpSpPr/>
      </xdr:nvGrpSpPr>
      <xdr:grpSpPr>
        <a:xfrm>
          <a:off x="230830" y="203797670"/>
          <a:ext cx="358126" cy="480329"/>
          <a:chOff x="219809" y="2322575"/>
          <a:chExt cx="300403" cy="483638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3DA6216D-81FB-E577-B825-AD2AC678F2DC}"/>
              </a:ext>
            </a:extLst>
          </xdr:cNvPr>
          <xdr:cNvSpPr txBox="1"/>
        </xdr:nvSpPr>
        <xdr:spPr>
          <a:xfrm>
            <a:off x="219809" y="2535117"/>
            <a:ext cx="300403" cy="271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✓</a:t>
            </a:r>
          </a:p>
        </xdr:txBody>
      </xdr:sp>
      <xdr:sp macro="" textlink="">
        <xdr:nvSpPr>
          <xdr:cNvPr id="55" name="Shape 12">
            <a:extLst>
              <a:ext uri="{FF2B5EF4-FFF2-40B4-BE49-F238E27FC236}">
                <a16:creationId xmlns:a16="http://schemas.microsoft.com/office/drawing/2014/main" id="{9AB05389-5A98-472B-494E-53D42CE52536}"/>
              </a:ext>
            </a:extLst>
          </xdr:cNvPr>
          <xdr:cNvSpPr/>
        </xdr:nvSpPr>
        <xdr:spPr>
          <a:xfrm>
            <a:off x="315057" y="2322575"/>
            <a:ext cx="76200" cy="254000"/>
          </a:xfrm>
          <a:custGeom>
            <a:avLst/>
            <a:gdLst/>
            <a:ahLst/>
            <a:cxnLst/>
            <a:rect l="0" t="0" r="0" b="0"/>
            <a:pathLst>
              <a:path w="76200" h="254000">
                <a:moveTo>
                  <a:pt x="31750" y="177800"/>
                </a:moveTo>
                <a:lnTo>
                  <a:pt x="0" y="177800"/>
                </a:lnTo>
                <a:lnTo>
                  <a:pt x="38100" y="254000"/>
                </a:lnTo>
                <a:lnTo>
                  <a:pt x="69850" y="190500"/>
                </a:lnTo>
                <a:lnTo>
                  <a:pt x="31750" y="190500"/>
                </a:lnTo>
                <a:lnTo>
                  <a:pt x="31750" y="177800"/>
                </a:lnTo>
                <a:close/>
              </a:path>
              <a:path w="76200" h="254000">
                <a:moveTo>
                  <a:pt x="44450" y="0"/>
                </a:moveTo>
                <a:lnTo>
                  <a:pt x="31750" y="0"/>
                </a:lnTo>
                <a:lnTo>
                  <a:pt x="31750" y="190500"/>
                </a:lnTo>
                <a:lnTo>
                  <a:pt x="44450" y="190500"/>
                </a:lnTo>
                <a:lnTo>
                  <a:pt x="44450" y="0"/>
                </a:lnTo>
                <a:close/>
              </a:path>
              <a:path w="76200" h="254000">
                <a:moveTo>
                  <a:pt x="76200" y="177800"/>
                </a:moveTo>
                <a:lnTo>
                  <a:pt x="44450" y="177800"/>
                </a:lnTo>
                <a:lnTo>
                  <a:pt x="44450" y="190500"/>
                </a:lnTo>
                <a:lnTo>
                  <a:pt x="69850" y="190500"/>
                </a:lnTo>
                <a:lnTo>
                  <a:pt x="76200" y="17780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>
    <xdr:from>
      <xdr:col>1</xdr:col>
      <xdr:colOff>85056</xdr:colOff>
      <xdr:row>1418</xdr:row>
      <xdr:rowOff>38870</xdr:rowOff>
    </xdr:from>
    <xdr:to>
      <xdr:col>3</xdr:col>
      <xdr:colOff>19113</xdr:colOff>
      <xdr:row>1421</xdr:row>
      <xdr:rowOff>2364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7D52E594-5725-405A-AF54-522924C6749C}"/>
            </a:ext>
          </a:extLst>
        </xdr:cNvPr>
        <xdr:cNvGrpSpPr/>
      </xdr:nvGrpSpPr>
      <xdr:grpSpPr>
        <a:xfrm>
          <a:off x="230830" y="215645113"/>
          <a:ext cx="358126" cy="480329"/>
          <a:chOff x="219809" y="2322575"/>
          <a:chExt cx="300403" cy="483638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501BD726-1F0A-6038-535A-61B768C2054D}"/>
              </a:ext>
            </a:extLst>
          </xdr:cNvPr>
          <xdr:cNvSpPr txBox="1"/>
        </xdr:nvSpPr>
        <xdr:spPr>
          <a:xfrm>
            <a:off x="219809" y="2535117"/>
            <a:ext cx="300403" cy="271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✓</a:t>
            </a:r>
          </a:p>
        </xdr:txBody>
      </xdr:sp>
      <xdr:sp macro="" textlink="">
        <xdr:nvSpPr>
          <xdr:cNvPr id="58" name="Shape 12">
            <a:extLst>
              <a:ext uri="{FF2B5EF4-FFF2-40B4-BE49-F238E27FC236}">
                <a16:creationId xmlns:a16="http://schemas.microsoft.com/office/drawing/2014/main" id="{CBE6A19F-7E3D-760A-565E-72184F40F95C}"/>
              </a:ext>
            </a:extLst>
          </xdr:cNvPr>
          <xdr:cNvSpPr/>
        </xdr:nvSpPr>
        <xdr:spPr>
          <a:xfrm>
            <a:off x="315057" y="2322575"/>
            <a:ext cx="76200" cy="254000"/>
          </a:xfrm>
          <a:custGeom>
            <a:avLst/>
            <a:gdLst/>
            <a:ahLst/>
            <a:cxnLst/>
            <a:rect l="0" t="0" r="0" b="0"/>
            <a:pathLst>
              <a:path w="76200" h="254000">
                <a:moveTo>
                  <a:pt x="31750" y="177800"/>
                </a:moveTo>
                <a:lnTo>
                  <a:pt x="0" y="177800"/>
                </a:lnTo>
                <a:lnTo>
                  <a:pt x="38100" y="254000"/>
                </a:lnTo>
                <a:lnTo>
                  <a:pt x="69850" y="190500"/>
                </a:lnTo>
                <a:lnTo>
                  <a:pt x="31750" y="190500"/>
                </a:lnTo>
                <a:lnTo>
                  <a:pt x="31750" y="177800"/>
                </a:lnTo>
                <a:close/>
              </a:path>
              <a:path w="76200" h="254000">
                <a:moveTo>
                  <a:pt x="44450" y="0"/>
                </a:moveTo>
                <a:lnTo>
                  <a:pt x="31750" y="0"/>
                </a:lnTo>
                <a:lnTo>
                  <a:pt x="31750" y="190500"/>
                </a:lnTo>
                <a:lnTo>
                  <a:pt x="44450" y="190500"/>
                </a:lnTo>
                <a:lnTo>
                  <a:pt x="44450" y="0"/>
                </a:lnTo>
                <a:close/>
              </a:path>
              <a:path w="76200" h="254000">
                <a:moveTo>
                  <a:pt x="76200" y="177800"/>
                </a:moveTo>
                <a:lnTo>
                  <a:pt x="44450" y="177800"/>
                </a:lnTo>
                <a:lnTo>
                  <a:pt x="44450" y="190500"/>
                </a:lnTo>
                <a:lnTo>
                  <a:pt x="69850" y="190500"/>
                </a:lnTo>
                <a:lnTo>
                  <a:pt x="76200" y="17780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>
    <xdr:from>
      <xdr:col>1</xdr:col>
      <xdr:colOff>85056</xdr:colOff>
      <xdr:row>1496</xdr:row>
      <xdr:rowOff>38870</xdr:rowOff>
    </xdr:from>
    <xdr:to>
      <xdr:col>3</xdr:col>
      <xdr:colOff>19113</xdr:colOff>
      <xdr:row>1499</xdr:row>
      <xdr:rowOff>2364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6A7121B2-2EB5-4185-9E8C-0B5FE5EDAD72}"/>
            </a:ext>
          </a:extLst>
        </xdr:cNvPr>
        <xdr:cNvGrpSpPr/>
      </xdr:nvGrpSpPr>
      <xdr:grpSpPr>
        <a:xfrm>
          <a:off x="230830" y="227492557"/>
          <a:ext cx="358126" cy="480329"/>
          <a:chOff x="219809" y="2322575"/>
          <a:chExt cx="300403" cy="483638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79F2F4EB-CF35-86BA-4688-9FB26E752B78}"/>
              </a:ext>
            </a:extLst>
          </xdr:cNvPr>
          <xdr:cNvSpPr txBox="1"/>
        </xdr:nvSpPr>
        <xdr:spPr>
          <a:xfrm>
            <a:off x="219809" y="2535117"/>
            <a:ext cx="300403" cy="271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✓</a:t>
            </a:r>
          </a:p>
        </xdr:txBody>
      </xdr:sp>
      <xdr:sp macro="" textlink="">
        <xdr:nvSpPr>
          <xdr:cNvPr id="61" name="Shape 12">
            <a:extLst>
              <a:ext uri="{FF2B5EF4-FFF2-40B4-BE49-F238E27FC236}">
                <a16:creationId xmlns:a16="http://schemas.microsoft.com/office/drawing/2014/main" id="{25452E25-F5C5-C7E3-73A8-B939152E3CF2}"/>
              </a:ext>
            </a:extLst>
          </xdr:cNvPr>
          <xdr:cNvSpPr/>
        </xdr:nvSpPr>
        <xdr:spPr>
          <a:xfrm>
            <a:off x="315057" y="2322575"/>
            <a:ext cx="76200" cy="254000"/>
          </a:xfrm>
          <a:custGeom>
            <a:avLst/>
            <a:gdLst/>
            <a:ahLst/>
            <a:cxnLst/>
            <a:rect l="0" t="0" r="0" b="0"/>
            <a:pathLst>
              <a:path w="76200" h="254000">
                <a:moveTo>
                  <a:pt x="31750" y="177800"/>
                </a:moveTo>
                <a:lnTo>
                  <a:pt x="0" y="177800"/>
                </a:lnTo>
                <a:lnTo>
                  <a:pt x="38100" y="254000"/>
                </a:lnTo>
                <a:lnTo>
                  <a:pt x="69850" y="190500"/>
                </a:lnTo>
                <a:lnTo>
                  <a:pt x="31750" y="190500"/>
                </a:lnTo>
                <a:lnTo>
                  <a:pt x="31750" y="177800"/>
                </a:lnTo>
                <a:close/>
              </a:path>
              <a:path w="76200" h="254000">
                <a:moveTo>
                  <a:pt x="44450" y="0"/>
                </a:moveTo>
                <a:lnTo>
                  <a:pt x="31750" y="0"/>
                </a:lnTo>
                <a:lnTo>
                  <a:pt x="31750" y="190500"/>
                </a:lnTo>
                <a:lnTo>
                  <a:pt x="44450" y="190500"/>
                </a:lnTo>
                <a:lnTo>
                  <a:pt x="44450" y="0"/>
                </a:lnTo>
                <a:close/>
              </a:path>
              <a:path w="76200" h="254000">
                <a:moveTo>
                  <a:pt x="76200" y="177800"/>
                </a:moveTo>
                <a:lnTo>
                  <a:pt x="44450" y="177800"/>
                </a:lnTo>
                <a:lnTo>
                  <a:pt x="44450" y="190500"/>
                </a:lnTo>
                <a:lnTo>
                  <a:pt x="69850" y="190500"/>
                </a:lnTo>
                <a:lnTo>
                  <a:pt x="76200" y="17780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>
    <xdr:from>
      <xdr:col>1</xdr:col>
      <xdr:colOff>85056</xdr:colOff>
      <xdr:row>1574</xdr:row>
      <xdr:rowOff>38870</xdr:rowOff>
    </xdr:from>
    <xdr:to>
      <xdr:col>3</xdr:col>
      <xdr:colOff>19113</xdr:colOff>
      <xdr:row>1577</xdr:row>
      <xdr:rowOff>2364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6EA0AAB6-D814-4FE5-BB60-EE9A101B0A08}"/>
            </a:ext>
          </a:extLst>
        </xdr:cNvPr>
        <xdr:cNvGrpSpPr/>
      </xdr:nvGrpSpPr>
      <xdr:grpSpPr>
        <a:xfrm>
          <a:off x="230830" y="239340000"/>
          <a:ext cx="358126" cy="480329"/>
          <a:chOff x="219809" y="2322575"/>
          <a:chExt cx="300403" cy="483638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3A15716E-7664-E2EF-6694-6BD690300B4C}"/>
              </a:ext>
            </a:extLst>
          </xdr:cNvPr>
          <xdr:cNvSpPr txBox="1"/>
        </xdr:nvSpPr>
        <xdr:spPr>
          <a:xfrm>
            <a:off x="219809" y="2535117"/>
            <a:ext cx="300403" cy="271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✓</a:t>
            </a:r>
          </a:p>
        </xdr:txBody>
      </xdr:sp>
      <xdr:sp macro="" textlink="">
        <xdr:nvSpPr>
          <xdr:cNvPr id="64" name="Shape 12">
            <a:extLst>
              <a:ext uri="{FF2B5EF4-FFF2-40B4-BE49-F238E27FC236}">
                <a16:creationId xmlns:a16="http://schemas.microsoft.com/office/drawing/2014/main" id="{BFB24637-DDBD-3C4B-DB35-AB309F436E45}"/>
              </a:ext>
            </a:extLst>
          </xdr:cNvPr>
          <xdr:cNvSpPr/>
        </xdr:nvSpPr>
        <xdr:spPr>
          <a:xfrm>
            <a:off x="315057" y="2322575"/>
            <a:ext cx="76200" cy="254000"/>
          </a:xfrm>
          <a:custGeom>
            <a:avLst/>
            <a:gdLst/>
            <a:ahLst/>
            <a:cxnLst/>
            <a:rect l="0" t="0" r="0" b="0"/>
            <a:pathLst>
              <a:path w="76200" h="254000">
                <a:moveTo>
                  <a:pt x="31750" y="177800"/>
                </a:moveTo>
                <a:lnTo>
                  <a:pt x="0" y="177800"/>
                </a:lnTo>
                <a:lnTo>
                  <a:pt x="38100" y="254000"/>
                </a:lnTo>
                <a:lnTo>
                  <a:pt x="69850" y="190500"/>
                </a:lnTo>
                <a:lnTo>
                  <a:pt x="31750" y="190500"/>
                </a:lnTo>
                <a:lnTo>
                  <a:pt x="31750" y="177800"/>
                </a:lnTo>
                <a:close/>
              </a:path>
              <a:path w="76200" h="254000">
                <a:moveTo>
                  <a:pt x="44450" y="0"/>
                </a:moveTo>
                <a:lnTo>
                  <a:pt x="31750" y="0"/>
                </a:lnTo>
                <a:lnTo>
                  <a:pt x="31750" y="190500"/>
                </a:lnTo>
                <a:lnTo>
                  <a:pt x="44450" y="190500"/>
                </a:lnTo>
                <a:lnTo>
                  <a:pt x="44450" y="0"/>
                </a:lnTo>
                <a:close/>
              </a:path>
              <a:path w="76200" h="254000">
                <a:moveTo>
                  <a:pt x="76200" y="177800"/>
                </a:moveTo>
                <a:lnTo>
                  <a:pt x="44450" y="177800"/>
                </a:lnTo>
                <a:lnTo>
                  <a:pt x="44450" y="190500"/>
                </a:lnTo>
                <a:lnTo>
                  <a:pt x="69850" y="190500"/>
                </a:lnTo>
                <a:lnTo>
                  <a:pt x="76200" y="17780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>
    <xdr:from>
      <xdr:col>1</xdr:col>
      <xdr:colOff>85056</xdr:colOff>
      <xdr:row>1652</xdr:row>
      <xdr:rowOff>38870</xdr:rowOff>
    </xdr:from>
    <xdr:to>
      <xdr:col>3</xdr:col>
      <xdr:colOff>19113</xdr:colOff>
      <xdr:row>1655</xdr:row>
      <xdr:rowOff>2364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52991DBA-5744-41A4-B575-66C576DF48B2}"/>
            </a:ext>
          </a:extLst>
        </xdr:cNvPr>
        <xdr:cNvGrpSpPr/>
      </xdr:nvGrpSpPr>
      <xdr:grpSpPr>
        <a:xfrm>
          <a:off x="230830" y="251187444"/>
          <a:ext cx="358126" cy="480329"/>
          <a:chOff x="219809" y="2322575"/>
          <a:chExt cx="300403" cy="483638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3189FA13-B124-5F33-950F-79724D569894}"/>
              </a:ext>
            </a:extLst>
          </xdr:cNvPr>
          <xdr:cNvSpPr txBox="1"/>
        </xdr:nvSpPr>
        <xdr:spPr>
          <a:xfrm>
            <a:off x="219809" y="2535117"/>
            <a:ext cx="300403" cy="271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✓</a:t>
            </a:r>
          </a:p>
        </xdr:txBody>
      </xdr:sp>
      <xdr:sp macro="" textlink="">
        <xdr:nvSpPr>
          <xdr:cNvPr id="67" name="Shape 12">
            <a:extLst>
              <a:ext uri="{FF2B5EF4-FFF2-40B4-BE49-F238E27FC236}">
                <a16:creationId xmlns:a16="http://schemas.microsoft.com/office/drawing/2014/main" id="{460FE0E8-7FA8-29B5-E45A-DC851B566441}"/>
              </a:ext>
            </a:extLst>
          </xdr:cNvPr>
          <xdr:cNvSpPr/>
        </xdr:nvSpPr>
        <xdr:spPr>
          <a:xfrm>
            <a:off x="315057" y="2322575"/>
            <a:ext cx="76200" cy="254000"/>
          </a:xfrm>
          <a:custGeom>
            <a:avLst/>
            <a:gdLst/>
            <a:ahLst/>
            <a:cxnLst/>
            <a:rect l="0" t="0" r="0" b="0"/>
            <a:pathLst>
              <a:path w="76200" h="254000">
                <a:moveTo>
                  <a:pt x="31750" y="177800"/>
                </a:moveTo>
                <a:lnTo>
                  <a:pt x="0" y="177800"/>
                </a:lnTo>
                <a:lnTo>
                  <a:pt x="38100" y="254000"/>
                </a:lnTo>
                <a:lnTo>
                  <a:pt x="69850" y="190500"/>
                </a:lnTo>
                <a:lnTo>
                  <a:pt x="31750" y="190500"/>
                </a:lnTo>
                <a:lnTo>
                  <a:pt x="31750" y="177800"/>
                </a:lnTo>
                <a:close/>
              </a:path>
              <a:path w="76200" h="254000">
                <a:moveTo>
                  <a:pt x="44450" y="0"/>
                </a:moveTo>
                <a:lnTo>
                  <a:pt x="31750" y="0"/>
                </a:lnTo>
                <a:lnTo>
                  <a:pt x="31750" y="190500"/>
                </a:lnTo>
                <a:lnTo>
                  <a:pt x="44450" y="190500"/>
                </a:lnTo>
                <a:lnTo>
                  <a:pt x="44450" y="0"/>
                </a:lnTo>
                <a:close/>
              </a:path>
              <a:path w="76200" h="254000">
                <a:moveTo>
                  <a:pt x="76200" y="177800"/>
                </a:moveTo>
                <a:lnTo>
                  <a:pt x="44450" y="177800"/>
                </a:lnTo>
                <a:lnTo>
                  <a:pt x="44450" y="190500"/>
                </a:lnTo>
                <a:lnTo>
                  <a:pt x="69850" y="190500"/>
                </a:lnTo>
                <a:lnTo>
                  <a:pt x="76200" y="17780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>
    <xdr:from>
      <xdr:col>1</xdr:col>
      <xdr:colOff>85056</xdr:colOff>
      <xdr:row>1730</xdr:row>
      <xdr:rowOff>38870</xdr:rowOff>
    </xdr:from>
    <xdr:to>
      <xdr:col>3</xdr:col>
      <xdr:colOff>19113</xdr:colOff>
      <xdr:row>1733</xdr:row>
      <xdr:rowOff>2364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DC538882-5915-44C3-8979-F448B0ADF2C9}"/>
            </a:ext>
          </a:extLst>
        </xdr:cNvPr>
        <xdr:cNvGrpSpPr/>
      </xdr:nvGrpSpPr>
      <xdr:grpSpPr>
        <a:xfrm>
          <a:off x="230830" y="263034887"/>
          <a:ext cx="358126" cy="480329"/>
          <a:chOff x="219809" y="2322575"/>
          <a:chExt cx="300403" cy="483638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6959F62F-28BF-2BB9-BA20-5B9811D10D56}"/>
              </a:ext>
            </a:extLst>
          </xdr:cNvPr>
          <xdr:cNvSpPr txBox="1"/>
        </xdr:nvSpPr>
        <xdr:spPr>
          <a:xfrm>
            <a:off x="219809" y="2535117"/>
            <a:ext cx="300403" cy="271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✓</a:t>
            </a:r>
          </a:p>
        </xdr:txBody>
      </xdr:sp>
      <xdr:sp macro="" textlink="">
        <xdr:nvSpPr>
          <xdr:cNvPr id="70" name="Shape 12">
            <a:extLst>
              <a:ext uri="{FF2B5EF4-FFF2-40B4-BE49-F238E27FC236}">
                <a16:creationId xmlns:a16="http://schemas.microsoft.com/office/drawing/2014/main" id="{2F7135D0-A39C-D043-19A4-186DC1BC6376}"/>
              </a:ext>
            </a:extLst>
          </xdr:cNvPr>
          <xdr:cNvSpPr/>
        </xdr:nvSpPr>
        <xdr:spPr>
          <a:xfrm>
            <a:off x="315057" y="2322575"/>
            <a:ext cx="76200" cy="254000"/>
          </a:xfrm>
          <a:custGeom>
            <a:avLst/>
            <a:gdLst/>
            <a:ahLst/>
            <a:cxnLst/>
            <a:rect l="0" t="0" r="0" b="0"/>
            <a:pathLst>
              <a:path w="76200" h="254000">
                <a:moveTo>
                  <a:pt x="31750" y="177800"/>
                </a:moveTo>
                <a:lnTo>
                  <a:pt x="0" y="177800"/>
                </a:lnTo>
                <a:lnTo>
                  <a:pt x="38100" y="254000"/>
                </a:lnTo>
                <a:lnTo>
                  <a:pt x="69850" y="190500"/>
                </a:lnTo>
                <a:lnTo>
                  <a:pt x="31750" y="190500"/>
                </a:lnTo>
                <a:lnTo>
                  <a:pt x="31750" y="177800"/>
                </a:lnTo>
                <a:close/>
              </a:path>
              <a:path w="76200" h="254000">
                <a:moveTo>
                  <a:pt x="44450" y="0"/>
                </a:moveTo>
                <a:lnTo>
                  <a:pt x="31750" y="0"/>
                </a:lnTo>
                <a:lnTo>
                  <a:pt x="31750" y="190500"/>
                </a:lnTo>
                <a:lnTo>
                  <a:pt x="44450" y="190500"/>
                </a:lnTo>
                <a:lnTo>
                  <a:pt x="44450" y="0"/>
                </a:lnTo>
                <a:close/>
              </a:path>
              <a:path w="76200" h="254000">
                <a:moveTo>
                  <a:pt x="76200" y="177800"/>
                </a:moveTo>
                <a:lnTo>
                  <a:pt x="44450" y="177800"/>
                </a:lnTo>
                <a:lnTo>
                  <a:pt x="44450" y="190500"/>
                </a:lnTo>
                <a:lnTo>
                  <a:pt x="69850" y="190500"/>
                </a:lnTo>
                <a:lnTo>
                  <a:pt x="76200" y="17780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>
    <xdr:from>
      <xdr:col>1</xdr:col>
      <xdr:colOff>85056</xdr:colOff>
      <xdr:row>1808</xdr:row>
      <xdr:rowOff>38870</xdr:rowOff>
    </xdr:from>
    <xdr:to>
      <xdr:col>3</xdr:col>
      <xdr:colOff>19113</xdr:colOff>
      <xdr:row>1811</xdr:row>
      <xdr:rowOff>2364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79D60753-295F-48E5-B295-D4D112A5C16F}"/>
            </a:ext>
          </a:extLst>
        </xdr:cNvPr>
        <xdr:cNvGrpSpPr/>
      </xdr:nvGrpSpPr>
      <xdr:grpSpPr>
        <a:xfrm>
          <a:off x="230830" y="274882331"/>
          <a:ext cx="358126" cy="480329"/>
          <a:chOff x="219809" y="2322575"/>
          <a:chExt cx="300403" cy="483638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A3CEE932-2825-A9F6-4E37-892998B1D5C1}"/>
              </a:ext>
            </a:extLst>
          </xdr:cNvPr>
          <xdr:cNvSpPr txBox="1"/>
        </xdr:nvSpPr>
        <xdr:spPr>
          <a:xfrm>
            <a:off x="219809" y="2535117"/>
            <a:ext cx="300403" cy="271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✓</a:t>
            </a:r>
          </a:p>
        </xdr:txBody>
      </xdr:sp>
      <xdr:sp macro="" textlink="">
        <xdr:nvSpPr>
          <xdr:cNvPr id="73" name="Shape 12">
            <a:extLst>
              <a:ext uri="{FF2B5EF4-FFF2-40B4-BE49-F238E27FC236}">
                <a16:creationId xmlns:a16="http://schemas.microsoft.com/office/drawing/2014/main" id="{DC343C03-1D5D-FFF2-C2E1-A45693080801}"/>
              </a:ext>
            </a:extLst>
          </xdr:cNvPr>
          <xdr:cNvSpPr/>
        </xdr:nvSpPr>
        <xdr:spPr>
          <a:xfrm>
            <a:off x="315057" y="2322575"/>
            <a:ext cx="76200" cy="254000"/>
          </a:xfrm>
          <a:custGeom>
            <a:avLst/>
            <a:gdLst/>
            <a:ahLst/>
            <a:cxnLst/>
            <a:rect l="0" t="0" r="0" b="0"/>
            <a:pathLst>
              <a:path w="76200" h="254000">
                <a:moveTo>
                  <a:pt x="31750" y="177800"/>
                </a:moveTo>
                <a:lnTo>
                  <a:pt x="0" y="177800"/>
                </a:lnTo>
                <a:lnTo>
                  <a:pt x="38100" y="254000"/>
                </a:lnTo>
                <a:lnTo>
                  <a:pt x="69850" y="190500"/>
                </a:lnTo>
                <a:lnTo>
                  <a:pt x="31750" y="190500"/>
                </a:lnTo>
                <a:lnTo>
                  <a:pt x="31750" y="177800"/>
                </a:lnTo>
                <a:close/>
              </a:path>
              <a:path w="76200" h="254000">
                <a:moveTo>
                  <a:pt x="44450" y="0"/>
                </a:moveTo>
                <a:lnTo>
                  <a:pt x="31750" y="0"/>
                </a:lnTo>
                <a:lnTo>
                  <a:pt x="31750" y="190500"/>
                </a:lnTo>
                <a:lnTo>
                  <a:pt x="44450" y="190500"/>
                </a:lnTo>
                <a:lnTo>
                  <a:pt x="44450" y="0"/>
                </a:lnTo>
                <a:close/>
              </a:path>
              <a:path w="76200" h="254000">
                <a:moveTo>
                  <a:pt x="76200" y="177800"/>
                </a:moveTo>
                <a:lnTo>
                  <a:pt x="44450" y="177800"/>
                </a:lnTo>
                <a:lnTo>
                  <a:pt x="44450" y="190500"/>
                </a:lnTo>
                <a:lnTo>
                  <a:pt x="69850" y="190500"/>
                </a:lnTo>
                <a:lnTo>
                  <a:pt x="76200" y="17780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>
    <xdr:from>
      <xdr:col>1</xdr:col>
      <xdr:colOff>85056</xdr:colOff>
      <xdr:row>1886</xdr:row>
      <xdr:rowOff>38870</xdr:rowOff>
    </xdr:from>
    <xdr:to>
      <xdr:col>3</xdr:col>
      <xdr:colOff>19113</xdr:colOff>
      <xdr:row>1889</xdr:row>
      <xdr:rowOff>2364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64710F35-D837-45EE-A420-674D7F09EF42}"/>
            </a:ext>
          </a:extLst>
        </xdr:cNvPr>
        <xdr:cNvGrpSpPr/>
      </xdr:nvGrpSpPr>
      <xdr:grpSpPr>
        <a:xfrm>
          <a:off x="230830" y="286729774"/>
          <a:ext cx="358126" cy="480329"/>
          <a:chOff x="219809" y="2322575"/>
          <a:chExt cx="300403" cy="483638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4317971F-B443-DD6B-E24A-5CCB06B936C5}"/>
              </a:ext>
            </a:extLst>
          </xdr:cNvPr>
          <xdr:cNvSpPr txBox="1"/>
        </xdr:nvSpPr>
        <xdr:spPr>
          <a:xfrm>
            <a:off x="219809" y="2535117"/>
            <a:ext cx="300403" cy="271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✓</a:t>
            </a:r>
          </a:p>
        </xdr:txBody>
      </xdr:sp>
      <xdr:sp macro="" textlink="">
        <xdr:nvSpPr>
          <xdr:cNvPr id="76" name="Shape 12">
            <a:extLst>
              <a:ext uri="{FF2B5EF4-FFF2-40B4-BE49-F238E27FC236}">
                <a16:creationId xmlns:a16="http://schemas.microsoft.com/office/drawing/2014/main" id="{18452199-EED4-1F9A-CB57-3D8B5E6BFCFE}"/>
              </a:ext>
            </a:extLst>
          </xdr:cNvPr>
          <xdr:cNvSpPr/>
        </xdr:nvSpPr>
        <xdr:spPr>
          <a:xfrm>
            <a:off x="315057" y="2322575"/>
            <a:ext cx="76200" cy="254000"/>
          </a:xfrm>
          <a:custGeom>
            <a:avLst/>
            <a:gdLst/>
            <a:ahLst/>
            <a:cxnLst/>
            <a:rect l="0" t="0" r="0" b="0"/>
            <a:pathLst>
              <a:path w="76200" h="254000">
                <a:moveTo>
                  <a:pt x="31750" y="177800"/>
                </a:moveTo>
                <a:lnTo>
                  <a:pt x="0" y="177800"/>
                </a:lnTo>
                <a:lnTo>
                  <a:pt x="38100" y="254000"/>
                </a:lnTo>
                <a:lnTo>
                  <a:pt x="69850" y="190500"/>
                </a:lnTo>
                <a:lnTo>
                  <a:pt x="31750" y="190500"/>
                </a:lnTo>
                <a:lnTo>
                  <a:pt x="31750" y="177800"/>
                </a:lnTo>
                <a:close/>
              </a:path>
              <a:path w="76200" h="254000">
                <a:moveTo>
                  <a:pt x="44450" y="0"/>
                </a:moveTo>
                <a:lnTo>
                  <a:pt x="31750" y="0"/>
                </a:lnTo>
                <a:lnTo>
                  <a:pt x="31750" y="190500"/>
                </a:lnTo>
                <a:lnTo>
                  <a:pt x="44450" y="190500"/>
                </a:lnTo>
                <a:lnTo>
                  <a:pt x="44450" y="0"/>
                </a:lnTo>
                <a:close/>
              </a:path>
              <a:path w="76200" h="254000">
                <a:moveTo>
                  <a:pt x="76200" y="177800"/>
                </a:moveTo>
                <a:lnTo>
                  <a:pt x="44450" y="177800"/>
                </a:lnTo>
                <a:lnTo>
                  <a:pt x="44450" y="190500"/>
                </a:lnTo>
                <a:lnTo>
                  <a:pt x="69850" y="190500"/>
                </a:lnTo>
                <a:lnTo>
                  <a:pt x="76200" y="17780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>
    <xdr:from>
      <xdr:col>1</xdr:col>
      <xdr:colOff>85056</xdr:colOff>
      <xdr:row>1964</xdr:row>
      <xdr:rowOff>38870</xdr:rowOff>
    </xdr:from>
    <xdr:to>
      <xdr:col>3</xdr:col>
      <xdr:colOff>19113</xdr:colOff>
      <xdr:row>1967</xdr:row>
      <xdr:rowOff>2364</xdr:rowOff>
    </xdr:to>
    <xdr:grpSp>
      <xdr:nvGrpSpPr>
        <xdr:cNvPr id="77" name="Group 76">
          <a:extLst>
            <a:ext uri="{FF2B5EF4-FFF2-40B4-BE49-F238E27FC236}">
              <a16:creationId xmlns:a16="http://schemas.microsoft.com/office/drawing/2014/main" id="{90DDE8D6-612D-46DF-B074-2A603EC5B043}"/>
            </a:ext>
          </a:extLst>
        </xdr:cNvPr>
        <xdr:cNvGrpSpPr/>
      </xdr:nvGrpSpPr>
      <xdr:grpSpPr>
        <a:xfrm>
          <a:off x="230830" y="298577218"/>
          <a:ext cx="358126" cy="480329"/>
          <a:chOff x="219809" y="2322575"/>
          <a:chExt cx="300403" cy="483638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63212566-AF22-5E5A-E8E2-005E572B3180}"/>
              </a:ext>
            </a:extLst>
          </xdr:cNvPr>
          <xdr:cNvSpPr txBox="1"/>
        </xdr:nvSpPr>
        <xdr:spPr>
          <a:xfrm>
            <a:off x="219809" y="2535117"/>
            <a:ext cx="300403" cy="271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✓</a:t>
            </a:r>
          </a:p>
        </xdr:txBody>
      </xdr:sp>
      <xdr:sp macro="" textlink="">
        <xdr:nvSpPr>
          <xdr:cNvPr id="79" name="Shape 12">
            <a:extLst>
              <a:ext uri="{FF2B5EF4-FFF2-40B4-BE49-F238E27FC236}">
                <a16:creationId xmlns:a16="http://schemas.microsoft.com/office/drawing/2014/main" id="{33478066-C1B4-D7D1-D857-809C327213B3}"/>
              </a:ext>
            </a:extLst>
          </xdr:cNvPr>
          <xdr:cNvSpPr/>
        </xdr:nvSpPr>
        <xdr:spPr>
          <a:xfrm>
            <a:off x="315057" y="2322575"/>
            <a:ext cx="76200" cy="254000"/>
          </a:xfrm>
          <a:custGeom>
            <a:avLst/>
            <a:gdLst/>
            <a:ahLst/>
            <a:cxnLst/>
            <a:rect l="0" t="0" r="0" b="0"/>
            <a:pathLst>
              <a:path w="76200" h="254000">
                <a:moveTo>
                  <a:pt x="31750" y="177800"/>
                </a:moveTo>
                <a:lnTo>
                  <a:pt x="0" y="177800"/>
                </a:lnTo>
                <a:lnTo>
                  <a:pt x="38100" y="254000"/>
                </a:lnTo>
                <a:lnTo>
                  <a:pt x="69850" y="190500"/>
                </a:lnTo>
                <a:lnTo>
                  <a:pt x="31750" y="190500"/>
                </a:lnTo>
                <a:lnTo>
                  <a:pt x="31750" y="177800"/>
                </a:lnTo>
                <a:close/>
              </a:path>
              <a:path w="76200" h="254000">
                <a:moveTo>
                  <a:pt x="44450" y="0"/>
                </a:moveTo>
                <a:lnTo>
                  <a:pt x="31750" y="0"/>
                </a:lnTo>
                <a:lnTo>
                  <a:pt x="31750" y="190500"/>
                </a:lnTo>
                <a:lnTo>
                  <a:pt x="44450" y="190500"/>
                </a:lnTo>
                <a:lnTo>
                  <a:pt x="44450" y="0"/>
                </a:lnTo>
                <a:close/>
              </a:path>
              <a:path w="76200" h="254000">
                <a:moveTo>
                  <a:pt x="76200" y="177800"/>
                </a:moveTo>
                <a:lnTo>
                  <a:pt x="44450" y="177800"/>
                </a:lnTo>
                <a:lnTo>
                  <a:pt x="44450" y="190500"/>
                </a:lnTo>
                <a:lnTo>
                  <a:pt x="69850" y="190500"/>
                </a:lnTo>
                <a:lnTo>
                  <a:pt x="76200" y="17780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>
    <xdr:from>
      <xdr:col>1</xdr:col>
      <xdr:colOff>85056</xdr:colOff>
      <xdr:row>2042</xdr:row>
      <xdr:rowOff>38870</xdr:rowOff>
    </xdr:from>
    <xdr:to>
      <xdr:col>3</xdr:col>
      <xdr:colOff>19113</xdr:colOff>
      <xdr:row>2045</xdr:row>
      <xdr:rowOff>2364</xdr:rowOff>
    </xdr:to>
    <xdr:grpSp>
      <xdr:nvGrpSpPr>
        <xdr:cNvPr id="80" name="Group 79">
          <a:extLst>
            <a:ext uri="{FF2B5EF4-FFF2-40B4-BE49-F238E27FC236}">
              <a16:creationId xmlns:a16="http://schemas.microsoft.com/office/drawing/2014/main" id="{A2D22888-3E59-4B81-8CC9-4C57B0EBAD70}"/>
            </a:ext>
          </a:extLst>
        </xdr:cNvPr>
        <xdr:cNvGrpSpPr/>
      </xdr:nvGrpSpPr>
      <xdr:grpSpPr>
        <a:xfrm>
          <a:off x="230830" y="310424661"/>
          <a:ext cx="358126" cy="480329"/>
          <a:chOff x="219809" y="2322575"/>
          <a:chExt cx="300403" cy="483638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B2CCF09D-5B1B-3B67-BDE5-2F75416E60E7}"/>
              </a:ext>
            </a:extLst>
          </xdr:cNvPr>
          <xdr:cNvSpPr txBox="1"/>
        </xdr:nvSpPr>
        <xdr:spPr>
          <a:xfrm>
            <a:off x="219809" y="2535117"/>
            <a:ext cx="300403" cy="271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✓</a:t>
            </a:r>
          </a:p>
        </xdr:txBody>
      </xdr:sp>
      <xdr:sp macro="" textlink="">
        <xdr:nvSpPr>
          <xdr:cNvPr id="82" name="Shape 12">
            <a:extLst>
              <a:ext uri="{FF2B5EF4-FFF2-40B4-BE49-F238E27FC236}">
                <a16:creationId xmlns:a16="http://schemas.microsoft.com/office/drawing/2014/main" id="{09F3C144-8526-0753-85CE-200A1B8D4535}"/>
              </a:ext>
            </a:extLst>
          </xdr:cNvPr>
          <xdr:cNvSpPr/>
        </xdr:nvSpPr>
        <xdr:spPr>
          <a:xfrm>
            <a:off x="315057" y="2322575"/>
            <a:ext cx="76200" cy="254000"/>
          </a:xfrm>
          <a:custGeom>
            <a:avLst/>
            <a:gdLst/>
            <a:ahLst/>
            <a:cxnLst/>
            <a:rect l="0" t="0" r="0" b="0"/>
            <a:pathLst>
              <a:path w="76200" h="254000">
                <a:moveTo>
                  <a:pt x="31750" y="177800"/>
                </a:moveTo>
                <a:lnTo>
                  <a:pt x="0" y="177800"/>
                </a:lnTo>
                <a:lnTo>
                  <a:pt x="38100" y="254000"/>
                </a:lnTo>
                <a:lnTo>
                  <a:pt x="69850" y="190500"/>
                </a:lnTo>
                <a:lnTo>
                  <a:pt x="31750" y="190500"/>
                </a:lnTo>
                <a:lnTo>
                  <a:pt x="31750" y="177800"/>
                </a:lnTo>
                <a:close/>
              </a:path>
              <a:path w="76200" h="254000">
                <a:moveTo>
                  <a:pt x="44450" y="0"/>
                </a:moveTo>
                <a:lnTo>
                  <a:pt x="31750" y="0"/>
                </a:lnTo>
                <a:lnTo>
                  <a:pt x="31750" y="190500"/>
                </a:lnTo>
                <a:lnTo>
                  <a:pt x="44450" y="190500"/>
                </a:lnTo>
                <a:lnTo>
                  <a:pt x="44450" y="0"/>
                </a:lnTo>
                <a:close/>
              </a:path>
              <a:path w="76200" h="254000">
                <a:moveTo>
                  <a:pt x="76200" y="177800"/>
                </a:moveTo>
                <a:lnTo>
                  <a:pt x="44450" y="177800"/>
                </a:lnTo>
                <a:lnTo>
                  <a:pt x="44450" y="190500"/>
                </a:lnTo>
                <a:lnTo>
                  <a:pt x="69850" y="190500"/>
                </a:lnTo>
                <a:lnTo>
                  <a:pt x="76200" y="17780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>
    <xdr:from>
      <xdr:col>1</xdr:col>
      <xdr:colOff>85056</xdr:colOff>
      <xdr:row>2120</xdr:row>
      <xdr:rowOff>38870</xdr:rowOff>
    </xdr:from>
    <xdr:to>
      <xdr:col>3</xdr:col>
      <xdr:colOff>19113</xdr:colOff>
      <xdr:row>2123</xdr:row>
      <xdr:rowOff>2364</xdr:rowOff>
    </xdr:to>
    <xdr:grpSp>
      <xdr:nvGrpSpPr>
        <xdr:cNvPr id="83" name="Group 82">
          <a:extLst>
            <a:ext uri="{FF2B5EF4-FFF2-40B4-BE49-F238E27FC236}">
              <a16:creationId xmlns:a16="http://schemas.microsoft.com/office/drawing/2014/main" id="{5379A4A7-A4AF-477E-8822-15559DA74941}"/>
            </a:ext>
          </a:extLst>
        </xdr:cNvPr>
        <xdr:cNvGrpSpPr/>
      </xdr:nvGrpSpPr>
      <xdr:grpSpPr>
        <a:xfrm>
          <a:off x="230830" y="322272105"/>
          <a:ext cx="358126" cy="480329"/>
          <a:chOff x="219809" y="2322575"/>
          <a:chExt cx="300403" cy="483638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4A973794-2041-4EA2-7B70-79BA30F87BB6}"/>
              </a:ext>
            </a:extLst>
          </xdr:cNvPr>
          <xdr:cNvSpPr txBox="1"/>
        </xdr:nvSpPr>
        <xdr:spPr>
          <a:xfrm>
            <a:off x="219809" y="2535117"/>
            <a:ext cx="300403" cy="271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✓</a:t>
            </a:r>
          </a:p>
        </xdr:txBody>
      </xdr:sp>
      <xdr:sp macro="" textlink="">
        <xdr:nvSpPr>
          <xdr:cNvPr id="85" name="Shape 12">
            <a:extLst>
              <a:ext uri="{FF2B5EF4-FFF2-40B4-BE49-F238E27FC236}">
                <a16:creationId xmlns:a16="http://schemas.microsoft.com/office/drawing/2014/main" id="{0A03443E-E716-E132-6551-772BFAA724B9}"/>
              </a:ext>
            </a:extLst>
          </xdr:cNvPr>
          <xdr:cNvSpPr/>
        </xdr:nvSpPr>
        <xdr:spPr>
          <a:xfrm>
            <a:off x="315057" y="2322575"/>
            <a:ext cx="76200" cy="254000"/>
          </a:xfrm>
          <a:custGeom>
            <a:avLst/>
            <a:gdLst/>
            <a:ahLst/>
            <a:cxnLst/>
            <a:rect l="0" t="0" r="0" b="0"/>
            <a:pathLst>
              <a:path w="76200" h="254000">
                <a:moveTo>
                  <a:pt x="31750" y="177800"/>
                </a:moveTo>
                <a:lnTo>
                  <a:pt x="0" y="177800"/>
                </a:lnTo>
                <a:lnTo>
                  <a:pt x="38100" y="254000"/>
                </a:lnTo>
                <a:lnTo>
                  <a:pt x="69850" y="190500"/>
                </a:lnTo>
                <a:lnTo>
                  <a:pt x="31750" y="190500"/>
                </a:lnTo>
                <a:lnTo>
                  <a:pt x="31750" y="177800"/>
                </a:lnTo>
                <a:close/>
              </a:path>
              <a:path w="76200" h="254000">
                <a:moveTo>
                  <a:pt x="44450" y="0"/>
                </a:moveTo>
                <a:lnTo>
                  <a:pt x="31750" y="0"/>
                </a:lnTo>
                <a:lnTo>
                  <a:pt x="31750" y="190500"/>
                </a:lnTo>
                <a:lnTo>
                  <a:pt x="44450" y="190500"/>
                </a:lnTo>
                <a:lnTo>
                  <a:pt x="44450" y="0"/>
                </a:lnTo>
                <a:close/>
              </a:path>
              <a:path w="76200" h="254000">
                <a:moveTo>
                  <a:pt x="76200" y="177800"/>
                </a:moveTo>
                <a:lnTo>
                  <a:pt x="44450" y="177800"/>
                </a:lnTo>
                <a:lnTo>
                  <a:pt x="44450" y="190500"/>
                </a:lnTo>
                <a:lnTo>
                  <a:pt x="69850" y="190500"/>
                </a:lnTo>
                <a:lnTo>
                  <a:pt x="76200" y="17780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>
    <xdr:from>
      <xdr:col>1</xdr:col>
      <xdr:colOff>85056</xdr:colOff>
      <xdr:row>2198</xdr:row>
      <xdr:rowOff>38870</xdr:rowOff>
    </xdr:from>
    <xdr:to>
      <xdr:col>3</xdr:col>
      <xdr:colOff>19113</xdr:colOff>
      <xdr:row>2201</xdr:row>
      <xdr:rowOff>2364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020BBA59-0BC7-457C-B789-D52F08C7254E}"/>
            </a:ext>
          </a:extLst>
        </xdr:cNvPr>
        <xdr:cNvGrpSpPr/>
      </xdr:nvGrpSpPr>
      <xdr:grpSpPr>
        <a:xfrm>
          <a:off x="230830" y="334119548"/>
          <a:ext cx="358126" cy="480329"/>
          <a:chOff x="219809" y="2322575"/>
          <a:chExt cx="300403" cy="483638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59F135CC-3C28-A5F7-F324-5760BDB9390A}"/>
              </a:ext>
            </a:extLst>
          </xdr:cNvPr>
          <xdr:cNvSpPr txBox="1"/>
        </xdr:nvSpPr>
        <xdr:spPr>
          <a:xfrm>
            <a:off x="219809" y="2535117"/>
            <a:ext cx="300403" cy="271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✓</a:t>
            </a:r>
          </a:p>
        </xdr:txBody>
      </xdr:sp>
      <xdr:sp macro="" textlink="">
        <xdr:nvSpPr>
          <xdr:cNvPr id="88" name="Shape 12">
            <a:extLst>
              <a:ext uri="{FF2B5EF4-FFF2-40B4-BE49-F238E27FC236}">
                <a16:creationId xmlns:a16="http://schemas.microsoft.com/office/drawing/2014/main" id="{E7F781F3-7FF3-5D6C-0079-4F140B2F4EE6}"/>
              </a:ext>
            </a:extLst>
          </xdr:cNvPr>
          <xdr:cNvSpPr/>
        </xdr:nvSpPr>
        <xdr:spPr>
          <a:xfrm>
            <a:off x="315057" y="2322575"/>
            <a:ext cx="76200" cy="254000"/>
          </a:xfrm>
          <a:custGeom>
            <a:avLst/>
            <a:gdLst/>
            <a:ahLst/>
            <a:cxnLst/>
            <a:rect l="0" t="0" r="0" b="0"/>
            <a:pathLst>
              <a:path w="76200" h="254000">
                <a:moveTo>
                  <a:pt x="31750" y="177800"/>
                </a:moveTo>
                <a:lnTo>
                  <a:pt x="0" y="177800"/>
                </a:lnTo>
                <a:lnTo>
                  <a:pt x="38100" y="254000"/>
                </a:lnTo>
                <a:lnTo>
                  <a:pt x="69850" y="190500"/>
                </a:lnTo>
                <a:lnTo>
                  <a:pt x="31750" y="190500"/>
                </a:lnTo>
                <a:lnTo>
                  <a:pt x="31750" y="177800"/>
                </a:lnTo>
                <a:close/>
              </a:path>
              <a:path w="76200" h="254000">
                <a:moveTo>
                  <a:pt x="44450" y="0"/>
                </a:moveTo>
                <a:lnTo>
                  <a:pt x="31750" y="0"/>
                </a:lnTo>
                <a:lnTo>
                  <a:pt x="31750" y="190500"/>
                </a:lnTo>
                <a:lnTo>
                  <a:pt x="44450" y="190500"/>
                </a:lnTo>
                <a:lnTo>
                  <a:pt x="44450" y="0"/>
                </a:lnTo>
                <a:close/>
              </a:path>
              <a:path w="76200" h="254000">
                <a:moveTo>
                  <a:pt x="76200" y="177800"/>
                </a:moveTo>
                <a:lnTo>
                  <a:pt x="44450" y="177800"/>
                </a:lnTo>
                <a:lnTo>
                  <a:pt x="44450" y="190500"/>
                </a:lnTo>
                <a:lnTo>
                  <a:pt x="69850" y="190500"/>
                </a:lnTo>
                <a:lnTo>
                  <a:pt x="76200" y="17780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>
    <xdr:from>
      <xdr:col>1</xdr:col>
      <xdr:colOff>85056</xdr:colOff>
      <xdr:row>2276</xdr:row>
      <xdr:rowOff>38870</xdr:rowOff>
    </xdr:from>
    <xdr:to>
      <xdr:col>3</xdr:col>
      <xdr:colOff>19113</xdr:colOff>
      <xdr:row>2279</xdr:row>
      <xdr:rowOff>2364</xdr:rowOff>
    </xdr:to>
    <xdr:grpSp>
      <xdr:nvGrpSpPr>
        <xdr:cNvPr id="89" name="Group 88">
          <a:extLst>
            <a:ext uri="{FF2B5EF4-FFF2-40B4-BE49-F238E27FC236}">
              <a16:creationId xmlns:a16="http://schemas.microsoft.com/office/drawing/2014/main" id="{3072A3DA-F47F-48F0-A8C4-DE37EFE3A8ED}"/>
            </a:ext>
          </a:extLst>
        </xdr:cNvPr>
        <xdr:cNvGrpSpPr/>
      </xdr:nvGrpSpPr>
      <xdr:grpSpPr>
        <a:xfrm>
          <a:off x="230830" y="345966992"/>
          <a:ext cx="358126" cy="480329"/>
          <a:chOff x="219809" y="2322575"/>
          <a:chExt cx="300403" cy="483638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D0103B48-A9BC-642D-4C70-D26A976F36E2}"/>
              </a:ext>
            </a:extLst>
          </xdr:cNvPr>
          <xdr:cNvSpPr txBox="1"/>
        </xdr:nvSpPr>
        <xdr:spPr>
          <a:xfrm>
            <a:off x="219809" y="2535117"/>
            <a:ext cx="300403" cy="271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✓</a:t>
            </a:r>
          </a:p>
        </xdr:txBody>
      </xdr:sp>
      <xdr:sp macro="" textlink="">
        <xdr:nvSpPr>
          <xdr:cNvPr id="91" name="Shape 12">
            <a:extLst>
              <a:ext uri="{FF2B5EF4-FFF2-40B4-BE49-F238E27FC236}">
                <a16:creationId xmlns:a16="http://schemas.microsoft.com/office/drawing/2014/main" id="{C59D976A-1094-1CE8-A2BB-A7C5F61D7333}"/>
              </a:ext>
            </a:extLst>
          </xdr:cNvPr>
          <xdr:cNvSpPr/>
        </xdr:nvSpPr>
        <xdr:spPr>
          <a:xfrm>
            <a:off x="315057" y="2322575"/>
            <a:ext cx="76200" cy="254000"/>
          </a:xfrm>
          <a:custGeom>
            <a:avLst/>
            <a:gdLst/>
            <a:ahLst/>
            <a:cxnLst/>
            <a:rect l="0" t="0" r="0" b="0"/>
            <a:pathLst>
              <a:path w="76200" h="254000">
                <a:moveTo>
                  <a:pt x="31750" y="177800"/>
                </a:moveTo>
                <a:lnTo>
                  <a:pt x="0" y="177800"/>
                </a:lnTo>
                <a:lnTo>
                  <a:pt x="38100" y="254000"/>
                </a:lnTo>
                <a:lnTo>
                  <a:pt x="69850" y="190500"/>
                </a:lnTo>
                <a:lnTo>
                  <a:pt x="31750" y="190500"/>
                </a:lnTo>
                <a:lnTo>
                  <a:pt x="31750" y="177800"/>
                </a:lnTo>
                <a:close/>
              </a:path>
              <a:path w="76200" h="254000">
                <a:moveTo>
                  <a:pt x="44450" y="0"/>
                </a:moveTo>
                <a:lnTo>
                  <a:pt x="31750" y="0"/>
                </a:lnTo>
                <a:lnTo>
                  <a:pt x="31750" y="190500"/>
                </a:lnTo>
                <a:lnTo>
                  <a:pt x="44450" y="190500"/>
                </a:lnTo>
                <a:lnTo>
                  <a:pt x="44450" y="0"/>
                </a:lnTo>
                <a:close/>
              </a:path>
              <a:path w="76200" h="254000">
                <a:moveTo>
                  <a:pt x="76200" y="177800"/>
                </a:moveTo>
                <a:lnTo>
                  <a:pt x="44450" y="177800"/>
                </a:lnTo>
                <a:lnTo>
                  <a:pt x="44450" y="190500"/>
                </a:lnTo>
                <a:lnTo>
                  <a:pt x="69850" y="190500"/>
                </a:lnTo>
                <a:lnTo>
                  <a:pt x="76200" y="17780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 editAs="oneCell">
    <xdr:from>
      <xdr:col>12</xdr:col>
      <xdr:colOff>33131</xdr:colOff>
      <xdr:row>63</xdr:row>
      <xdr:rowOff>19878</xdr:rowOff>
    </xdr:from>
    <xdr:to>
      <xdr:col>13</xdr:col>
      <xdr:colOff>119270</xdr:colOff>
      <xdr:row>67</xdr:row>
      <xdr:rowOff>72409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9ED86DFE-ABFB-D0B2-2752-EA02AD2E6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7827" y="8236226"/>
          <a:ext cx="344556" cy="64225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D3CF-FDE3-4C42-A997-7DD0ECAFB60F}">
  <sheetPr>
    <tabColor rgb="FF00B0F0"/>
  </sheetPr>
  <dimension ref="A1:P75"/>
  <sheetViews>
    <sheetView workbookViewId="0">
      <selection activeCell="C8" sqref="C8"/>
    </sheetView>
  </sheetViews>
  <sheetFormatPr defaultRowHeight="13.2" x14ac:dyDescent="0.25"/>
  <cols>
    <col min="1" max="1" width="4.44140625" style="65" customWidth="1"/>
    <col min="2" max="2" width="37.88671875" style="65" customWidth="1"/>
    <col min="3" max="3" width="19.44140625" style="65" customWidth="1"/>
    <col min="4" max="5" width="8.88671875" style="65" customWidth="1"/>
    <col min="6" max="6" width="6.6640625" style="65" customWidth="1"/>
    <col min="7" max="8" width="4.44140625" style="65" customWidth="1"/>
    <col min="9" max="9" width="10" style="65" customWidth="1"/>
    <col min="10" max="10" width="16.21875" style="65" customWidth="1"/>
    <col min="11" max="11" width="13.77734375" style="65" customWidth="1"/>
    <col min="12" max="12" width="9" style="65" bestFit="1" customWidth="1"/>
    <col min="13" max="13" width="10" style="65" customWidth="1"/>
    <col min="14" max="14" width="15" style="65" customWidth="1"/>
    <col min="15" max="15" width="4.109375" style="65" customWidth="1"/>
    <col min="16" max="16" width="30.33203125" style="65" customWidth="1"/>
    <col min="17" max="16384" width="8.88671875" style="65"/>
  </cols>
  <sheetData>
    <row r="1" spans="1:16" s="129" customFormat="1" ht="18" customHeight="1" x14ac:dyDescent="0.25">
      <c r="A1" s="127" t="s">
        <v>63</v>
      </c>
      <c r="B1" s="127"/>
      <c r="C1" s="127" t="s">
        <v>193</v>
      </c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8" t="s">
        <v>64</v>
      </c>
    </row>
    <row r="2" spans="1:16" s="129" customFormat="1" ht="18" customHeight="1" x14ac:dyDescent="0.25">
      <c r="A2" s="130" t="s">
        <v>65</v>
      </c>
      <c r="B2" s="131"/>
      <c r="C2" s="130" t="s">
        <v>197</v>
      </c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2">
        <v>46048.302245370003</v>
      </c>
    </row>
    <row r="3" spans="1:16" ht="42.6" customHeight="1" x14ac:dyDescent="0.25">
      <c r="A3" s="97" t="s">
        <v>0</v>
      </c>
      <c r="B3" s="97" t="s">
        <v>66</v>
      </c>
      <c r="C3" s="97" t="s">
        <v>67</v>
      </c>
      <c r="D3" s="97" t="s">
        <v>11</v>
      </c>
      <c r="E3" s="97" t="s">
        <v>68</v>
      </c>
      <c r="F3" s="136" t="s">
        <v>92</v>
      </c>
      <c r="G3" s="136"/>
      <c r="H3" s="136"/>
      <c r="I3" s="97" t="s">
        <v>69</v>
      </c>
      <c r="J3" s="97" t="s">
        <v>70</v>
      </c>
      <c r="K3" s="97" t="s">
        <v>71</v>
      </c>
      <c r="L3" s="97" t="s">
        <v>72</v>
      </c>
      <c r="M3" s="97" t="s">
        <v>73</v>
      </c>
      <c r="N3" s="97" t="s">
        <v>74</v>
      </c>
      <c r="P3" s="71" t="s">
        <v>103</v>
      </c>
    </row>
    <row r="4" spans="1:16" ht="13.95" customHeight="1" x14ac:dyDescent="0.25">
      <c r="A4" s="106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</row>
    <row r="5" spans="1:16" ht="17.399999999999999" customHeight="1" x14ac:dyDescent="0.25">
      <c r="A5" s="102"/>
      <c r="B5" s="107" t="s">
        <v>75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P5" s="137" t="s">
        <v>229</v>
      </c>
    </row>
    <row r="6" spans="1:16" ht="17.399999999999999" customHeight="1" x14ac:dyDescent="0.25">
      <c r="A6" s="104">
        <v>1</v>
      </c>
      <c r="B6" s="102" t="s">
        <v>109</v>
      </c>
      <c r="C6" s="104" t="s">
        <v>114</v>
      </c>
      <c r="D6" s="102" t="s">
        <v>26</v>
      </c>
      <c r="E6" s="104">
        <v>7.21</v>
      </c>
      <c r="F6" s="104">
        <v>2018</v>
      </c>
      <c r="G6" s="104">
        <v>10</v>
      </c>
      <c r="H6" s="124" t="s">
        <v>94</v>
      </c>
      <c r="I6" s="104" t="s">
        <v>76</v>
      </c>
      <c r="J6" s="102" t="s">
        <v>119</v>
      </c>
      <c r="K6" s="102" t="s">
        <v>120</v>
      </c>
      <c r="L6" s="102" t="s">
        <v>121</v>
      </c>
      <c r="M6" s="102" t="s">
        <v>77</v>
      </c>
      <c r="N6" s="125" t="s">
        <v>104</v>
      </c>
      <c r="P6" s="138"/>
    </row>
    <row r="7" spans="1:16" ht="17.399999999999999" customHeight="1" x14ac:dyDescent="0.25">
      <c r="A7" s="104">
        <v>2</v>
      </c>
      <c r="B7" s="102" t="s">
        <v>110</v>
      </c>
      <c r="C7" s="104" t="s">
        <v>115</v>
      </c>
      <c r="D7" s="102" t="s">
        <v>26</v>
      </c>
      <c r="E7" s="104">
        <v>7.21</v>
      </c>
      <c r="F7" s="104">
        <v>2018</v>
      </c>
      <c r="G7" s="104">
        <v>11</v>
      </c>
      <c r="H7" s="124" t="s">
        <v>95</v>
      </c>
      <c r="I7" s="104" t="s">
        <v>76</v>
      </c>
      <c r="J7" s="102" t="s">
        <v>119</v>
      </c>
      <c r="K7" s="102" t="s">
        <v>120</v>
      </c>
      <c r="L7" s="102" t="s">
        <v>121</v>
      </c>
      <c r="M7" s="102" t="s">
        <v>77</v>
      </c>
      <c r="N7" s="125" t="s">
        <v>104</v>
      </c>
      <c r="P7" s="138"/>
    </row>
    <row r="8" spans="1:16" ht="17.399999999999999" customHeight="1" x14ac:dyDescent="0.25">
      <c r="A8" s="104">
        <v>3</v>
      </c>
      <c r="B8" s="102" t="s">
        <v>111</v>
      </c>
      <c r="C8" s="104" t="s">
        <v>116</v>
      </c>
      <c r="D8" s="102" t="s">
        <v>26</v>
      </c>
      <c r="E8" s="104">
        <v>7.21</v>
      </c>
      <c r="F8" s="104">
        <v>2018</v>
      </c>
      <c r="G8" s="104">
        <v>12</v>
      </c>
      <c r="H8" s="124" t="s">
        <v>97</v>
      </c>
      <c r="I8" s="104" t="s">
        <v>76</v>
      </c>
      <c r="J8" s="102" t="s">
        <v>119</v>
      </c>
      <c r="K8" s="102" t="s">
        <v>120</v>
      </c>
      <c r="L8" s="102" t="s">
        <v>121</v>
      </c>
      <c r="M8" s="102" t="s">
        <v>77</v>
      </c>
      <c r="N8" s="125" t="s">
        <v>104</v>
      </c>
      <c r="P8" s="138"/>
    </row>
    <row r="9" spans="1:16" ht="17.399999999999999" customHeight="1" x14ac:dyDescent="0.25">
      <c r="A9" s="104">
        <v>4</v>
      </c>
      <c r="B9" s="102" t="s">
        <v>112</v>
      </c>
      <c r="C9" s="104" t="s">
        <v>117</v>
      </c>
      <c r="D9" s="102" t="s">
        <v>26</v>
      </c>
      <c r="E9" s="104">
        <v>7.21</v>
      </c>
      <c r="F9" s="104">
        <v>2018</v>
      </c>
      <c r="G9" s="104">
        <v>13</v>
      </c>
      <c r="H9" s="124" t="s">
        <v>101</v>
      </c>
      <c r="I9" s="104" t="s">
        <v>76</v>
      </c>
      <c r="J9" s="102" t="s">
        <v>119</v>
      </c>
      <c r="K9" s="102" t="s">
        <v>120</v>
      </c>
      <c r="L9" s="102" t="s">
        <v>121</v>
      </c>
      <c r="M9" s="102" t="s">
        <v>77</v>
      </c>
      <c r="N9" s="126" t="s">
        <v>108</v>
      </c>
      <c r="P9" s="138"/>
    </row>
    <row r="10" spans="1:16" ht="17.399999999999999" customHeight="1" x14ac:dyDescent="0.25">
      <c r="A10" s="104">
        <v>5</v>
      </c>
      <c r="B10" s="102" t="s">
        <v>113</v>
      </c>
      <c r="C10" s="104" t="s">
        <v>118</v>
      </c>
      <c r="D10" s="102" t="s">
        <v>27</v>
      </c>
      <c r="E10" s="104">
        <v>7.21</v>
      </c>
      <c r="F10" s="104">
        <v>2018</v>
      </c>
      <c r="G10" s="104">
        <v>14</v>
      </c>
      <c r="H10" s="124" t="s">
        <v>100</v>
      </c>
      <c r="I10" s="104" t="s">
        <v>76</v>
      </c>
      <c r="J10" s="102" t="s">
        <v>119</v>
      </c>
      <c r="K10" s="102" t="s">
        <v>120</v>
      </c>
      <c r="L10" s="102" t="s">
        <v>121</v>
      </c>
      <c r="M10" s="102" t="s">
        <v>77</v>
      </c>
      <c r="N10" s="126" t="s">
        <v>108</v>
      </c>
      <c r="P10" s="138"/>
    </row>
    <row r="11" spans="1:16" ht="17.399999999999999" customHeight="1" x14ac:dyDescent="0.25">
      <c r="A11" s="102"/>
      <c r="B11" s="107" t="s">
        <v>78</v>
      </c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P11" s="138"/>
    </row>
    <row r="12" spans="1:16" ht="17.399999999999999" customHeight="1" x14ac:dyDescent="0.25">
      <c r="A12" s="104">
        <v>6</v>
      </c>
      <c r="B12" s="102" t="s">
        <v>122</v>
      </c>
      <c r="C12" s="104" t="s">
        <v>127</v>
      </c>
      <c r="D12" s="102" t="s">
        <v>26</v>
      </c>
      <c r="E12" s="104">
        <v>9.6199999999999992</v>
      </c>
      <c r="F12" s="104">
        <v>2016</v>
      </c>
      <c r="G12" s="104" t="s">
        <v>93</v>
      </c>
      <c r="H12" s="104" t="s">
        <v>94</v>
      </c>
      <c r="I12" s="104" t="s">
        <v>79</v>
      </c>
      <c r="J12" s="102" t="s">
        <v>119</v>
      </c>
      <c r="K12" s="102" t="s">
        <v>120</v>
      </c>
      <c r="L12" s="102" t="s">
        <v>121</v>
      </c>
      <c r="M12" s="102" t="s">
        <v>77</v>
      </c>
      <c r="N12" s="125" t="s">
        <v>104</v>
      </c>
      <c r="P12" s="138"/>
    </row>
    <row r="13" spans="1:16" ht="17.399999999999999" customHeight="1" x14ac:dyDescent="0.25">
      <c r="A13" s="104">
        <v>7</v>
      </c>
      <c r="B13" s="102" t="s">
        <v>123</v>
      </c>
      <c r="C13" s="104" t="s">
        <v>128</v>
      </c>
      <c r="D13" s="102" t="s">
        <v>26</v>
      </c>
      <c r="E13" s="104">
        <v>9.6199999999999992</v>
      </c>
      <c r="F13" s="104">
        <v>2016</v>
      </c>
      <c r="G13" s="124" t="s">
        <v>99</v>
      </c>
      <c r="H13" s="104" t="s">
        <v>95</v>
      </c>
      <c r="I13" s="104" t="s">
        <v>79</v>
      </c>
      <c r="J13" s="102" t="s">
        <v>119</v>
      </c>
      <c r="K13" s="102" t="s">
        <v>120</v>
      </c>
      <c r="L13" s="102" t="s">
        <v>121</v>
      </c>
      <c r="M13" s="102" t="s">
        <v>77</v>
      </c>
      <c r="N13" s="125" t="s">
        <v>104</v>
      </c>
      <c r="P13" s="138"/>
    </row>
    <row r="14" spans="1:16" ht="17.399999999999999" customHeight="1" x14ac:dyDescent="0.25">
      <c r="A14" s="104">
        <v>8</v>
      </c>
      <c r="B14" s="102" t="s">
        <v>124</v>
      </c>
      <c r="C14" s="104" t="s">
        <v>129</v>
      </c>
      <c r="D14" s="102" t="s">
        <v>27</v>
      </c>
      <c r="E14" s="104">
        <v>9.6199999999999992</v>
      </c>
      <c r="F14" s="104">
        <v>2016</v>
      </c>
      <c r="G14" s="104" t="s">
        <v>98</v>
      </c>
      <c r="H14" s="104" t="s">
        <v>97</v>
      </c>
      <c r="I14" s="104" t="s">
        <v>79</v>
      </c>
      <c r="J14" s="102" t="s">
        <v>119</v>
      </c>
      <c r="K14" s="102" t="s">
        <v>120</v>
      </c>
      <c r="L14" s="102" t="s">
        <v>121</v>
      </c>
      <c r="M14" s="102" t="s">
        <v>77</v>
      </c>
      <c r="N14" s="125" t="s">
        <v>104</v>
      </c>
      <c r="P14" s="138"/>
    </row>
    <row r="15" spans="1:16" ht="17.399999999999999" customHeight="1" x14ac:dyDescent="0.25">
      <c r="A15" s="104">
        <v>9</v>
      </c>
      <c r="B15" s="102" t="s">
        <v>125</v>
      </c>
      <c r="C15" s="104" t="s">
        <v>130</v>
      </c>
      <c r="D15" s="102" t="s">
        <v>27</v>
      </c>
      <c r="E15" s="104">
        <v>9.6199999999999992</v>
      </c>
      <c r="F15" s="104">
        <v>2016</v>
      </c>
      <c r="G15" s="124" t="s">
        <v>96</v>
      </c>
      <c r="H15" s="104" t="s">
        <v>101</v>
      </c>
      <c r="I15" s="104" t="s">
        <v>79</v>
      </c>
      <c r="J15" s="102" t="s">
        <v>119</v>
      </c>
      <c r="K15" s="102" t="s">
        <v>120</v>
      </c>
      <c r="L15" s="102" t="s">
        <v>121</v>
      </c>
      <c r="M15" s="102" t="s">
        <v>77</v>
      </c>
      <c r="N15" s="125" t="s">
        <v>104</v>
      </c>
      <c r="P15" s="138"/>
    </row>
    <row r="16" spans="1:16" ht="17.399999999999999" customHeight="1" x14ac:dyDescent="0.25">
      <c r="A16" s="104">
        <v>10</v>
      </c>
      <c r="B16" s="102" t="s">
        <v>126</v>
      </c>
      <c r="C16" s="104" t="s">
        <v>131</v>
      </c>
      <c r="D16" s="102" t="s">
        <v>27</v>
      </c>
      <c r="E16" s="104">
        <v>9.6199999999999992</v>
      </c>
      <c r="F16" s="104">
        <v>2016</v>
      </c>
      <c r="G16" s="104" t="s">
        <v>132</v>
      </c>
      <c r="H16" s="104" t="s">
        <v>100</v>
      </c>
      <c r="I16" s="104" t="s">
        <v>79</v>
      </c>
      <c r="J16" s="102" t="s">
        <v>119</v>
      </c>
      <c r="K16" s="102" t="s">
        <v>120</v>
      </c>
      <c r="L16" s="102" t="s">
        <v>121</v>
      </c>
      <c r="M16" s="102" t="s">
        <v>77</v>
      </c>
      <c r="N16" s="125" t="s">
        <v>104</v>
      </c>
      <c r="P16" s="94"/>
    </row>
    <row r="17" spans="1:16" ht="17.399999999999999" customHeight="1" x14ac:dyDescent="0.25">
      <c r="A17" s="102"/>
      <c r="B17" s="107" t="s">
        <v>80</v>
      </c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P17" s="95" t="s">
        <v>198</v>
      </c>
    </row>
    <row r="18" spans="1:16" ht="17.399999999999999" customHeight="1" x14ac:dyDescent="0.25">
      <c r="A18" s="104">
        <v>11</v>
      </c>
      <c r="B18" s="102" t="s">
        <v>133</v>
      </c>
      <c r="C18" s="104" t="s">
        <v>148</v>
      </c>
      <c r="D18" s="102" t="s">
        <v>26</v>
      </c>
      <c r="E18" s="104">
        <v>7.21</v>
      </c>
      <c r="F18" s="104">
        <v>2018</v>
      </c>
      <c r="G18" s="104">
        <v>10</v>
      </c>
      <c r="H18" s="124" t="s">
        <v>94</v>
      </c>
      <c r="I18" s="104" t="s">
        <v>81</v>
      </c>
      <c r="J18" s="102" t="s">
        <v>119</v>
      </c>
      <c r="K18" s="102" t="s">
        <v>120</v>
      </c>
      <c r="L18" s="102" t="s">
        <v>121</v>
      </c>
      <c r="M18" s="102" t="s">
        <v>77</v>
      </c>
      <c r="N18" s="125" t="s">
        <v>104</v>
      </c>
      <c r="P18" s="78"/>
    </row>
    <row r="19" spans="1:16" ht="17.399999999999999" customHeight="1" x14ac:dyDescent="0.25">
      <c r="A19" s="104">
        <v>12</v>
      </c>
      <c r="B19" s="102" t="s">
        <v>134</v>
      </c>
      <c r="C19" s="104" t="s">
        <v>149</v>
      </c>
      <c r="D19" s="102" t="s">
        <v>26</v>
      </c>
      <c r="E19" s="104">
        <v>7.21</v>
      </c>
      <c r="F19" s="104">
        <v>2018</v>
      </c>
      <c r="G19" s="104">
        <v>11</v>
      </c>
      <c r="H19" s="124" t="s">
        <v>95</v>
      </c>
      <c r="I19" s="104" t="s">
        <v>81</v>
      </c>
      <c r="J19" s="102" t="s">
        <v>119</v>
      </c>
      <c r="K19" s="102" t="s">
        <v>120</v>
      </c>
      <c r="L19" s="102" t="s">
        <v>121</v>
      </c>
      <c r="M19" s="102" t="s">
        <v>77</v>
      </c>
      <c r="N19" s="125" t="s">
        <v>104</v>
      </c>
      <c r="P19" s="105" t="s">
        <v>104</v>
      </c>
    </row>
    <row r="20" spans="1:16" ht="17.399999999999999" customHeight="1" x14ac:dyDescent="0.25">
      <c r="A20" s="104">
        <v>13</v>
      </c>
      <c r="B20" s="102" t="s">
        <v>135</v>
      </c>
      <c r="C20" s="104" t="s">
        <v>150</v>
      </c>
      <c r="D20" s="102" t="s">
        <v>26</v>
      </c>
      <c r="E20" s="104">
        <v>7.21</v>
      </c>
      <c r="F20" s="104">
        <v>2018</v>
      </c>
      <c r="G20" s="104">
        <v>12</v>
      </c>
      <c r="H20" s="124" t="s">
        <v>97</v>
      </c>
      <c r="I20" s="104" t="s">
        <v>81</v>
      </c>
      <c r="J20" s="102" t="s">
        <v>119</v>
      </c>
      <c r="K20" s="102" t="s">
        <v>120</v>
      </c>
      <c r="L20" s="102" t="s">
        <v>121</v>
      </c>
      <c r="M20" s="102" t="s">
        <v>77</v>
      </c>
      <c r="N20" s="125" t="s">
        <v>104</v>
      </c>
      <c r="P20" s="113" t="s">
        <v>196</v>
      </c>
    </row>
    <row r="21" spans="1:16" ht="17.399999999999999" customHeight="1" x14ac:dyDescent="0.25">
      <c r="A21" s="104">
        <v>14</v>
      </c>
      <c r="B21" s="102" t="s">
        <v>136</v>
      </c>
      <c r="C21" s="104" t="s">
        <v>151</v>
      </c>
      <c r="D21" s="102" t="s">
        <v>26</v>
      </c>
      <c r="E21" s="104">
        <v>7.21</v>
      </c>
      <c r="F21" s="104">
        <v>2018</v>
      </c>
      <c r="G21" s="104">
        <v>13</v>
      </c>
      <c r="H21" s="124" t="s">
        <v>101</v>
      </c>
      <c r="I21" s="104" t="s">
        <v>81</v>
      </c>
      <c r="J21" s="102" t="s">
        <v>119</v>
      </c>
      <c r="K21" s="102" t="s">
        <v>120</v>
      </c>
      <c r="L21" s="102" t="s">
        <v>121</v>
      </c>
      <c r="M21" s="102" t="s">
        <v>77</v>
      </c>
      <c r="N21" s="125" t="s">
        <v>104</v>
      </c>
      <c r="P21" s="113" t="s">
        <v>108</v>
      </c>
    </row>
    <row r="22" spans="1:16" s="78" customFormat="1" ht="17.399999999999999" customHeight="1" x14ac:dyDescent="0.25">
      <c r="A22" s="104">
        <v>15</v>
      </c>
      <c r="B22" s="102" t="s">
        <v>137</v>
      </c>
      <c r="C22" s="104" t="s">
        <v>152</v>
      </c>
      <c r="D22" s="102" t="s">
        <v>27</v>
      </c>
      <c r="E22" s="104">
        <v>7.21</v>
      </c>
      <c r="F22" s="104">
        <v>2018</v>
      </c>
      <c r="G22" s="104">
        <v>14</v>
      </c>
      <c r="H22" s="124" t="s">
        <v>100</v>
      </c>
      <c r="I22" s="104" t="s">
        <v>81</v>
      </c>
      <c r="J22" s="102" t="s">
        <v>119</v>
      </c>
      <c r="K22" s="102" t="s">
        <v>120</v>
      </c>
      <c r="L22" s="102" t="s">
        <v>121</v>
      </c>
      <c r="M22" s="102" t="s">
        <v>77</v>
      </c>
      <c r="N22" s="126" t="s">
        <v>108</v>
      </c>
      <c r="P22" s="94"/>
    </row>
    <row r="23" spans="1:16" ht="17.399999999999999" customHeight="1" x14ac:dyDescent="0.25">
      <c r="A23" s="102"/>
      <c r="B23" s="108" t="s">
        <v>82</v>
      </c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P23" s="94"/>
    </row>
    <row r="24" spans="1:16" ht="17.399999999999999" customHeight="1" x14ac:dyDescent="0.25">
      <c r="A24" s="104">
        <v>16</v>
      </c>
      <c r="B24" s="102" t="s">
        <v>138</v>
      </c>
      <c r="C24" s="104" t="s">
        <v>153</v>
      </c>
      <c r="D24" s="102" t="s">
        <v>26</v>
      </c>
      <c r="E24" s="104">
        <v>9.6199999999999992</v>
      </c>
      <c r="F24" s="104">
        <v>2016</v>
      </c>
      <c r="G24" s="104" t="s">
        <v>93</v>
      </c>
      <c r="H24" s="104" t="s">
        <v>94</v>
      </c>
      <c r="I24" s="104" t="s">
        <v>83</v>
      </c>
      <c r="J24" s="102" t="s">
        <v>119</v>
      </c>
      <c r="K24" s="102" t="s">
        <v>120</v>
      </c>
      <c r="L24" s="102" t="s">
        <v>121</v>
      </c>
      <c r="M24" s="102" t="s">
        <v>77</v>
      </c>
      <c r="N24" s="125" t="s">
        <v>104</v>
      </c>
      <c r="P24" s="138" t="s">
        <v>244</v>
      </c>
    </row>
    <row r="25" spans="1:16" ht="17.399999999999999" customHeight="1" x14ac:dyDescent="0.25">
      <c r="A25" s="104">
        <v>17</v>
      </c>
      <c r="B25" s="102" t="s">
        <v>139</v>
      </c>
      <c r="C25" s="104" t="s">
        <v>154</v>
      </c>
      <c r="D25" s="102" t="s">
        <v>26</v>
      </c>
      <c r="E25" s="104">
        <v>9.6199999999999992</v>
      </c>
      <c r="F25" s="104">
        <v>2016</v>
      </c>
      <c r="G25" s="124" t="s">
        <v>99</v>
      </c>
      <c r="H25" s="104" t="s">
        <v>95</v>
      </c>
      <c r="I25" s="104" t="s">
        <v>83</v>
      </c>
      <c r="J25" s="102" t="s">
        <v>119</v>
      </c>
      <c r="K25" s="102" t="s">
        <v>120</v>
      </c>
      <c r="L25" s="102" t="s">
        <v>121</v>
      </c>
      <c r="M25" s="102" t="s">
        <v>77</v>
      </c>
      <c r="N25" s="125" t="s">
        <v>104</v>
      </c>
      <c r="P25" s="138"/>
    </row>
    <row r="26" spans="1:16" ht="17.399999999999999" customHeight="1" x14ac:dyDescent="0.25">
      <c r="A26" s="104">
        <v>18</v>
      </c>
      <c r="B26" s="102" t="s">
        <v>140</v>
      </c>
      <c r="C26" s="104" t="s">
        <v>155</v>
      </c>
      <c r="D26" s="102" t="s">
        <v>27</v>
      </c>
      <c r="E26" s="104">
        <v>9.6199999999999992</v>
      </c>
      <c r="F26" s="104">
        <v>2016</v>
      </c>
      <c r="G26" s="104" t="s">
        <v>98</v>
      </c>
      <c r="H26" s="104" t="s">
        <v>97</v>
      </c>
      <c r="I26" s="104" t="s">
        <v>83</v>
      </c>
      <c r="J26" s="102" t="s">
        <v>119</v>
      </c>
      <c r="K26" s="102" t="s">
        <v>120</v>
      </c>
      <c r="L26" s="102" t="s">
        <v>121</v>
      </c>
      <c r="M26" s="102" t="s">
        <v>77</v>
      </c>
      <c r="N26" s="125" t="s">
        <v>104</v>
      </c>
      <c r="P26" s="138"/>
    </row>
    <row r="27" spans="1:16" ht="17.399999999999999" customHeight="1" x14ac:dyDescent="0.25">
      <c r="A27" s="104">
        <v>19</v>
      </c>
      <c r="B27" s="102" t="s">
        <v>141</v>
      </c>
      <c r="C27" s="104" t="s">
        <v>156</v>
      </c>
      <c r="D27" s="102" t="s">
        <v>27</v>
      </c>
      <c r="E27" s="104">
        <v>9.6199999999999992</v>
      </c>
      <c r="F27" s="104">
        <v>2016</v>
      </c>
      <c r="G27" s="124" t="s">
        <v>96</v>
      </c>
      <c r="H27" s="104" t="s">
        <v>101</v>
      </c>
      <c r="I27" s="104" t="s">
        <v>83</v>
      </c>
      <c r="J27" s="102" t="s">
        <v>119</v>
      </c>
      <c r="K27" s="102" t="s">
        <v>120</v>
      </c>
      <c r="L27" s="102" t="s">
        <v>121</v>
      </c>
      <c r="M27" s="102" t="s">
        <v>77</v>
      </c>
      <c r="N27" s="125" t="s">
        <v>104</v>
      </c>
      <c r="P27" s="138"/>
    </row>
    <row r="28" spans="1:16" ht="17.399999999999999" customHeight="1" x14ac:dyDescent="0.25">
      <c r="A28" s="104">
        <v>20</v>
      </c>
      <c r="B28" s="102" t="s">
        <v>142</v>
      </c>
      <c r="C28" s="104" t="s">
        <v>157</v>
      </c>
      <c r="D28" s="102" t="s">
        <v>27</v>
      </c>
      <c r="E28" s="104">
        <v>9.6199999999999992</v>
      </c>
      <c r="F28" s="104">
        <v>2016</v>
      </c>
      <c r="G28" s="104" t="s">
        <v>132</v>
      </c>
      <c r="H28" s="104" t="s">
        <v>100</v>
      </c>
      <c r="I28" s="104" t="s">
        <v>83</v>
      </c>
      <c r="J28" s="102" t="s">
        <v>119</v>
      </c>
      <c r="K28" s="102" t="s">
        <v>120</v>
      </c>
      <c r="L28" s="102" t="s">
        <v>121</v>
      </c>
      <c r="M28" s="102" t="s">
        <v>77</v>
      </c>
      <c r="N28" s="125" t="s">
        <v>104</v>
      </c>
      <c r="P28" s="138"/>
    </row>
    <row r="29" spans="1:16" ht="17.399999999999999" customHeight="1" x14ac:dyDescent="0.25">
      <c r="A29" s="102"/>
      <c r="B29" s="109" t="s">
        <v>84</v>
      </c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P29" s="138"/>
    </row>
    <row r="30" spans="1:16" ht="17.399999999999999" customHeight="1" x14ac:dyDescent="0.25">
      <c r="A30" s="104">
        <v>21</v>
      </c>
      <c r="B30" s="102" t="s">
        <v>143</v>
      </c>
      <c r="C30" s="104" t="s">
        <v>158</v>
      </c>
      <c r="D30" s="102" t="s">
        <v>26</v>
      </c>
      <c r="E30" s="104">
        <v>19.23</v>
      </c>
      <c r="F30" s="104">
        <v>2018</v>
      </c>
      <c r="G30" s="104">
        <v>10</v>
      </c>
      <c r="H30" s="124" t="s">
        <v>94</v>
      </c>
      <c r="I30" s="104" t="s">
        <v>85</v>
      </c>
      <c r="J30" s="102" t="s">
        <v>119</v>
      </c>
      <c r="K30" s="102" t="s">
        <v>120</v>
      </c>
      <c r="L30" s="102" t="s">
        <v>121</v>
      </c>
      <c r="M30" s="102" t="s">
        <v>77</v>
      </c>
      <c r="N30" s="125" t="s">
        <v>104</v>
      </c>
      <c r="P30" s="138"/>
    </row>
    <row r="31" spans="1:16" ht="17.399999999999999" customHeight="1" x14ac:dyDescent="0.25">
      <c r="A31" s="104">
        <v>22</v>
      </c>
      <c r="B31" s="102" t="s">
        <v>144</v>
      </c>
      <c r="C31" s="104" t="s">
        <v>159</v>
      </c>
      <c r="D31" s="102" t="s">
        <v>26</v>
      </c>
      <c r="E31" s="104">
        <v>8.57</v>
      </c>
      <c r="F31" s="104">
        <v>2018</v>
      </c>
      <c r="G31" s="104">
        <v>11</v>
      </c>
      <c r="H31" s="124" t="s">
        <v>95</v>
      </c>
      <c r="I31" s="104" t="s">
        <v>85</v>
      </c>
      <c r="J31" s="102" t="s">
        <v>119</v>
      </c>
      <c r="K31" s="102" t="s">
        <v>120</v>
      </c>
      <c r="L31" s="102" t="s">
        <v>121</v>
      </c>
      <c r="M31" s="102" t="s">
        <v>77</v>
      </c>
      <c r="N31" s="125" t="s">
        <v>104</v>
      </c>
      <c r="P31" s="138"/>
    </row>
    <row r="32" spans="1:16" ht="17.399999999999999" customHeight="1" x14ac:dyDescent="0.25">
      <c r="A32" s="104">
        <v>23</v>
      </c>
      <c r="B32" s="102" t="s">
        <v>145</v>
      </c>
      <c r="C32" s="104" t="s">
        <v>160</v>
      </c>
      <c r="D32" s="102" t="s">
        <v>26</v>
      </c>
      <c r="E32" s="104">
        <v>19.52</v>
      </c>
      <c r="F32" s="104">
        <v>2018</v>
      </c>
      <c r="G32" s="104">
        <v>12</v>
      </c>
      <c r="H32" s="124" t="s">
        <v>97</v>
      </c>
      <c r="I32" s="104" t="s">
        <v>85</v>
      </c>
      <c r="J32" s="102" t="s">
        <v>119</v>
      </c>
      <c r="K32" s="102" t="s">
        <v>120</v>
      </c>
      <c r="L32" s="102" t="s">
        <v>121</v>
      </c>
      <c r="M32" s="102" t="s">
        <v>77</v>
      </c>
      <c r="N32" s="125" t="s">
        <v>104</v>
      </c>
      <c r="P32" s="138"/>
    </row>
    <row r="33" spans="1:16" ht="17.399999999999999" customHeight="1" x14ac:dyDescent="0.25">
      <c r="A33" s="104">
        <v>24</v>
      </c>
      <c r="B33" s="102" t="s">
        <v>146</v>
      </c>
      <c r="C33" s="104" t="s">
        <v>161</v>
      </c>
      <c r="D33" s="102" t="s">
        <v>26</v>
      </c>
      <c r="E33" s="104">
        <v>20.53</v>
      </c>
      <c r="F33" s="104">
        <v>2018</v>
      </c>
      <c r="G33" s="104">
        <v>13</v>
      </c>
      <c r="H33" s="124" t="s">
        <v>101</v>
      </c>
      <c r="I33" s="104" t="s">
        <v>85</v>
      </c>
      <c r="J33" s="102" t="s">
        <v>119</v>
      </c>
      <c r="K33" s="102" t="s">
        <v>120</v>
      </c>
      <c r="L33" s="102" t="s">
        <v>121</v>
      </c>
      <c r="M33" s="102" t="s">
        <v>77</v>
      </c>
      <c r="N33" s="126" t="s">
        <v>108</v>
      </c>
      <c r="P33" s="138"/>
    </row>
    <row r="34" spans="1:16" s="78" customFormat="1" ht="17.399999999999999" customHeight="1" x14ac:dyDescent="0.25">
      <c r="A34" s="104">
        <v>25</v>
      </c>
      <c r="B34" s="102" t="s">
        <v>147</v>
      </c>
      <c r="C34" s="104" t="s">
        <v>162</v>
      </c>
      <c r="D34" s="102" t="s">
        <v>27</v>
      </c>
      <c r="E34" s="104">
        <v>19.59</v>
      </c>
      <c r="F34" s="104">
        <v>2018</v>
      </c>
      <c r="G34" s="104">
        <v>14</v>
      </c>
      <c r="H34" s="124" t="s">
        <v>100</v>
      </c>
      <c r="I34" s="104" t="s">
        <v>85</v>
      </c>
      <c r="J34" s="102" t="s">
        <v>119</v>
      </c>
      <c r="K34" s="102" t="s">
        <v>120</v>
      </c>
      <c r="L34" s="102" t="s">
        <v>121</v>
      </c>
      <c r="M34" s="102" t="s">
        <v>77</v>
      </c>
      <c r="N34" s="126" t="s">
        <v>108</v>
      </c>
      <c r="P34" s="138"/>
    </row>
    <row r="35" spans="1:16" ht="17.399999999999999" customHeight="1" x14ac:dyDescent="0.25">
      <c r="A35" s="102"/>
      <c r="B35" s="110" t="s">
        <v>86</v>
      </c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P35" s="138"/>
    </row>
    <row r="36" spans="1:16" ht="17.399999999999999" customHeight="1" x14ac:dyDescent="0.25">
      <c r="A36" s="104">
        <v>26</v>
      </c>
      <c r="B36" s="102" t="s">
        <v>163</v>
      </c>
      <c r="C36" s="104" t="s">
        <v>168</v>
      </c>
      <c r="D36" s="102" t="s">
        <v>26</v>
      </c>
      <c r="E36" s="104">
        <v>13.46</v>
      </c>
      <c r="F36" s="104">
        <v>2012</v>
      </c>
      <c r="G36" s="104" t="s">
        <v>99</v>
      </c>
      <c r="H36" s="104">
        <v>29</v>
      </c>
      <c r="I36" s="104" t="s">
        <v>87</v>
      </c>
      <c r="J36" s="102" t="s">
        <v>119</v>
      </c>
      <c r="K36" s="102" t="s">
        <v>120</v>
      </c>
      <c r="L36" s="102" t="s">
        <v>121</v>
      </c>
      <c r="M36" s="102" t="s">
        <v>77</v>
      </c>
      <c r="N36" s="125" t="s">
        <v>104</v>
      </c>
      <c r="P36" s="138"/>
    </row>
    <row r="37" spans="1:16" ht="17.399999999999999" customHeight="1" x14ac:dyDescent="0.25">
      <c r="A37" s="104">
        <v>27</v>
      </c>
      <c r="B37" s="102" t="s">
        <v>164</v>
      </c>
      <c r="C37" s="104" t="s">
        <v>169</v>
      </c>
      <c r="D37" s="102" t="s">
        <v>26</v>
      </c>
      <c r="E37" s="104">
        <v>36.22</v>
      </c>
      <c r="F37" s="104">
        <v>1989</v>
      </c>
      <c r="G37" s="104">
        <v>10</v>
      </c>
      <c r="H37" s="104">
        <v>30</v>
      </c>
      <c r="I37" s="104" t="s">
        <v>87</v>
      </c>
      <c r="J37" s="102" t="s">
        <v>119</v>
      </c>
      <c r="K37" s="102" t="s">
        <v>120</v>
      </c>
      <c r="L37" s="102" t="s">
        <v>121</v>
      </c>
      <c r="M37" s="102" t="s">
        <v>77</v>
      </c>
      <c r="N37" s="125" t="s">
        <v>104</v>
      </c>
      <c r="P37" s="78"/>
    </row>
    <row r="38" spans="1:16" ht="17.399999999999999" customHeight="1" x14ac:dyDescent="0.25">
      <c r="A38" s="104">
        <v>28</v>
      </c>
      <c r="B38" s="102" t="s">
        <v>165</v>
      </c>
      <c r="C38" s="104" t="s">
        <v>170</v>
      </c>
      <c r="D38" s="102" t="s">
        <v>26</v>
      </c>
      <c r="E38" s="104">
        <v>36.840000000000003</v>
      </c>
      <c r="F38" s="104">
        <v>1989</v>
      </c>
      <c r="G38" s="104" t="s">
        <v>97</v>
      </c>
      <c r="H38" s="104">
        <v>18</v>
      </c>
      <c r="I38" s="104" t="s">
        <v>87</v>
      </c>
      <c r="J38" s="102" t="s">
        <v>119</v>
      </c>
      <c r="K38" s="102" t="s">
        <v>120</v>
      </c>
      <c r="L38" s="102" t="s">
        <v>121</v>
      </c>
      <c r="M38" s="102" t="s">
        <v>77</v>
      </c>
      <c r="N38" s="125" t="s">
        <v>104</v>
      </c>
      <c r="P38" s="78"/>
    </row>
    <row r="39" spans="1:16" ht="17.399999999999999" customHeight="1" x14ac:dyDescent="0.25">
      <c r="A39" s="104">
        <v>29</v>
      </c>
      <c r="B39" s="102" t="s">
        <v>166</v>
      </c>
      <c r="C39" s="104" t="s">
        <v>171</v>
      </c>
      <c r="D39" s="102" t="s">
        <v>27</v>
      </c>
      <c r="E39" s="104">
        <v>15.31</v>
      </c>
      <c r="F39" s="104">
        <v>2010</v>
      </c>
      <c r="G39" s="104" t="s">
        <v>96</v>
      </c>
      <c r="H39" s="104">
        <v>24</v>
      </c>
      <c r="I39" s="104" t="s">
        <v>87</v>
      </c>
      <c r="J39" s="102" t="s">
        <v>119</v>
      </c>
      <c r="K39" s="102" t="s">
        <v>120</v>
      </c>
      <c r="L39" s="102" t="s">
        <v>121</v>
      </c>
      <c r="M39" s="102" t="s">
        <v>77</v>
      </c>
      <c r="N39" s="125" t="s">
        <v>104</v>
      </c>
      <c r="P39" s="78"/>
    </row>
    <row r="40" spans="1:16" ht="17.399999999999999" customHeight="1" x14ac:dyDescent="0.25">
      <c r="A40" s="104">
        <v>30</v>
      </c>
      <c r="B40" s="102" t="s">
        <v>167</v>
      </c>
      <c r="C40" s="104" t="s">
        <v>172</v>
      </c>
      <c r="D40" s="102" t="s">
        <v>27</v>
      </c>
      <c r="E40" s="104">
        <v>19.850000000000001</v>
      </c>
      <c r="F40" s="104">
        <v>2006</v>
      </c>
      <c r="G40" s="104" t="s">
        <v>97</v>
      </c>
      <c r="H40" s="104">
        <v>11</v>
      </c>
      <c r="I40" s="104" t="s">
        <v>87</v>
      </c>
      <c r="J40" s="102" t="s">
        <v>119</v>
      </c>
      <c r="K40" s="102" t="s">
        <v>120</v>
      </c>
      <c r="L40" s="102" t="s">
        <v>121</v>
      </c>
      <c r="M40" s="102" t="s">
        <v>77</v>
      </c>
      <c r="N40" s="125" t="s">
        <v>104</v>
      </c>
    </row>
    <row r="41" spans="1:16" ht="17.399999999999999" customHeight="1" x14ac:dyDescent="0.25">
      <c r="A41" s="102"/>
      <c r="B41" s="111" t="s">
        <v>88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</row>
    <row r="42" spans="1:16" ht="17.399999999999999" customHeight="1" x14ac:dyDescent="0.25">
      <c r="A42" s="104">
        <v>31</v>
      </c>
      <c r="B42" s="102" t="s">
        <v>173</v>
      </c>
      <c r="C42" s="104" t="s">
        <v>183</v>
      </c>
      <c r="D42" s="102" t="s">
        <v>26</v>
      </c>
      <c r="E42" s="104">
        <v>12.94</v>
      </c>
      <c r="F42" s="104">
        <v>2013</v>
      </c>
      <c r="G42" s="104" t="s">
        <v>95</v>
      </c>
      <c r="H42" s="104" t="s">
        <v>101</v>
      </c>
      <c r="I42" s="104" t="s">
        <v>89</v>
      </c>
      <c r="J42" s="102" t="s">
        <v>119</v>
      </c>
      <c r="K42" s="102" t="s">
        <v>120</v>
      </c>
      <c r="L42" s="102" t="s">
        <v>121</v>
      </c>
      <c r="M42" s="102" t="s">
        <v>77</v>
      </c>
      <c r="N42" s="125" t="s">
        <v>104</v>
      </c>
    </row>
    <row r="43" spans="1:16" ht="17.399999999999999" customHeight="1" x14ac:dyDescent="0.25">
      <c r="A43" s="104">
        <v>32</v>
      </c>
      <c r="B43" s="102" t="s">
        <v>174</v>
      </c>
      <c r="C43" s="104" t="s">
        <v>188</v>
      </c>
      <c r="D43" s="102" t="s">
        <v>26</v>
      </c>
      <c r="E43" s="104">
        <v>13.65</v>
      </c>
      <c r="F43" s="104">
        <v>2012</v>
      </c>
      <c r="G43" s="104" t="s">
        <v>100</v>
      </c>
      <c r="H43" s="104">
        <v>20</v>
      </c>
      <c r="I43" s="104" t="s">
        <v>89</v>
      </c>
      <c r="J43" s="102" t="s">
        <v>119</v>
      </c>
      <c r="K43" s="102" t="s">
        <v>120</v>
      </c>
      <c r="L43" s="102" t="s">
        <v>121</v>
      </c>
      <c r="M43" s="102" t="s">
        <v>77</v>
      </c>
      <c r="N43" s="125" t="s">
        <v>104</v>
      </c>
    </row>
    <row r="44" spans="1:16" ht="17.399999999999999" customHeight="1" x14ac:dyDescent="0.25">
      <c r="A44" s="104">
        <v>33</v>
      </c>
      <c r="B44" s="102" t="s">
        <v>175</v>
      </c>
      <c r="C44" s="104" t="s">
        <v>189</v>
      </c>
      <c r="D44" s="102" t="s">
        <v>27</v>
      </c>
      <c r="E44" s="104">
        <v>16.82</v>
      </c>
      <c r="F44" s="104">
        <v>2009</v>
      </c>
      <c r="G44" s="104" t="s">
        <v>97</v>
      </c>
      <c r="H44" s="104">
        <v>20</v>
      </c>
      <c r="I44" s="104" t="s">
        <v>89</v>
      </c>
      <c r="J44" s="102" t="s">
        <v>119</v>
      </c>
      <c r="K44" s="102" t="s">
        <v>120</v>
      </c>
      <c r="L44" s="102" t="s">
        <v>121</v>
      </c>
      <c r="M44" s="102" t="s">
        <v>77</v>
      </c>
      <c r="N44" s="125" t="s">
        <v>104</v>
      </c>
    </row>
    <row r="45" spans="1:16" ht="17.399999999999999" customHeight="1" x14ac:dyDescent="0.25">
      <c r="A45" s="104">
        <v>34</v>
      </c>
      <c r="B45" s="102" t="s">
        <v>176</v>
      </c>
      <c r="C45" s="104" t="s">
        <v>190</v>
      </c>
      <c r="D45" s="102" t="s">
        <v>27</v>
      </c>
      <c r="E45" s="104">
        <v>21.69</v>
      </c>
      <c r="F45" s="104">
        <v>2004</v>
      </c>
      <c r="G45" s="104" t="s">
        <v>100</v>
      </c>
      <c r="H45" s="104">
        <v>10</v>
      </c>
      <c r="I45" s="104" t="s">
        <v>89</v>
      </c>
      <c r="J45" s="102" t="s">
        <v>119</v>
      </c>
      <c r="K45" s="102" t="s">
        <v>120</v>
      </c>
      <c r="L45" s="102" t="s">
        <v>121</v>
      </c>
      <c r="M45" s="102" t="s">
        <v>77</v>
      </c>
      <c r="N45" s="125" t="s">
        <v>104</v>
      </c>
    </row>
    <row r="46" spans="1:16" ht="17.399999999999999" customHeight="1" x14ac:dyDescent="0.25">
      <c r="A46" s="104">
        <v>35</v>
      </c>
      <c r="B46" s="102" t="s">
        <v>177</v>
      </c>
      <c r="C46" s="104" t="s">
        <v>191</v>
      </c>
      <c r="D46" s="102" t="s">
        <v>27</v>
      </c>
      <c r="E46" s="104">
        <v>22.63</v>
      </c>
      <c r="F46" s="104">
        <v>2003</v>
      </c>
      <c r="G46" s="104" t="s">
        <v>93</v>
      </c>
      <c r="H46" s="104" t="s">
        <v>95</v>
      </c>
      <c r="I46" s="104" t="s">
        <v>89</v>
      </c>
      <c r="J46" s="102" t="s">
        <v>119</v>
      </c>
      <c r="K46" s="102" t="s">
        <v>120</v>
      </c>
      <c r="L46" s="102" t="s">
        <v>121</v>
      </c>
      <c r="M46" s="102" t="s">
        <v>77</v>
      </c>
      <c r="N46" s="125" t="s">
        <v>104</v>
      </c>
    </row>
    <row r="47" spans="1:16" ht="17.399999999999999" customHeight="1" x14ac:dyDescent="0.25">
      <c r="A47" s="102"/>
      <c r="B47" s="112" t="s">
        <v>90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</row>
    <row r="48" spans="1:16" ht="17.399999999999999" customHeight="1" x14ac:dyDescent="0.25">
      <c r="A48" s="104">
        <v>36</v>
      </c>
      <c r="B48" s="102" t="s">
        <v>178</v>
      </c>
      <c r="C48" s="104" t="s">
        <v>192</v>
      </c>
      <c r="D48" s="102" t="s">
        <v>26</v>
      </c>
      <c r="E48" s="104">
        <v>18.3</v>
      </c>
      <c r="F48" s="104">
        <v>2007</v>
      </c>
      <c r="G48" s="104" t="s">
        <v>96</v>
      </c>
      <c r="H48" s="104">
        <v>28</v>
      </c>
      <c r="I48" s="104" t="s">
        <v>91</v>
      </c>
      <c r="J48" s="102" t="s">
        <v>119</v>
      </c>
      <c r="K48" s="102" t="s">
        <v>120</v>
      </c>
      <c r="L48" s="102" t="s">
        <v>121</v>
      </c>
      <c r="M48" s="102" t="s">
        <v>77</v>
      </c>
      <c r="N48" s="125" t="s">
        <v>104</v>
      </c>
    </row>
    <row r="49" spans="1:14" ht="17.399999999999999" customHeight="1" x14ac:dyDescent="0.25">
      <c r="A49" s="104">
        <v>37</v>
      </c>
      <c r="B49" s="102" t="s">
        <v>179</v>
      </c>
      <c r="C49" s="104" t="s">
        <v>184</v>
      </c>
      <c r="D49" s="102" t="s">
        <v>26</v>
      </c>
      <c r="E49" s="104">
        <v>12.94</v>
      </c>
      <c r="F49" s="104">
        <v>2013</v>
      </c>
      <c r="G49" s="104" t="s">
        <v>95</v>
      </c>
      <c r="H49" s="104" t="s">
        <v>101</v>
      </c>
      <c r="I49" s="104" t="s">
        <v>91</v>
      </c>
      <c r="J49" s="102" t="s">
        <v>119</v>
      </c>
      <c r="K49" s="102" t="s">
        <v>120</v>
      </c>
      <c r="L49" s="102" t="s">
        <v>121</v>
      </c>
      <c r="M49" s="102" t="s">
        <v>77</v>
      </c>
      <c r="N49" s="125" t="s">
        <v>104</v>
      </c>
    </row>
    <row r="50" spans="1:14" ht="17.399999999999999" customHeight="1" x14ac:dyDescent="0.25">
      <c r="A50" s="104">
        <v>38</v>
      </c>
      <c r="B50" s="102" t="s">
        <v>180</v>
      </c>
      <c r="C50" s="104" t="s">
        <v>185</v>
      </c>
      <c r="D50" s="102" t="s">
        <v>26</v>
      </c>
      <c r="E50" s="104">
        <v>13.65</v>
      </c>
      <c r="F50" s="104">
        <v>2012</v>
      </c>
      <c r="G50" s="104" t="s">
        <v>100</v>
      </c>
      <c r="H50" s="104">
        <v>20</v>
      </c>
      <c r="I50" s="104" t="s">
        <v>91</v>
      </c>
      <c r="J50" s="102" t="s">
        <v>119</v>
      </c>
      <c r="K50" s="102" t="s">
        <v>120</v>
      </c>
      <c r="L50" s="102" t="s">
        <v>121</v>
      </c>
      <c r="M50" s="102" t="s">
        <v>77</v>
      </c>
      <c r="N50" s="125" t="s">
        <v>104</v>
      </c>
    </row>
    <row r="51" spans="1:14" ht="17.399999999999999" customHeight="1" x14ac:dyDescent="0.25">
      <c r="A51" s="104">
        <v>39</v>
      </c>
      <c r="B51" s="102" t="s">
        <v>181</v>
      </c>
      <c r="C51" s="104" t="s">
        <v>186</v>
      </c>
      <c r="D51" s="102" t="s">
        <v>26</v>
      </c>
      <c r="E51" s="104">
        <v>16.82</v>
      </c>
      <c r="F51" s="104">
        <v>2009</v>
      </c>
      <c r="G51" s="104" t="s">
        <v>97</v>
      </c>
      <c r="H51" s="104">
        <v>20</v>
      </c>
      <c r="I51" s="104" t="s">
        <v>91</v>
      </c>
      <c r="J51" s="102" t="s">
        <v>119</v>
      </c>
      <c r="K51" s="102" t="s">
        <v>120</v>
      </c>
      <c r="L51" s="102" t="s">
        <v>121</v>
      </c>
      <c r="M51" s="102" t="s">
        <v>77</v>
      </c>
      <c r="N51" s="125" t="s">
        <v>104</v>
      </c>
    </row>
    <row r="52" spans="1:14" ht="17.399999999999999" customHeight="1" x14ac:dyDescent="0.25">
      <c r="A52" s="104">
        <v>40</v>
      </c>
      <c r="B52" s="102" t="s">
        <v>182</v>
      </c>
      <c r="C52" s="104" t="s">
        <v>187</v>
      </c>
      <c r="D52" s="102" t="s">
        <v>26</v>
      </c>
      <c r="E52" s="104">
        <v>21.69</v>
      </c>
      <c r="F52" s="104">
        <v>2004</v>
      </c>
      <c r="G52" s="104" t="s">
        <v>100</v>
      </c>
      <c r="H52" s="104">
        <v>10</v>
      </c>
      <c r="I52" s="104" t="s">
        <v>91</v>
      </c>
      <c r="J52" s="102" t="s">
        <v>119</v>
      </c>
      <c r="K52" s="102" t="s">
        <v>120</v>
      </c>
      <c r="L52" s="102" t="s">
        <v>121</v>
      </c>
      <c r="M52" s="102" t="s">
        <v>77</v>
      </c>
      <c r="N52" s="125" t="s">
        <v>104</v>
      </c>
    </row>
    <row r="53" spans="1:14" ht="13.95" customHeight="1" x14ac:dyDescent="0.25"/>
    <row r="54" spans="1:14" ht="13.8" x14ac:dyDescent="0.25">
      <c r="A54" s="123" t="s">
        <v>245</v>
      </c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80"/>
    </row>
    <row r="55" spans="1:14" ht="13.95" customHeight="1" x14ac:dyDescent="0.25"/>
    <row r="56" spans="1:14" ht="13.95" customHeight="1" x14ac:dyDescent="0.25"/>
    <row r="57" spans="1:14" ht="13.95" customHeight="1" x14ac:dyDescent="0.25"/>
    <row r="58" spans="1:14" ht="13.95" customHeight="1" x14ac:dyDescent="0.25"/>
    <row r="59" spans="1:14" ht="43.2" customHeight="1" x14ac:dyDescent="0.25"/>
    <row r="60" spans="1:14" ht="18.3" customHeight="1" x14ac:dyDescent="0.25"/>
    <row r="62" spans="1:14" ht="13.95" customHeight="1" x14ac:dyDescent="0.25"/>
    <row r="63" spans="1:14" ht="13.95" customHeight="1" x14ac:dyDescent="0.25"/>
    <row r="64" spans="1:14" ht="13.95" customHeight="1" x14ac:dyDescent="0.25"/>
    <row r="65" ht="13.95" customHeight="1" x14ac:dyDescent="0.25"/>
    <row r="66" ht="13.95" customHeight="1" x14ac:dyDescent="0.25"/>
    <row r="67" ht="13.95" customHeight="1" x14ac:dyDescent="0.25"/>
    <row r="68" ht="13.95" customHeight="1" x14ac:dyDescent="0.25"/>
    <row r="69" ht="13.95" customHeight="1" x14ac:dyDescent="0.25"/>
    <row r="70" ht="18.3" customHeight="1" x14ac:dyDescent="0.25"/>
    <row r="72" ht="13.95" customHeight="1" x14ac:dyDescent="0.25"/>
    <row r="73" ht="13.95" customHeight="1" x14ac:dyDescent="0.25"/>
    <row r="75" ht="40.049999999999997" customHeight="1" x14ac:dyDescent="0.25"/>
  </sheetData>
  <mergeCells count="3">
    <mergeCell ref="F3:H3"/>
    <mergeCell ref="P5:P15"/>
    <mergeCell ref="P24:P36"/>
  </mergeCells>
  <phoneticPr fontId="4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B1:X2341"/>
  <sheetViews>
    <sheetView showGridLines="0" tabSelected="1" view="pageBreakPreview" zoomScale="115" zoomScaleNormal="115" zoomScaleSheetLayoutView="115" workbookViewId="0">
      <selection activeCell="X2321" sqref="X2321"/>
    </sheetView>
  </sheetViews>
  <sheetFormatPr defaultRowHeight="13.2" x14ac:dyDescent="0.25"/>
  <cols>
    <col min="1" max="1" width="2.109375" customWidth="1"/>
    <col min="2" max="2" width="1.44140625" customWidth="1"/>
    <col min="3" max="3" width="4.77734375" customWidth="1"/>
    <col min="4" max="4" width="1.33203125" customWidth="1"/>
    <col min="5" max="5" width="6.77734375" customWidth="1"/>
    <col min="6" max="6" width="13.44140625" customWidth="1"/>
    <col min="7" max="7" width="9.44140625" customWidth="1"/>
    <col min="8" max="8" width="9.77734375" customWidth="1"/>
    <col min="9" max="10" width="10" customWidth="1"/>
    <col min="11" max="11" width="11.109375" customWidth="1"/>
    <col min="12" max="13" width="3.77734375" customWidth="1"/>
    <col min="14" max="14" width="5" customWidth="1"/>
    <col min="15" max="16" width="2.33203125" customWidth="1"/>
    <col min="17" max="17" width="4.44140625" customWidth="1"/>
    <col min="18" max="19" width="2.33203125" customWidth="1"/>
    <col min="20" max="20" width="3.21875" customWidth="1"/>
    <col min="21" max="21" width="6.109375" customWidth="1"/>
    <col min="22" max="22" width="8.109375" customWidth="1"/>
    <col min="23" max="23" width="3.77734375" customWidth="1"/>
    <col min="24" max="24" width="14.44140625" customWidth="1"/>
    <col min="25" max="28" width="7.6640625" customWidth="1"/>
  </cols>
  <sheetData>
    <row r="1" spans="2:24" ht="6.75" customHeight="1" x14ac:dyDescent="0.25"/>
    <row r="2" spans="2:24" ht="28.5" customHeight="1" x14ac:dyDescent="0.3">
      <c r="B2" s="193" t="s">
        <v>43</v>
      </c>
      <c r="C2" s="193"/>
      <c r="D2" s="193"/>
      <c r="E2" s="194"/>
      <c r="F2" s="194"/>
      <c r="G2" s="194"/>
      <c r="H2" s="194"/>
      <c r="I2" s="2"/>
      <c r="J2" s="2"/>
      <c r="K2" s="13" t="s">
        <v>25</v>
      </c>
      <c r="L2" s="195" t="s">
        <v>14</v>
      </c>
      <c r="M2" s="196"/>
      <c r="N2" s="196"/>
      <c r="O2" s="196"/>
      <c r="P2" s="196"/>
      <c r="Q2" s="196"/>
      <c r="R2" s="196"/>
      <c r="S2" s="196"/>
      <c r="T2" s="196"/>
      <c r="U2" s="196"/>
      <c r="V2" s="197"/>
      <c r="X2" s="79" t="s">
        <v>194</v>
      </c>
    </row>
    <row r="3" spans="2:24" ht="26.25" customHeight="1" x14ac:dyDescent="0.4">
      <c r="B3" s="39" t="s">
        <v>44</v>
      </c>
      <c r="C3" s="39"/>
      <c r="D3" s="39"/>
      <c r="E3" s="2"/>
      <c r="F3" s="2"/>
      <c r="G3" s="2"/>
      <c r="H3" s="2"/>
      <c r="I3" s="2"/>
      <c r="J3" s="2"/>
      <c r="K3" s="29" t="s">
        <v>13</v>
      </c>
      <c r="L3" s="15">
        <v>4</v>
      </c>
      <c r="M3" s="16">
        <v>1</v>
      </c>
      <c r="N3" s="15">
        <v>0</v>
      </c>
      <c r="O3" s="198">
        <v>0</v>
      </c>
      <c r="P3" s="199"/>
      <c r="Q3" s="14">
        <v>0</v>
      </c>
      <c r="R3" s="200">
        <v>1</v>
      </c>
      <c r="S3" s="201"/>
      <c r="T3" s="6"/>
      <c r="U3" s="6"/>
      <c r="V3" s="7"/>
      <c r="X3" s="1"/>
    </row>
    <row r="4" spans="2:24" ht="21" customHeight="1" x14ac:dyDescent="0.25">
      <c r="B4" s="26" t="s">
        <v>45</v>
      </c>
      <c r="C4" s="26"/>
      <c r="D4" s="26"/>
      <c r="E4" s="25"/>
      <c r="F4" s="25"/>
      <c r="G4" s="25"/>
      <c r="H4" s="25"/>
      <c r="I4" s="25"/>
      <c r="J4" s="25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X4" s="69" t="s">
        <v>102</v>
      </c>
    </row>
    <row r="5" spans="2:24" ht="13.5" customHeight="1" x14ac:dyDescent="0.25">
      <c r="B5" s="40" t="s">
        <v>24</v>
      </c>
      <c r="C5" s="40"/>
      <c r="D5" s="40"/>
      <c r="E5" s="25"/>
      <c r="F5" s="25"/>
      <c r="G5" s="25"/>
      <c r="H5" s="25"/>
      <c r="I5" s="25"/>
      <c r="J5" s="25"/>
      <c r="K5" s="28" t="s">
        <v>6</v>
      </c>
      <c r="L5" s="208">
        <v>2026</v>
      </c>
      <c r="M5" s="209"/>
      <c r="N5" s="204" t="s">
        <v>15</v>
      </c>
      <c r="O5" s="204"/>
      <c r="P5" s="204"/>
      <c r="Q5" s="210">
        <v>1</v>
      </c>
      <c r="R5" s="211"/>
      <c r="S5" s="207" t="s">
        <v>16</v>
      </c>
      <c r="T5" s="204"/>
      <c r="U5" s="87">
        <v>5</v>
      </c>
      <c r="V5" s="63"/>
      <c r="X5" s="68" t="s">
        <v>199</v>
      </c>
    </row>
    <row r="6" spans="2:24" ht="8.25" customHeight="1" x14ac:dyDescent="0.25"/>
    <row r="7" spans="2:24" ht="11.25" customHeight="1" x14ac:dyDescent="0.25">
      <c r="B7" s="24" t="s">
        <v>17</v>
      </c>
      <c r="C7" s="24"/>
      <c r="D7" s="24"/>
      <c r="X7" s="68" t="s">
        <v>202</v>
      </c>
    </row>
    <row r="8" spans="2:24" ht="11.25" customHeight="1" x14ac:dyDescent="0.25">
      <c r="B8" s="8" t="s">
        <v>18</v>
      </c>
      <c r="C8" s="8"/>
      <c r="D8" s="8"/>
    </row>
    <row r="9" spans="2:24" ht="5.25" customHeight="1" x14ac:dyDescent="0.25">
      <c r="B9" s="8"/>
      <c r="C9" s="8"/>
      <c r="D9" s="8"/>
    </row>
    <row r="10" spans="2:24" x14ac:dyDescent="0.25">
      <c r="B10" s="179" t="s">
        <v>19</v>
      </c>
      <c r="C10" s="179"/>
      <c r="D10" s="179"/>
      <c r="E10" s="179"/>
      <c r="F10" s="179"/>
      <c r="G10" s="18" t="s">
        <v>6</v>
      </c>
      <c r="H10" s="88">
        <f>$L$5</f>
        <v>2026</v>
      </c>
      <c r="I10" s="9" t="s">
        <v>15</v>
      </c>
      <c r="J10" s="89">
        <f>$Q$5</f>
        <v>1</v>
      </c>
      <c r="K10" s="9" t="s">
        <v>16</v>
      </c>
      <c r="L10" s="212">
        <f>$U$5</f>
        <v>5</v>
      </c>
      <c r="M10" s="213"/>
      <c r="X10" s="68" t="s">
        <v>203</v>
      </c>
    </row>
    <row r="11" spans="2:24" ht="4.8" customHeight="1" x14ac:dyDescent="0.25">
      <c r="B11" s="8"/>
      <c r="C11" s="8"/>
      <c r="D11" s="8"/>
      <c r="E11" s="8"/>
      <c r="F11" s="8"/>
      <c r="G11" s="19"/>
      <c r="H11" s="20"/>
      <c r="I11" s="21"/>
      <c r="J11" s="20"/>
      <c r="K11" s="10"/>
      <c r="L11" s="22"/>
      <c r="X11" s="32"/>
    </row>
    <row r="12" spans="2:24" ht="14.4" customHeight="1" x14ac:dyDescent="0.25">
      <c r="B12" s="23" t="s">
        <v>20</v>
      </c>
      <c r="C12" s="23"/>
      <c r="D12" s="23"/>
      <c r="X12" s="32"/>
    </row>
    <row r="13" spans="2:24" ht="14.4" customHeight="1" x14ac:dyDescent="0.25">
      <c r="B13" s="58" t="s">
        <v>21</v>
      </c>
      <c r="C13" s="11"/>
      <c r="D13" s="11"/>
      <c r="E13" s="8" t="s">
        <v>22</v>
      </c>
      <c r="X13" s="32"/>
    </row>
    <row r="14" spans="2:24" ht="14.4" customHeight="1" x14ac:dyDescent="0.25">
      <c r="B14" s="8"/>
      <c r="C14" s="8"/>
      <c r="D14" s="8"/>
      <c r="E14" s="8" t="s">
        <v>23</v>
      </c>
      <c r="X14" s="164" t="s">
        <v>102</v>
      </c>
    </row>
    <row r="15" spans="2:24" ht="7.5" customHeight="1" x14ac:dyDescent="0.25">
      <c r="B15" s="8"/>
      <c r="C15" s="8"/>
      <c r="D15" s="8"/>
      <c r="X15" s="164"/>
    </row>
    <row r="16" spans="2:24" ht="17.25" customHeight="1" x14ac:dyDescent="0.25">
      <c r="B16" s="182"/>
      <c r="C16" s="59"/>
      <c r="D16" s="60"/>
      <c r="E16" s="184" t="s">
        <v>0</v>
      </c>
      <c r="F16" s="186" t="s">
        <v>1</v>
      </c>
      <c r="G16" s="187"/>
      <c r="H16" s="4"/>
      <c r="I16" s="4"/>
      <c r="J16" s="4"/>
      <c r="K16" s="5"/>
      <c r="L16" s="145" t="s">
        <v>3</v>
      </c>
      <c r="M16" s="142"/>
      <c r="N16" s="188" t="s">
        <v>10</v>
      </c>
      <c r="O16" s="188"/>
      <c r="P16" s="188"/>
      <c r="Q16" s="188"/>
      <c r="R16" s="188"/>
      <c r="S16" s="188"/>
      <c r="T16" s="188"/>
      <c r="U16" s="189"/>
      <c r="V16" s="3" t="s">
        <v>12</v>
      </c>
      <c r="X16" s="68" t="s">
        <v>200</v>
      </c>
    </row>
    <row r="17" spans="2:24" ht="17.25" customHeight="1" x14ac:dyDescent="0.25">
      <c r="B17" s="183"/>
      <c r="C17" s="61"/>
      <c r="D17" s="62"/>
      <c r="E17" s="185"/>
      <c r="F17" s="30" t="s">
        <v>2</v>
      </c>
      <c r="G17" s="17"/>
      <c r="H17" s="6"/>
      <c r="I17" s="6"/>
      <c r="J17" s="6"/>
      <c r="K17" s="7"/>
      <c r="L17" s="190" t="s">
        <v>4</v>
      </c>
      <c r="M17" s="191"/>
      <c r="N17" s="192" t="s">
        <v>9</v>
      </c>
      <c r="O17" s="192"/>
      <c r="P17" s="192"/>
      <c r="Q17" s="192"/>
      <c r="R17" s="192"/>
      <c r="S17" s="192"/>
      <c r="T17" s="192"/>
      <c r="U17" s="191"/>
      <c r="V17" s="31" t="s">
        <v>11</v>
      </c>
      <c r="X17" s="69"/>
    </row>
    <row r="18" spans="2:24" ht="10.95" customHeight="1" x14ac:dyDescent="0.25">
      <c r="B18" s="41"/>
      <c r="C18" s="51"/>
      <c r="D18" s="42"/>
      <c r="E18" s="154">
        <v>1</v>
      </c>
      <c r="F18" s="145" t="str">
        <f>_xlfn.IFNA(VLOOKUP(E18,'Data Kyu'!$A$6:$I$471,3,0),"")</f>
        <v>XX.X.XX.XX.XX.001</v>
      </c>
      <c r="G18" s="142"/>
      <c r="H18" s="66"/>
      <c r="I18" s="66"/>
      <c r="J18" s="66"/>
      <c r="K18" s="66"/>
      <c r="L18" s="145" t="str">
        <f>_xlfn.IFNA(VLOOKUP(E18,'Data Kyu'!$A$6:$I$471,9,0),"")</f>
        <v>8 KYU</v>
      </c>
      <c r="M18" s="142"/>
      <c r="N18" s="145">
        <f>_xlfn.IFNA(VLOOKUP(E18,'Data Kyu'!$A$6:$I$471,6,0),"")</f>
        <v>2018</v>
      </c>
      <c r="O18" s="141"/>
      <c r="P18" s="139" t="s">
        <v>5</v>
      </c>
      <c r="Q18" s="141">
        <f>_xlfn.IFNA(VLOOKUP(E18,'Data Kyu'!$A$6:$I$471,7,0),"")</f>
        <v>10</v>
      </c>
      <c r="R18" s="141"/>
      <c r="S18" s="139" t="s">
        <v>5</v>
      </c>
      <c r="T18" s="141" t="str">
        <f>_xlfn.IFNA(VLOOKUP(E18,'Data Kyu'!$A$6:$I$471,8,0),"")</f>
        <v>01</v>
      </c>
      <c r="U18" s="142"/>
      <c r="V18" s="142" t="str">
        <f>_xlfn.IFNA(VLOOKUP(E18,'Data Kyu'!$A$6:$I$471,4,0),"")</f>
        <v>Male</v>
      </c>
      <c r="X18" s="214" t="str">
        <f>_xlfn.IFNA(VLOOKUP(F18,'Data Kyu'!$C$6:$N$997,12,0),"No Data")</f>
        <v>LULUS</v>
      </c>
    </row>
    <row r="19" spans="2:24" ht="10.95" customHeight="1" x14ac:dyDescent="0.25">
      <c r="B19" s="52"/>
      <c r="C19" s="165" t="str">
        <f>IF(X18="LULUS","V","")</f>
        <v>V</v>
      </c>
      <c r="D19" s="53"/>
      <c r="E19" s="155"/>
      <c r="F19" s="148"/>
      <c r="G19" s="144"/>
      <c r="H19" s="67"/>
      <c r="I19" s="67"/>
      <c r="J19" s="67"/>
      <c r="K19" s="67"/>
      <c r="L19" s="146"/>
      <c r="M19" s="147"/>
      <c r="N19" s="148"/>
      <c r="O19" s="143"/>
      <c r="P19" s="140"/>
      <c r="Q19" s="143"/>
      <c r="R19" s="143"/>
      <c r="S19" s="140"/>
      <c r="T19" s="143"/>
      <c r="U19" s="144"/>
      <c r="V19" s="147"/>
      <c r="X19" s="214"/>
    </row>
    <row r="20" spans="2:24" ht="10.95" customHeight="1" x14ac:dyDescent="0.25">
      <c r="B20" s="52"/>
      <c r="C20" s="166"/>
      <c r="D20" s="53"/>
      <c r="E20" s="155"/>
      <c r="F20" s="167" t="str">
        <f>_xlfn.IFNA(VLOOKUP(E18,'Data Kyu'!$A$6:$I$471,2,0),"")</f>
        <v>Kenshi 1</v>
      </c>
      <c r="G20" s="168"/>
      <c r="H20" s="168"/>
      <c r="I20" s="168"/>
      <c r="J20" s="168"/>
      <c r="K20" s="169"/>
      <c r="L20" s="146"/>
      <c r="M20" s="147"/>
      <c r="N20" s="173" t="s">
        <v>6</v>
      </c>
      <c r="O20" s="159"/>
      <c r="P20" s="57"/>
      <c r="Q20" s="159" t="s">
        <v>7</v>
      </c>
      <c r="R20" s="159"/>
      <c r="S20" s="57"/>
      <c r="T20" s="159" t="s">
        <v>8</v>
      </c>
      <c r="U20" s="160"/>
      <c r="V20" s="175"/>
      <c r="X20" s="214"/>
    </row>
    <row r="21" spans="2:24" ht="10.95" customHeight="1" x14ac:dyDescent="0.25">
      <c r="B21" s="54"/>
      <c r="C21" s="76"/>
      <c r="D21" s="56"/>
      <c r="E21" s="156"/>
      <c r="F21" s="170"/>
      <c r="G21" s="171"/>
      <c r="H21" s="171"/>
      <c r="I21" s="171"/>
      <c r="J21" s="171"/>
      <c r="K21" s="172"/>
      <c r="L21" s="148"/>
      <c r="M21" s="144"/>
      <c r="N21" s="174"/>
      <c r="O21" s="161"/>
      <c r="P21" s="27"/>
      <c r="Q21" s="161"/>
      <c r="R21" s="161"/>
      <c r="S21" s="27"/>
      <c r="T21" s="161"/>
      <c r="U21" s="162"/>
      <c r="V21" s="176"/>
      <c r="X21" s="214"/>
    </row>
    <row r="22" spans="2:24" ht="10.95" customHeight="1" x14ac:dyDescent="0.25">
      <c r="B22" s="41"/>
      <c r="C22" s="77"/>
      <c r="D22" s="42"/>
      <c r="E22" s="154">
        <v>2</v>
      </c>
      <c r="F22" s="145" t="str">
        <f>_xlfn.IFNA(VLOOKUP(E22,'Data Kyu'!$A$6:$I$471,3,0),"")</f>
        <v>XX.X.XX.XX.XX.002</v>
      </c>
      <c r="G22" s="142"/>
      <c r="H22" s="66"/>
      <c r="I22" s="66"/>
      <c r="J22" s="66"/>
      <c r="K22" s="66"/>
      <c r="L22" s="145" t="str">
        <f>_xlfn.IFNA(VLOOKUP(E22,'Data Kyu'!$A$6:$I$471,9,0),"")</f>
        <v>8 KYU</v>
      </c>
      <c r="M22" s="142"/>
      <c r="N22" s="145">
        <f>_xlfn.IFNA(VLOOKUP(E22,'Data Kyu'!$A$6:$I$471,6,0),"")</f>
        <v>2018</v>
      </c>
      <c r="O22" s="141"/>
      <c r="P22" s="139" t="s">
        <v>5</v>
      </c>
      <c r="Q22" s="141">
        <f>_xlfn.IFNA(VLOOKUP(E22,'Data Kyu'!$A$6:$I$471,7,0),"")</f>
        <v>11</v>
      </c>
      <c r="R22" s="141"/>
      <c r="S22" s="139" t="s">
        <v>5</v>
      </c>
      <c r="T22" s="141" t="str">
        <f>_xlfn.IFNA(VLOOKUP(E22,'Data Kyu'!$A$6:$I$471,8,0),"")</f>
        <v>02</v>
      </c>
      <c r="U22" s="142"/>
      <c r="V22" s="142" t="str">
        <f>_xlfn.IFNA(VLOOKUP(E22,'Data Kyu'!$A$6:$I$471,4,0),"")</f>
        <v>Male</v>
      </c>
      <c r="X22" s="214" t="str">
        <f>_xlfn.IFNA(VLOOKUP(F22,'Data Kyu'!$C$6:$N$997,12,0),"No Data")</f>
        <v>LULUS</v>
      </c>
    </row>
    <row r="23" spans="2:24" ht="10.95" customHeight="1" x14ac:dyDescent="0.25">
      <c r="B23" s="52"/>
      <c r="C23" s="165" t="str">
        <f>IF(X22="LULUS","V","")</f>
        <v>V</v>
      </c>
      <c r="D23" s="53"/>
      <c r="E23" s="155"/>
      <c r="F23" s="148"/>
      <c r="G23" s="144"/>
      <c r="H23" s="67"/>
      <c r="I23" s="67"/>
      <c r="J23" s="67"/>
      <c r="K23" s="67"/>
      <c r="L23" s="146"/>
      <c r="M23" s="147"/>
      <c r="N23" s="148"/>
      <c r="O23" s="143"/>
      <c r="P23" s="140"/>
      <c r="Q23" s="143"/>
      <c r="R23" s="143"/>
      <c r="S23" s="140"/>
      <c r="T23" s="143"/>
      <c r="U23" s="144"/>
      <c r="V23" s="147"/>
      <c r="X23" s="214"/>
    </row>
    <row r="24" spans="2:24" ht="10.95" customHeight="1" x14ac:dyDescent="0.25">
      <c r="B24" s="52"/>
      <c r="C24" s="166"/>
      <c r="D24" s="53"/>
      <c r="E24" s="155"/>
      <c r="F24" s="167" t="str">
        <f>_xlfn.IFNA(VLOOKUP(E22,'Data Kyu'!$A$6:$I$471,2,0),"")</f>
        <v>Kenshi 2</v>
      </c>
      <c r="G24" s="168"/>
      <c r="H24" s="168"/>
      <c r="I24" s="168"/>
      <c r="J24" s="168"/>
      <c r="K24" s="169"/>
      <c r="L24" s="146"/>
      <c r="M24" s="147"/>
      <c r="N24" s="173" t="s">
        <v>6</v>
      </c>
      <c r="O24" s="159"/>
      <c r="P24" s="57"/>
      <c r="Q24" s="159" t="s">
        <v>7</v>
      </c>
      <c r="R24" s="159"/>
      <c r="S24" s="57"/>
      <c r="T24" s="159" t="s">
        <v>8</v>
      </c>
      <c r="U24" s="160"/>
      <c r="V24" s="175"/>
      <c r="X24" s="214"/>
    </row>
    <row r="25" spans="2:24" ht="10.95" customHeight="1" x14ac:dyDescent="0.25">
      <c r="B25" s="54"/>
      <c r="C25" s="76"/>
      <c r="D25" s="56"/>
      <c r="E25" s="156"/>
      <c r="F25" s="170"/>
      <c r="G25" s="171"/>
      <c r="H25" s="171"/>
      <c r="I25" s="171"/>
      <c r="J25" s="171"/>
      <c r="K25" s="172"/>
      <c r="L25" s="148"/>
      <c r="M25" s="144"/>
      <c r="N25" s="174"/>
      <c r="O25" s="161"/>
      <c r="P25" s="27"/>
      <c r="Q25" s="161"/>
      <c r="R25" s="161"/>
      <c r="S25" s="27"/>
      <c r="T25" s="161"/>
      <c r="U25" s="162"/>
      <c r="V25" s="176"/>
      <c r="X25" s="214"/>
    </row>
    <row r="26" spans="2:24" ht="10.95" customHeight="1" x14ac:dyDescent="0.25">
      <c r="B26" s="41"/>
      <c r="C26" s="77"/>
      <c r="D26" s="42"/>
      <c r="E26" s="154">
        <v>3</v>
      </c>
      <c r="F26" s="145" t="str">
        <f>_xlfn.IFNA(VLOOKUP(E26,'Data Kyu'!$A$6:$I$471,3,0),"")</f>
        <v>XX.X.XX.XX.XX.003</v>
      </c>
      <c r="G26" s="142"/>
      <c r="H26" s="66"/>
      <c r="I26" s="66"/>
      <c r="J26" s="66"/>
      <c r="K26" s="66"/>
      <c r="L26" s="145" t="str">
        <f>_xlfn.IFNA(VLOOKUP(E26,'Data Kyu'!$A$6:$I$471,9,0),"")</f>
        <v>8 KYU</v>
      </c>
      <c r="M26" s="142"/>
      <c r="N26" s="145">
        <f>_xlfn.IFNA(VLOOKUP(E26,'Data Kyu'!$A$6:$I$471,6,0),"")</f>
        <v>2018</v>
      </c>
      <c r="O26" s="141"/>
      <c r="P26" s="139" t="s">
        <v>5</v>
      </c>
      <c r="Q26" s="141">
        <f>_xlfn.IFNA(VLOOKUP(E26,'Data Kyu'!$A$6:$I$471,7,0),"")</f>
        <v>12</v>
      </c>
      <c r="R26" s="141"/>
      <c r="S26" s="139" t="s">
        <v>5</v>
      </c>
      <c r="T26" s="141" t="str">
        <f>_xlfn.IFNA(VLOOKUP(E26,'Data Kyu'!$A$6:$I$471,8,0),"")</f>
        <v>03</v>
      </c>
      <c r="U26" s="142"/>
      <c r="V26" s="142" t="str">
        <f>_xlfn.IFNA(VLOOKUP(E26,'Data Kyu'!$A$6:$I$471,4,0),"")</f>
        <v>Male</v>
      </c>
      <c r="X26" s="214" t="str">
        <f>_xlfn.IFNA(VLOOKUP(F26,'Data Kyu'!$C$6:$N$997,12,0),"No Data")</f>
        <v>LULUS</v>
      </c>
    </row>
    <row r="27" spans="2:24" ht="10.95" customHeight="1" x14ac:dyDescent="0.25">
      <c r="B27" s="52"/>
      <c r="C27" s="165" t="str">
        <f>IF(X26="LULUS","V","")</f>
        <v>V</v>
      </c>
      <c r="D27" s="53"/>
      <c r="E27" s="155"/>
      <c r="F27" s="148"/>
      <c r="G27" s="144"/>
      <c r="H27" s="67"/>
      <c r="I27" s="67"/>
      <c r="J27" s="67"/>
      <c r="K27" s="67"/>
      <c r="L27" s="146"/>
      <c r="M27" s="147"/>
      <c r="N27" s="148"/>
      <c r="O27" s="143"/>
      <c r="P27" s="140"/>
      <c r="Q27" s="143"/>
      <c r="R27" s="143"/>
      <c r="S27" s="140"/>
      <c r="T27" s="143"/>
      <c r="U27" s="144"/>
      <c r="V27" s="147"/>
      <c r="X27" s="214"/>
    </row>
    <row r="28" spans="2:24" ht="10.95" customHeight="1" x14ac:dyDescent="0.25">
      <c r="B28" s="52"/>
      <c r="C28" s="166"/>
      <c r="D28" s="53"/>
      <c r="E28" s="155"/>
      <c r="F28" s="167" t="str">
        <f>_xlfn.IFNA(VLOOKUP(E26,'Data Kyu'!$A$6:$I$471,2,0),"")</f>
        <v>Kenshi 3</v>
      </c>
      <c r="G28" s="168"/>
      <c r="H28" s="168"/>
      <c r="I28" s="168"/>
      <c r="J28" s="168"/>
      <c r="K28" s="169"/>
      <c r="L28" s="146"/>
      <c r="M28" s="147"/>
      <c r="N28" s="173" t="s">
        <v>6</v>
      </c>
      <c r="O28" s="159"/>
      <c r="P28" s="57"/>
      <c r="Q28" s="159" t="s">
        <v>7</v>
      </c>
      <c r="R28" s="159"/>
      <c r="S28" s="57"/>
      <c r="T28" s="159" t="s">
        <v>8</v>
      </c>
      <c r="U28" s="160"/>
      <c r="V28" s="175"/>
      <c r="X28" s="214"/>
    </row>
    <row r="29" spans="2:24" ht="10.95" customHeight="1" x14ac:dyDescent="0.25">
      <c r="B29" s="54"/>
      <c r="C29" s="76"/>
      <c r="D29" s="56"/>
      <c r="E29" s="156"/>
      <c r="F29" s="170"/>
      <c r="G29" s="171"/>
      <c r="H29" s="171"/>
      <c r="I29" s="171"/>
      <c r="J29" s="171"/>
      <c r="K29" s="172"/>
      <c r="L29" s="148"/>
      <c r="M29" s="144"/>
      <c r="N29" s="174"/>
      <c r="O29" s="161"/>
      <c r="P29" s="27"/>
      <c r="Q29" s="161"/>
      <c r="R29" s="161"/>
      <c r="S29" s="27"/>
      <c r="T29" s="161"/>
      <c r="U29" s="162"/>
      <c r="V29" s="176"/>
      <c r="X29" s="214"/>
    </row>
    <row r="30" spans="2:24" ht="10.95" customHeight="1" x14ac:dyDescent="0.25">
      <c r="B30" s="41"/>
      <c r="C30" s="77"/>
      <c r="D30" s="42"/>
      <c r="E30" s="154">
        <v>4</v>
      </c>
      <c r="F30" s="145" t="str">
        <f>_xlfn.IFNA(VLOOKUP(E30,'Data Kyu'!$A$6:$I$471,3,0),"")</f>
        <v>XX.X.XX.XX.XX.004</v>
      </c>
      <c r="G30" s="142"/>
      <c r="H30" s="66"/>
      <c r="I30" s="66"/>
      <c r="J30" s="66"/>
      <c r="K30" s="66"/>
      <c r="L30" s="145" t="str">
        <f>_xlfn.IFNA(VLOOKUP(E30,'Data Kyu'!$A$6:$I$471,9,0),"")</f>
        <v>8 KYU</v>
      </c>
      <c r="M30" s="142"/>
      <c r="N30" s="145">
        <f>_xlfn.IFNA(VLOOKUP(E30,'Data Kyu'!$A$6:$I$471,6,0),"")</f>
        <v>2018</v>
      </c>
      <c r="O30" s="141"/>
      <c r="P30" s="139" t="s">
        <v>5</v>
      </c>
      <c r="Q30" s="141">
        <f>_xlfn.IFNA(VLOOKUP(E30,'Data Kyu'!$A$6:$I$471,7,0),"")</f>
        <v>13</v>
      </c>
      <c r="R30" s="141"/>
      <c r="S30" s="139" t="s">
        <v>5</v>
      </c>
      <c r="T30" s="141" t="str">
        <f>_xlfn.IFNA(VLOOKUP(E30,'Data Kyu'!$A$6:$I$471,8,0),"")</f>
        <v>04</v>
      </c>
      <c r="U30" s="142"/>
      <c r="V30" s="142" t="str">
        <f>_xlfn.IFNA(VLOOKUP(E30,'Data Kyu'!$A$6:$I$471,4,0),"")</f>
        <v>Male</v>
      </c>
      <c r="X30" s="214" t="str">
        <f>_xlfn.IFNA(VLOOKUP(F30,'Data Kyu'!$C$6:$N$997,12,0),"No Data")</f>
        <v>TIDAK HADIR</v>
      </c>
    </row>
    <row r="31" spans="2:24" ht="10.95" customHeight="1" x14ac:dyDescent="0.25">
      <c r="B31" s="52"/>
      <c r="C31" s="165" t="str">
        <f>IF(X30="LULUS","V","")</f>
        <v/>
      </c>
      <c r="D31" s="53"/>
      <c r="E31" s="155"/>
      <c r="F31" s="148"/>
      <c r="G31" s="144"/>
      <c r="H31" s="67"/>
      <c r="I31" s="67"/>
      <c r="J31" s="67"/>
      <c r="K31" s="67"/>
      <c r="L31" s="146"/>
      <c r="M31" s="147"/>
      <c r="N31" s="148"/>
      <c r="O31" s="143"/>
      <c r="P31" s="140"/>
      <c r="Q31" s="143"/>
      <c r="R31" s="143"/>
      <c r="S31" s="140"/>
      <c r="T31" s="143"/>
      <c r="U31" s="144"/>
      <c r="V31" s="147"/>
      <c r="X31" s="214"/>
    </row>
    <row r="32" spans="2:24" ht="10.95" customHeight="1" x14ac:dyDescent="0.25">
      <c r="B32" s="52"/>
      <c r="C32" s="166"/>
      <c r="D32" s="53"/>
      <c r="E32" s="155"/>
      <c r="F32" s="167" t="str">
        <f>_xlfn.IFNA(VLOOKUP(E30,'Data Kyu'!$A$6:$I$471,2,0),"")</f>
        <v>Kenshi 4</v>
      </c>
      <c r="G32" s="168"/>
      <c r="H32" s="168"/>
      <c r="I32" s="168"/>
      <c r="J32" s="168"/>
      <c r="K32" s="169"/>
      <c r="L32" s="146"/>
      <c r="M32" s="147"/>
      <c r="N32" s="173" t="s">
        <v>6</v>
      </c>
      <c r="O32" s="159"/>
      <c r="P32" s="57"/>
      <c r="Q32" s="159" t="s">
        <v>7</v>
      </c>
      <c r="R32" s="159"/>
      <c r="S32" s="57"/>
      <c r="T32" s="159" t="s">
        <v>8</v>
      </c>
      <c r="U32" s="160"/>
      <c r="V32" s="175"/>
      <c r="X32" s="214"/>
    </row>
    <row r="33" spans="2:24" ht="10.95" customHeight="1" x14ac:dyDescent="0.25">
      <c r="B33" s="54"/>
      <c r="C33" s="76"/>
      <c r="D33" s="56"/>
      <c r="E33" s="156"/>
      <c r="F33" s="170"/>
      <c r="G33" s="171"/>
      <c r="H33" s="171"/>
      <c r="I33" s="171"/>
      <c r="J33" s="171"/>
      <c r="K33" s="172"/>
      <c r="L33" s="148"/>
      <c r="M33" s="144"/>
      <c r="N33" s="174"/>
      <c r="O33" s="161"/>
      <c r="P33" s="27"/>
      <c r="Q33" s="161"/>
      <c r="R33" s="161"/>
      <c r="S33" s="27"/>
      <c r="T33" s="161"/>
      <c r="U33" s="162"/>
      <c r="V33" s="176"/>
      <c r="X33" s="214"/>
    </row>
    <row r="34" spans="2:24" ht="10.95" customHeight="1" x14ac:dyDescent="0.25">
      <c r="B34" s="41"/>
      <c r="C34" s="77"/>
      <c r="D34" s="42"/>
      <c r="E34" s="154">
        <v>5</v>
      </c>
      <c r="F34" s="145" t="str">
        <f>_xlfn.IFNA(VLOOKUP(E34,'Data Kyu'!$A$6:$I$471,3,0),"")</f>
        <v>XX.X.XX.XX.XX.005</v>
      </c>
      <c r="G34" s="142"/>
      <c r="H34" s="66"/>
      <c r="I34" s="66"/>
      <c r="J34" s="66"/>
      <c r="K34" s="66"/>
      <c r="L34" s="145" t="str">
        <f>_xlfn.IFNA(VLOOKUP(E34,'Data Kyu'!$A$6:$I$471,9,0),"")</f>
        <v>8 KYU</v>
      </c>
      <c r="M34" s="142"/>
      <c r="N34" s="145">
        <f>_xlfn.IFNA(VLOOKUP(E34,'Data Kyu'!$A$6:$I$471,6,0),"")</f>
        <v>2018</v>
      </c>
      <c r="O34" s="141"/>
      <c r="P34" s="139" t="s">
        <v>5</v>
      </c>
      <c r="Q34" s="141">
        <f>_xlfn.IFNA(VLOOKUP(E34,'Data Kyu'!$A$6:$I$471,7,0),"")</f>
        <v>14</v>
      </c>
      <c r="R34" s="141"/>
      <c r="S34" s="139" t="s">
        <v>5</v>
      </c>
      <c r="T34" s="141" t="str">
        <f>_xlfn.IFNA(VLOOKUP(E34,'Data Kyu'!$A$6:$I$471,8,0),"")</f>
        <v>05</v>
      </c>
      <c r="U34" s="142"/>
      <c r="V34" s="142" t="str">
        <f>_xlfn.IFNA(VLOOKUP(E34,'Data Kyu'!$A$6:$I$471,4,0),"")</f>
        <v>Female</v>
      </c>
      <c r="X34" s="214" t="str">
        <f>_xlfn.IFNA(VLOOKUP(F34,'Data Kyu'!$C$6:$N$997,12,0),"No Data")</f>
        <v>TIDAK HADIR</v>
      </c>
    </row>
    <row r="35" spans="2:24" ht="10.95" customHeight="1" x14ac:dyDescent="0.25">
      <c r="B35" s="52"/>
      <c r="C35" s="165" t="str">
        <f>IF(X34="LULUS","V","")</f>
        <v/>
      </c>
      <c r="D35" s="53"/>
      <c r="E35" s="155"/>
      <c r="F35" s="148"/>
      <c r="G35" s="144"/>
      <c r="H35" s="67"/>
      <c r="I35" s="67"/>
      <c r="J35" s="67"/>
      <c r="K35" s="67"/>
      <c r="L35" s="146"/>
      <c r="M35" s="147"/>
      <c r="N35" s="148"/>
      <c r="O35" s="143"/>
      <c r="P35" s="140"/>
      <c r="Q35" s="143"/>
      <c r="R35" s="143"/>
      <c r="S35" s="140"/>
      <c r="T35" s="143"/>
      <c r="U35" s="144"/>
      <c r="V35" s="147"/>
      <c r="X35" s="214"/>
    </row>
    <row r="36" spans="2:24" ht="10.95" customHeight="1" x14ac:dyDescent="0.25">
      <c r="B36" s="52"/>
      <c r="C36" s="166"/>
      <c r="D36" s="53"/>
      <c r="E36" s="155"/>
      <c r="F36" s="167" t="str">
        <f>_xlfn.IFNA(VLOOKUP(E34,'Data Kyu'!$A$6:$I$471,2,0),"")</f>
        <v>Kenshi 5</v>
      </c>
      <c r="G36" s="168"/>
      <c r="H36" s="168"/>
      <c r="I36" s="168"/>
      <c r="J36" s="168"/>
      <c r="K36" s="169"/>
      <c r="L36" s="146"/>
      <c r="M36" s="147"/>
      <c r="N36" s="173" t="s">
        <v>6</v>
      </c>
      <c r="O36" s="159"/>
      <c r="P36" s="57"/>
      <c r="Q36" s="159" t="s">
        <v>7</v>
      </c>
      <c r="R36" s="159"/>
      <c r="S36" s="57"/>
      <c r="T36" s="159" t="s">
        <v>8</v>
      </c>
      <c r="U36" s="160"/>
      <c r="V36" s="175"/>
      <c r="X36" s="214"/>
    </row>
    <row r="37" spans="2:24" ht="10.95" customHeight="1" x14ac:dyDescent="0.25">
      <c r="B37" s="54"/>
      <c r="C37" s="76"/>
      <c r="D37" s="56"/>
      <c r="E37" s="156"/>
      <c r="F37" s="170"/>
      <c r="G37" s="171"/>
      <c r="H37" s="171"/>
      <c r="I37" s="171"/>
      <c r="J37" s="171"/>
      <c r="K37" s="172"/>
      <c r="L37" s="148"/>
      <c r="M37" s="144"/>
      <c r="N37" s="174"/>
      <c r="O37" s="161"/>
      <c r="P37" s="27"/>
      <c r="Q37" s="161"/>
      <c r="R37" s="161"/>
      <c r="S37" s="27"/>
      <c r="T37" s="161"/>
      <c r="U37" s="162"/>
      <c r="V37" s="176"/>
      <c r="X37" s="214"/>
    </row>
    <row r="38" spans="2:24" ht="10.95" customHeight="1" x14ac:dyDescent="0.25">
      <c r="B38" s="41"/>
      <c r="C38" s="77"/>
      <c r="D38" s="42"/>
      <c r="E38" s="154">
        <v>6</v>
      </c>
      <c r="F38" s="145" t="str">
        <f>_xlfn.IFNA(VLOOKUP(E38,'Data Kyu'!$A$6:$I$471,3,0),"")</f>
        <v>XX.X.XX.XX.XX.006</v>
      </c>
      <c r="G38" s="142"/>
      <c r="H38" s="66"/>
      <c r="I38" s="66"/>
      <c r="J38" s="66"/>
      <c r="K38" s="66"/>
      <c r="L38" s="145" t="str">
        <f>_xlfn.IFNA(VLOOKUP(E38,'Data Kyu'!$A$6:$I$471,9,0),"")</f>
        <v>7 KYU</v>
      </c>
      <c r="M38" s="142"/>
      <c r="N38" s="145">
        <f>_xlfn.IFNA(VLOOKUP(E38,'Data Kyu'!$A$6:$I$471,6,0),"")</f>
        <v>2016</v>
      </c>
      <c r="O38" s="141"/>
      <c r="P38" s="139" t="s">
        <v>5</v>
      </c>
      <c r="Q38" s="141" t="str">
        <f>_xlfn.IFNA(VLOOKUP(E38,'Data Kyu'!$A$6:$I$471,7,0),"")</f>
        <v>06</v>
      </c>
      <c r="R38" s="141"/>
      <c r="S38" s="139" t="s">
        <v>5</v>
      </c>
      <c r="T38" s="141" t="str">
        <f>_xlfn.IFNA(VLOOKUP(E38,'Data Kyu'!$A$6:$I$471,8,0),"")</f>
        <v>01</v>
      </c>
      <c r="U38" s="142"/>
      <c r="V38" s="142" t="str">
        <f>_xlfn.IFNA(VLOOKUP(E38,'Data Kyu'!$A$6:$I$471,4,0),"")</f>
        <v>Male</v>
      </c>
      <c r="X38" s="214" t="str">
        <f>_xlfn.IFNA(VLOOKUP(F38,'Data Kyu'!$C$6:$N$997,12,0),"No Data")</f>
        <v>LULUS</v>
      </c>
    </row>
    <row r="39" spans="2:24" ht="10.95" customHeight="1" x14ac:dyDescent="0.25">
      <c r="B39" s="52"/>
      <c r="C39" s="165" t="str">
        <f>IF(X38="LULUS","V","")</f>
        <v>V</v>
      </c>
      <c r="D39" s="53"/>
      <c r="E39" s="155"/>
      <c r="F39" s="148"/>
      <c r="G39" s="144"/>
      <c r="H39" s="67"/>
      <c r="I39" s="67"/>
      <c r="J39" s="67"/>
      <c r="K39" s="67"/>
      <c r="L39" s="146"/>
      <c r="M39" s="147"/>
      <c r="N39" s="148"/>
      <c r="O39" s="143"/>
      <c r="P39" s="140"/>
      <c r="Q39" s="143"/>
      <c r="R39" s="143"/>
      <c r="S39" s="140"/>
      <c r="T39" s="143"/>
      <c r="U39" s="144"/>
      <c r="V39" s="147"/>
      <c r="X39" s="214"/>
    </row>
    <row r="40" spans="2:24" ht="10.95" customHeight="1" x14ac:dyDescent="0.25">
      <c r="B40" s="52"/>
      <c r="C40" s="166"/>
      <c r="D40" s="53"/>
      <c r="E40" s="155"/>
      <c r="F40" s="167" t="str">
        <f>_xlfn.IFNA(VLOOKUP(E38,'Data Kyu'!$A$6:$I$471,2,0),"")</f>
        <v>Kenshi 6</v>
      </c>
      <c r="G40" s="168"/>
      <c r="H40" s="168"/>
      <c r="I40" s="168"/>
      <c r="J40" s="168"/>
      <c r="K40" s="169"/>
      <c r="L40" s="146"/>
      <c r="M40" s="147"/>
      <c r="N40" s="173" t="s">
        <v>6</v>
      </c>
      <c r="O40" s="159"/>
      <c r="P40" s="57"/>
      <c r="Q40" s="159" t="s">
        <v>7</v>
      </c>
      <c r="R40" s="159"/>
      <c r="S40" s="57"/>
      <c r="T40" s="159" t="s">
        <v>8</v>
      </c>
      <c r="U40" s="160"/>
      <c r="V40" s="175"/>
      <c r="X40" s="214"/>
    </row>
    <row r="41" spans="2:24" ht="10.95" customHeight="1" x14ac:dyDescent="0.25">
      <c r="B41" s="54"/>
      <c r="C41" s="76"/>
      <c r="D41" s="56"/>
      <c r="E41" s="156"/>
      <c r="F41" s="170"/>
      <c r="G41" s="171"/>
      <c r="H41" s="171"/>
      <c r="I41" s="171"/>
      <c r="J41" s="171"/>
      <c r="K41" s="172"/>
      <c r="L41" s="148"/>
      <c r="M41" s="144"/>
      <c r="N41" s="174"/>
      <c r="O41" s="161"/>
      <c r="P41" s="27"/>
      <c r="Q41" s="161"/>
      <c r="R41" s="161"/>
      <c r="S41" s="27"/>
      <c r="T41" s="161"/>
      <c r="U41" s="162"/>
      <c r="V41" s="176"/>
      <c r="X41" s="214"/>
    </row>
    <row r="42" spans="2:24" ht="10.95" customHeight="1" x14ac:dyDescent="0.25">
      <c r="B42" s="41"/>
      <c r="C42" s="77"/>
      <c r="D42" s="42"/>
      <c r="E42" s="154">
        <v>7</v>
      </c>
      <c r="F42" s="145" t="str">
        <f>_xlfn.IFNA(VLOOKUP(E42,'Data Kyu'!$A$6:$I$471,3,0),"")</f>
        <v>XX.X.XX.XX.XX.007</v>
      </c>
      <c r="G42" s="142"/>
      <c r="H42" s="66"/>
      <c r="I42" s="66"/>
      <c r="J42" s="66"/>
      <c r="K42" s="66"/>
      <c r="L42" s="145" t="str">
        <f>_xlfn.IFNA(VLOOKUP(E42,'Data Kyu'!$A$6:$I$471,9,0),"")</f>
        <v>7 KYU</v>
      </c>
      <c r="M42" s="142"/>
      <c r="N42" s="145">
        <f>_xlfn.IFNA(VLOOKUP(E42,'Data Kyu'!$A$6:$I$471,6,0),"")</f>
        <v>2016</v>
      </c>
      <c r="O42" s="141"/>
      <c r="P42" s="139" t="s">
        <v>5</v>
      </c>
      <c r="Q42" s="141" t="str">
        <f>_xlfn.IFNA(VLOOKUP(E42,'Data Kyu'!$A$6:$I$471,7,0),"")</f>
        <v>07</v>
      </c>
      <c r="R42" s="141"/>
      <c r="S42" s="139" t="s">
        <v>5</v>
      </c>
      <c r="T42" s="141" t="str">
        <f>_xlfn.IFNA(VLOOKUP(E42,'Data Kyu'!$A$6:$I$471,8,0),"")</f>
        <v>02</v>
      </c>
      <c r="U42" s="142"/>
      <c r="V42" s="142" t="str">
        <f>_xlfn.IFNA(VLOOKUP(E42,'Data Kyu'!$A$6:$I$471,4,0),"")</f>
        <v>Male</v>
      </c>
      <c r="X42" s="214" t="str">
        <f>_xlfn.IFNA(VLOOKUP(F42,'Data Kyu'!$C$6:$N$997,12,0),"No Data")</f>
        <v>LULUS</v>
      </c>
    </row>
    <row r="43" spans="2:24" ht="10.95" customHeight="1" x14ac:dyDescent="0.25">
      <c r="B43" s="52"/>
      <c r="C43" s="165" t="str">
        <f>IF(X42="LULUS","V","")</f>
        <v>V</v>
      </c>
      <c r="D43" s="53"/>
      <c r="E43" s="155"/>
      <c r="F43" s="148"/>
      <c r="G43" s="144"/>
      <c r="H43" s="67"/>
      <c r="I43" s="67"/>
      <c r="J43" s="67"/>
      <c r="K43" s="67"/>
      <c r="L43" s="146"/>
      <c r="M43" s="147"/>
      <c r="N43" s="148"/>
      <c r="O43" s="143"/>
      <c r="P43" s="140"/>
      <c r="Q43" s="143"/>
      <c r="R43" s="143"/>
      <c r="S43" s="140"/>
      <c r="T43" s="143"/>
      <c r="U43" s="144"/>
      <c r="V43" s="147"/>
      <c r="X43" s="214"/>
    </row>
    <row r="44" spans="2:24" ht="10.95" customHeight="1" x14ac:dyDescent="0.25">
      <c r="B44" s="52"/>
      <c r="C44" s="166"/>
      <c r="D44" s="53"/>
      <c r="E44" s="155"/>
      <c r="F44" s="167" t="str">
        <f>_xlfn.IFNA(VLOOKUP(E42,'Data Kyu'!$A$6:$I$471,2,0),"")</f>
        <v>Kenshi 7</v>
      </c>
      <c r="G44" s="168"/>
      <c r="H44" s="168"/>
      <c r="I44" s="168"/>
      <c r="J44" s="168"/>
      <c r="K44" s="169"/>
      <c r="L44" s="146"/>
      <c r="M44" s="147"/>
      <c r="N44" s="173" t="s">
        <v>6</v>
      </c>
      <c r="O44" s="159"/>
      <c r="P44" s="57"/>
      <c r="Q44" s="159" t="s">
        <v>7</v>
      </c>
      <c r="R44" s="159"/>
      <c r="S44" s="57"/>
      <c r="T44" s="159" t="s">
        <v>8</v>
      </c>
      <c r="U44" s="160"/>
      <c r="V44" s="175"/>
      <c r="X44" s="214"/>
    </row>
    <row r="45" spans="2:24" ht="10.95" customHeight="1" x14ac:dyDescent="0.25">
      <c r="B45" s="54"/>
      <c r="C45" s="76"/>
      <c r="D45" s="56"/>
      <c r="E45" s="156"/>
      <c r="F45" s="170"/>
      <c r="G45" s="171"/>
      <c r="H45" s="171"/>
      <c r="I45" s="171"/>
      <c r="J45" s="171"/>
      <c r="K45" s="172"/>
      <c r="L45" s="148"/>
      <c r="M45" s="144"/>
      <c r="N45" s="174"/>
      <c r="O45" s="161"/>
      <c r="P45" s="27"/>
      <c r="Q45" s="161"/>
      <c r="R45" s="161"/>
      <c r="S45" s="27"/>
      <c r="T45" s="161"/>
      <c r="U45" s="162"/>
      <c r="V45" s="176"/>
      <c r="X45" s="214"/>
    </row>
    <row r="46" spans="2:24" ht="10.95" customHeight="1" x14ac:dyDescent="0.25">
      <c r="B46" s="41"/>
      <c r="C46" s="77"/>
      <c r="D46" s="42"/>
      <c r="E46" s="154">
        <v>8</v>
      </c>
      <c r="F46" s="145" t="str">
        <f>_xlfn.IFNA(VLOOKUP(E46,'Data Kyu'!$A$6:$I$471,3,0),"")</f>
        <v>XX.X.XX.XX.XX.008</v>
      </c>
      <c r="G46" s="142"/>
      <c r="H46" s="66"/>
      <c r="I46" s="66"/>
      <c r="J46" s="66"/>
      <c r="K46" s="66"/>
      <c r="L46" s="145" t="str">
        <f>_xlfn.IFNA(VLOOKUP(E46,'Data Kyu'!$A$6:$I$471,9,0),"")</f>
        <v>7 KYU</v>
      </c>
      <c r="M46" s="142"/>
      <c r="N46" s="145">
        <f>_xlfn.IFNA(VLOOKUP(E46,'Data Kyu'!$A$6:$I$471,6,0),"")</f>
        <v>2016</v>
      </c>
      <c r="O46" s="141"/>
      <c r="P46" s="139" t="s">
        <v>5</v>
      </c>
      <c r="Q46" s="141" t="str">
        <f>_xlfn.IFNA(VLOOKUP(E46,'Data Kyu'!$A$6:$I$471,7,0),"")</f>
        <v>08</v>
      </c>
      <c r="R46" s="141"/>
      <c r="S46" s="139" t="s">
        <v>5</v>
      </c>
      <c r="T46" s="141" t="str">
        <f>_xlfn.IFNA(VLOOKUP(E46,'Data Kyu'!$A$6:$I$471,8,0),"")</f>
        <v>03</v>
      </c>
      <c r="U46" s="142"/>
      <c r="V46" s="142" t="str">
        <f>_xlfn.IFNA(VLOOKUP(E46,'Data Kyu'!$A$6:$I$471,4,0),"")</f>
        <v>Female</v>
      </c>
      <c r="X46" s="214" t="str">
        <f>_xlfn.IFNA(VLOOKUP(F46,'Data Kyu'!$C$6:$N$997,12,0),"No Data")</f>
        <v>LULUS</v>
      </c>
    </row>
    <row r="47" spans="2:24" ht="10.95" customHeight="1" x14ac:dyDescent="0.25">
      <c r="B47" s="52"/>
      <c r="C47" s="165" t="str">
        <f>IF(X46="LULUS","V","")</f>
        <v>V</v>
      </c>
      <c r="D47" s="53"/>
      <c r="E47" s="155"/>
      <c r="F47" s="148"/>
      <c r="G47" s="144"/>
      <c r="H47" s="67"/>
      <c r="I47" s="67"/>
      <c r="J47" s="67"/>
      <c r="K47" s="67"/>
      <c r="L47" s="146"/>
      <c r="M47" s="147"/>
      <c r="N47" s="148"/>
      <c r="O47" s="143"/>
      <c r="P47" s="140"/>
      <c r="Q47" s="143"/>
      <c r="R47" s="143"/>
      <c r="S47" s="140"/>
      <c r="T47" s="143"/>
      <c r="U47" s="144"/>
      <c r="V47" s="147"/>
      <c r="X47" s="214"/>
    </row>
    <row r="48" spans="2:24" ht="10.95" customHeight="1" x14ac:dyDescent="0.25">
      <c r="B48" s="52"/>
      <c r="C48" s="166"/>
      <c r="D48" s="53"/>
      <c r="E48" s="155"/>
      <c r="F48" s="167" t="str">
        <f>_xlfn.IFNA(VLOOKUP(E46,'Data Kyu'!$A$6:$I$471,2,0),"")</f>
        <v>Kenshi 8</v>
      </c>
      <c r="G48" s="168"/>
      <c r="H48" s="168"/>
      <c r="I48" s="168"/>
      <c r="J48" s="168"/>
      <c r="K48" s="169"/>
      <c r="L48" s="146"/>
      <c r="M48" s="147"/>
      <c r="N48" s="173" t="s">
        <v>6</v>
      </c>
      <c r="O48" s="159"/>
      <c r="P48" s="57"/>
      <c r="Q48" s="159" t="s">
        <v>7</v>
      </c>
      <c r="R48" s="159"/>
      <c r="S48" s="57"/>
      <c r="T48" s="159" t="s">
        <v>8</v>
      </c>
      <c r="U48" s="160"/>
      <c r="V48" s="175"/>
      <c r="X48" s="214"/>
    </row>
    <row r="49" spans="2:24" ht="10.95" customHeight="1" x14ac:dyDescent="0.25">
      <c r="B49" s="54"/>
      <c r="C49" s="76"/>
      <c r="D49" s="56"/>
      <c r="E49" s="156"/>
      <c r="F49" s="170"/>
      <c r="G49" s="171"/>
      <c r="H49" s="171"/>
      <c r="I49" s="171"/>
      <c r="J49" s="171"/>
      <c r="K49" s="172"/>
      <c r="L49" s="148"/>
      <c r="M49" s="144"/>
      <c r="N49" s="174"/>
      <c r="O49" s="161"/>
      <c r="P49" s="27"/>
      <c r="Q49" s="161"/>
      <c r="R49" s="161"/>
      <c r="S49" s="27"/>
      <c r="T49" s="161"/>
      <c r="U49" s="162"/>
      <c r="V49" s="176"/>
      <c r="X49" s="214"/>
    </row>
    <row r="50" spans="2:24" ht="10.95" customHeight="1" x14ac:dyDescent="0.25">
      <c r="B50" s="41"/>
      <c r="C50" s="77"/>
      <c r="D50" s="42"/>
      <c r="E50" s="154">
        <v>9</v>
      </c>
      <c r="F50" s="145" t="str">
        <f>_xlfn.IFNA(VLOOKUP(E50,'Data Kyu'!$A$6:$I$471,3,0),"")</f>
        <v>XX.X.XX.XX.XX.009</v>
      </c>
      <c r="G50" s="142"/>
      <c r="H50" s="66"/>
      <c r="I50" s="66"/>
      <c r="J50" s="66"/>
      <c r="K50" s="66"/>
      <c r="L50" s="145" t="str">
        <f>_xlfn.IFNA(VLOOKUP(E50,'Data Kyu'!$A$6:$I$471,9,0),"")</f>
        <v>7 KYU</v>
      </c>
      <c r="M50" s="142"/>
      <c r="N50" s="145">
        <f>_xlfn.IFNA(VLOOKUP(E50,'Data Kyu'!$A$6:$I$471,6,0),"")</f>
        <v>2016</v>
      </c>
      <c r="O50" s="141"/>
      <c r="P50" s="139" t="s">
        <v>5</v>
      </c>
      <c r="Q50" s="141" t="str">
        <f>_xlfn.IFNA(VLOOKUP(E50,'Data Kyu'!$A$6:$I$471,7,0),"")</f>
        <v>09</v>
      </c>
      <c r="R50" s="141"/>
      <c r="S50" s="139" t="s">
        <v>5</v>
      </c>
      <c r="T50" s="141" t="str">
        <f>_xlfn.IFNA(VLOOKUP(E50,'Data Kyu'!$A$6:$I$471,8,0),"")</f>
        <v>04</v>
      </c>
      <c r="U50" s="142"/>
      <c r="V50" s="142" t="str">
        <f>_xlfn.IFNA(VLOOKUP(E50,'Data Kyu'!$A$6:$I$471,4,0),"")</f>
        <v>Female</v>
      </c>
      <c r="X50" s="214" t="str">
        <f>_xlfn.IFNA(VLOOKUP(F50,'Data Kyu'!$C$6:$N$997,12,0),"No Data")</f>
        <v>LULUS</v>
      </c>
    </row>
    <row r="51" spans="2:24" ht="10.95" customHeight="1" x14ac:dyDescent="0.25">
      <c r="B51" s="52"/>
      <c r="C51" s="165" t="str">
        <f>IF(X50="LULUS","V","")</f>
        <v>V</v>
      </c>
      <c r="D51" s="53"/>
      <c r="E51" s="155"/>
      <c r="F51" s="148"/>
      <c r="G51" s="144"/>
      <c r="H51" s="67"/>
      <c r="I51" s="67"/>
      <c r="J51" s="67"/>
      <c r="K51" s="67"/>
      <c r="L51" s="146"/>
      <c r="M51" s="147"/>
      <c r="N51" s="148"/>
      <c r="O51" s="143"/>
      <c r="P51" s="140"/>
      <c r="Q51" s="143"/>
      <c r="R51" s="143"/>
      <c r="S51" s="140"/>
      <c r="T51" s="143"/>
      <c r="U51" s="144"/>
      <c r="V51" s="147"/>
      <c r="X51" s="214"/>
    </row>
    <row r="52" spans="2:24" ht="10.95" customHeight="1" x14ac:dyDescent="0.25">
      <c r="B52" s="52"/>
      <c r="C52" s="166"/>
      <c r="D52" s="53"/>
      <c r="E52" s="155"/>
      <c r="F52" s="167" t="str">
        <f>_xlfn.IFNA(VLOOKUP(E50,'Data Kyu'!$A$6:$I$471,2,0),"")</f>
        <v>Kenshi 9</v>
      </c>
      <c r="G52" s="168"/>
      <c r="H52" s="168"/>
      <c r="I52" s="168"/>
      <c r="J52" s="168"/>
      <c r="K52" s="169"/>
      <c r="L52" s="146"/>
      <c r="M52" s="147"/>
      <c r="N52" s="173" t="s">
        <v>6</v>
      </c>
      <c r="O52" s="159"/>
      <c r="P52" s="57"/>
      <c r="Q52" s="159" t="s">
        <v>7</v>
      </c>
      <c r="R52" s="159"/>
      <c r="S52" s="57"/>
      <c r="T52" s="159" t="s">
        <v>8</v>
      </c>
      <c r="U52" s="160"/>
      <c r="V52" s="175"/>
      <c r="X52" s="214"/>
    </row>
    <row r="53" spans="2:24" ht="10.95" customHeight="1" x14ac:dyDescent="0.25">
      <c r="B53" s="54"/>
      <c r="C53" s="76"/>
      <c r="D53" s="56"/>
      <c r="E53" s="156"/>
      <c r="F53" s="170"/>
      <c r="G53" s="171"/>
      <c r="H53" s="171"/>
      <c r="I53" s="171"/>
      <c r="J53" s="171"/>
      <c r="K53" s="172"/>
      <c r="L53" s="148"/>
      <c r="M53" s="144"/>
      <c r="N53" s="174"/>
      <c r="O53" s="161"/>
      <c r="P53" s="27"/>
      <c r="Q53" s="161"/>
      <c r="R53" s="161"/>
      <c r="S53" s="27"/>
      <c r="T53" s="161"/>
      <c r="U53" s="162"/>
      <c r="V53" s="176"/>
      <c r="X53" s="214"/>
    </row>
    <row r="54" spans="2:24" ht="10.95" customHeight="1" x14ac:dyDescent="0.25">
      <c r="B54" s="41"/>
      <c r="C54" s="77"/>
      <c r="D54" s="42"/>
      <c r="E54" s="154">
        <v>10</v>
      </c>
      <c r="F54" s="145" t="str">
        <f>_xlfn.IFNA(VLOOKUP(E54,'Data Kyu'!$A$6:$I$471,3,0),"")</f>
        <v>XX.X.XX.XX.XX.010</v>
      </c>
      <c r="G54" s="142"/>
      <c r="H54" s="66"/>
      <c r="I54" s="66"/>
      <c r="J54" s="66"/>
      <c r="K54" s="66"/>
      <c r="L54" s="145" t="str">
        <f>_xlfn.IFNA(VLOOKUP(E54,'Data Kyu'!$A$6:$I$471,9,0),"")</f>
        <v>7 KYU</v>
      </c>
      <c r="M54" s="142"/>
      <c r="N54" s="145">
        <f>_xlfn.IFNA(VLOOKUP(E54,'Data Kyu'!$A$6:$I$471,6,0),"")</f>
        <v>2016</v>
      </c>
      <c r="O54" s="141"/>
      <c r="P54" s="139" t="s">
        <v>5</v>
      </c>
      <c r="Q54" s="141" t="str">
        <f>_xlfn.IFNA(VLOOKUP(E54,'Data Kyu'!$A$6:$I$471,7,0),"")</f>
        <v>10</v>
      </c>
      <c r="R54" s="141"/>
      <c r="S54" s="139" t="s">
        <v>5</v>
      </c>
      <c r="T54" s="141" t="str">
        <f>_xlfn.IFNA(VLOOKUP(E54,'Data Kyu'!$A$6:$I$471,8,0),"")</f>
        <v>05</v>
      </c>
      <c r="U54" s="142"/>
      <c r="V54" s="142" t="str">
        <f>_xlfn.IFNA(VLOOKUP(E54,'Data Kyu'!$A$6:$I$471,4,0),"")</f>
        <v>Female</v>
      </c>
      <c r="X54" s="214" t="str">
        <f>_xlfn.IFNA(VLOOKUP(F54,'Data Kyu'!$C$6:$N$997,12,0),"No Data")</f>
        <v>LULUS</v>
      </c>
    </row>
    <row r="55" spans="2:24" ht="10.95" customHeight="1" x14ac:dyDescent="0.25">
      <c r="B55" s="52"/>
      <c r="C55" s="165" t="str">
        <f>IF(X54="LULUS","V","")</f>
        <v>V</v>
      </c>
      <c r="D55" s="53"/>
      <c r="E55" s="155"/>
      <c r="F55" s="148"/>
      <c r="G55" s="144"/>
      <c r="H55" s="67"/>
      <c r="I55" s="67"/>
      <c r="J55" s="67"/>
      <c r="K55" s="67"/>
      <c r="L55" s="146"/>
      <c r="M55" s="147"/>
      <c r="N55" s="148"/>
      <c r="O55" s="143"/>
      <c r="P55" s="140"/>
      <c r="Q55" s="143"/>
      <c r="R55" s="143"/>
      <c r="S55" s="140"/>
      <c r="T55" s="143"/>
      <c r="U55" s="144"/>
      <c r="V55" s="147"/>
      <c r="X55" s="214"/>
    </row>
    <row r="56" spans="2:24" ht="10.95" customHeight="1" x14ac:dyDescent="0.25">
      <c r="B56" s="52"/>
      <c r="C56" s="166"/>
      <c r="D56" s="53"/>
      <c r="E56" s="155"/>
      <c r="F56" s="167" t="str">
        <f>_xlfn.IFNA(VLOOKUP(E54,'Data Kyu'!$A$6:$I$471,2,0),"")</f>
        <v>Kenshi 10</v>
      </c>
      <c r="G56" s="168"/>
      <c r="H56" s="168"/>
      <c r="I56" s="168"/>
      <c r="J56" s="168"/>
      <c r="K56" s="169"/>
      <c r="L56" s="146"/>
      <c r="M56" s="147"/>
      <c r="N56" s="173" t="s">
        <v>6</v>
      </c>
      <c r="O56" s="159"/>
      <c r="P56" s="57"/>
      <c r="Q56" s="159" t="s">
        <v>7</v>
      </c>
      <c r="R56" s="159"/>
      <c r="S56" s="57"/>
      <c r="T56" s="159" t="s">
        <v>8</v>
      </c>
      <c r="U56" s="160"/>
      <c r="V56" s="175"/>
      <c r="X56" s="214"/>
    </row>
    <row r="57" spans="2:24" ht="10.95" customHeight="1" x14ac:dyDescent="0.25">
      <c r="B57" s="54"/>
      <c r="C57" s="55"/>
      <c r="D57" s="56"/>
      <c r="E57" s="156"/>
      <c r="F57" s="170"/>
      <c r="G57" s="171"/>
      <c r="H57" s="171"/>
      <c r="I57" s="171"/>
      <c r="J57" s="171"/>
      <c r="K57" s="172"/>
      <c r="L57" s="148"/>
      <c r="M57" s="144"/>
      <c r="N57" s="174"/>
      <c r="O57" s="161"/>
      <c r="P57" s="27"/>
      <c r="Q57" s="161"/>
      <c r="R57" s="161"/>
      <c r="S57" s="27"/>
      <c r="T57" s="161"/>
      <c r="U57" s="162"/>
      <c r="V57" s="176"/>
      <c r="X57" s="214"/>
    </row>
    <row r="58" spans="2:24" ht="7.5" customHeight="1" x14ac:dyDescent="0.25"/>
    <row r="59" spans="2:24" s="34" customFormat="1" x14ac:dyDescent="0.25">
      <c r="E59" s="35" t="s">
        <v>30</v>
      </c>
      <c r="K59" s="35" t="s">
        <v>28</v>
      </c>
    </row>
    <row r="60" spans="2:24" x14ac:dyDescent="0.25">
      <c r="E60" s="33" t="s">
        <v>31</v>
      </c>
      <c r="F60" s="149"/>
      <c r="G60" s="149"/>
      <c r="H60" s="149"/>
      <c r="I60" s="149"/>
      <c r="J60" s="149"/>
      <c r="K60" s="33" t="s">
        <v>29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spans="2:24" ht="6.75" customHeight="1" x14ac:dyDescent="0.25">
      <c r="F61" s="34"/>
      <c r="G61" s="34"/>
      <c r="H61" s="34"/>
      <c r="I61" s="34"/>
      <c r="J61" s="34"/>
    </row>
    <row r="62" spans="2:24" s="34" customFormat="1" x14ac:dyDescent="0.25">
      <c r="E62" s="35" t="s">
        <v>32</v>
      </c>
      <c r="K62" s="35" t="s">
        <v>36</v>
      </c>
    </row>
    <row r="63" spans="2:24" x14ac:dyDescent="0.25">
      <c r="E63" s="33" t="s">
        <v>33</v>
      </c>
      <c r="F63" s="149"/>
      <c r="G63" s="149"/>
      <c r="H63" s="149"/>
      <c r="I63" s="149"/>
      <c r="J63" s="149"/>
      <c r="K63" s="33" t="s">
        <v>29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 spans="2:24" ht="6.75" customHeight="1" x14ac:dyDescent="0.25">
      <c r="F64" s="34"/>
      <c r="G64" s="34"/>
      <c r="H64" s="34"/>
      <c r="I64" s="34"/>
      <c r="J64" s="34"/>
    </row>
    <row r="65" spans="2:24" s="34" customFormat="1" ht="13.8" x14ac:dyDescent="0.25">
      <c r="E65" s="35" t="s">
        <v>34</v>
      </c>
      <c r="F65" s="177" t="s">
        <v>195</v>
      </c>
      <c r="G65" s="177"/>
      <c r="H65" s="177"/>
      <c r="I65" s="177"/>
      <c r="J65" s="177"/>
      <c r="K65" s="35" t="s">
        <v>28</v>
      </c>
      <c r="X65" s="70" t="s">
        <v>106</v>
      </c>
    </row>
    <row r="66" spans="2:24" ht="13.8" x14ac:dyDescent="0.25">
      <c r="E66" s="33" t="s">
        <v>35</v>
      </c>
      <c r="F66" s="178"/>
      <c r="G66" s="178"/>
      <c r="H66" s="178"/>
      <c r="I66" s="178"/>
      <c r="J66" s="178"/>
      <c r="K66" s="33" t="s">
        <v>29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X66" s="70" t="s">
        <v>105</v>
      </c>
    </row>
    <row r="67" spans="2:24" ht="12.75" customHeight="1" thickBot="1" x14ac:dyDescent="0.3"/>
    <row r="68" spans="2:24" ht="13.8" thickTop="1" x14ac:dyDescent="0.25">
      <c r="B68" s="34" t="s">
        <v>37</v>
      </c>
      <c r="C68" s="34"/>
      <c r="D68" s="34"/>
      <c r="H68" s="150" t="s">
        <v>40</v>
      </c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</row>
    <row r="69" spans="2:24" x14ac:dyDescent="0.25">
      <c r="B69" s="34" t="s">
        <v>38</v>
      </c>
      <c r="C69" s="34"/>
      <c r="D69" s="34"/>
      <c r="H69" s="152"/>
      <c r="I69" s="153"/>
      <c r="J69" s="153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</row>
    <row r="70" spans="2:24" ht="12.75" customHeight="1" x14ac:dyDescent="0.25">
      <c r="B70" s="163" t="s">
        <v>39</v>
      </c>
      <c r="C70" s="163"/>
      <c r="D70" s="163"/>
      <c r="E70" s="163"/>
      <c r="F70" s="163"/>
      <c r="H70" s="37" t="s">
        <v>41</v>
      </c>
    </row>
    <row r="71" spans="2:24" ht="13.8" x14ac:dyDescent="0.25">
      <c r="B71" s="163"/>
      <c r="C71" s="163"/>
      <c r="D71" s="163"/>
      <c r="E71" s="163"/>
      <c r="F71" s="163"/>
      <c r="H71" s="38" t="s">
        <v>42</v>
      </c>
    </row>
    <row r="72" spans="2:24" x14ac:dyDescent="0.25">
      <c r="B72" s="163"/>
      <c r="C72" s="163"/>
      <c r="D72" s="163"/>
      <c r="E72" s="163"/>
      <c r="F72" s="163"/>
      <c r="H72" s="36"/>
    </row>
    <row r="73" spans="2:24" x14ac:dyDescent="0.25">
      <c r="B73" s="163"/>
      <c r="C73" s="163"/>
      <c r="D73" s="163"/>
      <c r="E73" s="163"/>
      <c r="F73" s="163"/>
      <c r="H73" s="36"/>
    </row>
    <row r="74" spans="2:24" x14ac:dyDescent="0.25">
      <c r="H74" s="36"/>
    </row>
    <row r="75" spans="2:24" x14ac:dyDescent="0.25">
      <c r="H75" s="36"/>
    </row>
    <row r="76" spans="2:24" x14ac:dyDescent="0.25">
      <c r="H76" s="36"/>
    </row>
    <row r="77" spans="2:24" x14ac:dyDescent="0.25">
      <c r="H77" s="36"/>
    </row>
    <row r="78" spans="2:24" ht="13.8" x14ac:dyDescent="0.25">
      <c r="H78" s="157" t="s">
        <v>201</v>
      </c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</row>
    <row r="79" spans="2:24" x14ac:dyDescent="0.25">
      <c r="H79" s="36"/>
    </row>
    <row r="80" spans="2:24" ht="28.5" customHeight="1" x14ac:dyDescent="0.3">
      <c r="B80" s="193" t="s">
        <v>43</v>
      </c>
      <c r="C80" s="193"/>
      <c r="D80" s="193"/>
      <c r="E80" s="194"/>
      <c r="F80" s="194"/>
      <c r="G80" s="194"/>
      <c r="H80" s="194"/>
      <c r="I80" s="2"/>
      <c r="J80" s="2"/>
      <c r="K80" s="13" t="s">
        <v>25</v>
      </c>
      <c r="L80" s="195" t="s">
        <v>14</v>
      </c>
      <c r="M80" s="196"/>
      <c r="N80" s="196"/>
      <c r="O80" s="196"/>
      <c r="P80" s="196"/>
      <c r="Q80" s="196"/>
      <c r="R80" s="196"/>
      <c r="S80" s="196"/>
      <c r="T80" s="196"/>
      <c r="U80" s="196"/>
      <c r="V80" s="197"/>
      <c r="X80" s="1"/>
    </row>
    <row r="81" spans="2:24" ht="26.25" customHeight="1" x14ac:dyDescent="0.4">
      <c r="B81" s="39" t="s">
        <v>44</v>
      </c>
      <c r="C81" s="39"/>
      <c r="D81" s="39"/>
      <c r="E81" s="2"/>
      <c r="F81" s="2"/>
      <c r="G81" s="2"/>
      <c r="H81" s="2"/>
      <c r="I81" s="2"/>
      <c r="J81" s="2"/>
      <c r="K81" s="29" t="s">
        <v>13</v>
      </c>
      <c r="L81" s="15">
        <v>4</v>
      </c>
      <c r="M81" s="16">
        <v>1</v>
      </c>
      <c r="N81" s="15">
        <v>0</v>
      </c>
      <c r="O81" s="198">
        <v>0</v>
      </c>
      <c r="P81" s="199"/>
      <c r="Q81" s="14">
        <v>0</v>
      </c>
      <c r="R81" s="200">
        <v>1</v>
      </c>
      <c r="S81" s="201"/>
      <c r="T81" s="6"/>
      <c r="U81" s="6"/>
      <c r="V81" s="7"/>
      <c r="X81" s="1"/>
    </row>
    <row r="82" spans="2:24" ht="21" customHeight="1" x14ac:dyDescent="0.25">
      <c r="B82" s="26" t="s">
        <v>45</v>
      </c>
      <c r="C82" s="26"/>
      <c r="D82" s="26"/>
      <c r="E82" s="25"/>
      <c r="F82" s="25"/>
      <c r="G82" s="25"/>
      <c r="H82" s="25"/>
      <c r="I82" s="25"/>
      <c r="J82" s="25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X82" s="1"/>
    </row>
    <row r="83" spans="2:24" ht="13.5" customHeight="1" x14ac:dyDescent="0.25">
      <c r="B83" s="40" t="s">
        <v>24</v>
      </c>
      <c r="C83" s="40"/>
      <c r="D83" s="40"/>
      <c r="E83" s="25"/>
      <c r="F83" s="25"/>
      <c r="G83" s="25"/>
      <c r="H83" s="25"/>
      <c r="I83" s="25"/>
      <c r="J83" s="25"/>
      <c r="K83" s="28" t="s">
        <v>6</v>
      </c>
      <c r="L83" s="202">
        <f>IF(F96&lt;&gt;"",$L$5,"")</f>
        <v>2026</v>
      </c>
      <c r="M83" s="203"/>
      <c r="N83" s="204" t="s">
        <v>15</v>
      </c>
      <c r="O83" s="204"/>
      <c r="P83" s="204"/>
      <c r="Q83" s="205">
        <f>IF(F96&lt;&gt;"",$Q$5,"")</f>
        <v>1</v>
      </c>
      <c r="R83" s="206"/>
      <c r="S83" s="207" t="s">
        <v>16</v>
      </c>
      <c r="T83" s="204"/>
      <c r="U83" s="82">
        <f>IF(F96&lt;&gt;"",$U$5,"")</f>
        <v>5</v>
      </c>
      <c r="V83" s="63"/>
      <c r="X83" s="1"/>
    </row>
    <row r="84" spans="2:24" ht="8.25" customHeight="1" x14ac:dyDescent="0.25"/>
    <row r="85" spans="2:24" ht="11.25" customHeight="1" x14ac:dyDescent="0.25">
      <c r="B85" s="24" t="s">
        <v>17</v>
      </c>
      <c r="C85" s="24"/>
      <c r="D85" s="24"/>
    </row>
    <row r="86" spans="2:24" ht="11.25" customHeight="1" x14ac:dyDescent="0.25">
      <c r="B86" s="8" t="s">
        <v>18</v>
      </c>
      <c r="C86" s="8"/>
      <c r="D86" s="8"/>
    </row>
    <row r="87" spans="2:24" ht="5.25" customHeight="1" x14ac:dyDescent="0.25">
      <c r="B87" s="8"/>
      <c r="C87" s="8"/>
      <c r="D87" s="8"/>
    </row>
    <row r="88" spans="2:24" x14ac:dyDescent="0.25">
      <c r="B88" s="179" t="s">
        <v>19</v>
      </c>
      <c r="C88" s="179"/>
      <c r="D88" s="179"/>
      <c r="E88" s="179"/>
      <c r="F88" s="179"/>
      <c r="G88" s="18" t="s">
        <v>6</v>
      </c>
      <c r="H88" s="64">
        <f>IF(F96&lt;&gt;"",$H$10,"")</f>
        <v>2026</v>
      </c>
      <c r="I88" s="9" t="s">
        <v>15</v>
      </c>
      <c r="J88" s="83">
        <f>IF(F96&lt;&gt;"",$J$10,"")</f>
        <v>1</v>
      </c>
      <c r="K88" s="9" t="s">
        <v>16</v>
      </c>
      <c r="L88" s="180">
        <f>IF(F96&lt;&gt;"",$L$10,"")</f>
        <v>5</v>
      </c>
      <c r="M88" s="181"/>
      <c r="X88" s="32"/>
    </row>
    <row r="89" spans="2:24" ht="5.25" customHeight="1" x14ac:dyDescent="0.25">
      <c r="B89" s="8"/>
      <c r="C89" s="8"/>
      <c r="D89" s="8"/>
      <c r="E89" s="8"/>
      <c r="F89" s="8"/>
      <c r="G89" s="19"/>
      <c r="H89" s="20"/>
      <c r="I89" s="21"/>
      <c r="J89" s="20"/>
      <c r="K89" s="10"/>
      <c r="L89" s="22"/>
      <c r="X89" s="32"/>
    </row>
    <row r="90" spans="2:24" s="73" customFormat="1" ht="14.4" customHeight="1" x14ac:dyDescent="0.25">
      <c r="B90" s="72" t="s">
        <v>20</v>
      </c>
      <c r="C90" s="72"/>
      <c r="D90" s="72"/>
      <c r="X90" s="74"/>
    </row>
    <row r="91" spans="2:24" s="73" customFormat="1" ht="14.4" customHeight="1" x14ac:dyDescent="0.25">
      <c r="B91" s="75" t="s">
        <v>21</v>
      </c>
      <c r="C91" s="10"/>
      <c r="D91" s="10"/>
      <c r="E91" s="22" t="s">
        <v>22</v>
      </c>
      <c r="X91" s="74"/>
    </row>
    <row r="92" spans="2:24" s="73" customFormat="1" ht="14.4" customHeight="1" x14ac:dyDescent="0.25">
      <c r="B92" s="22"/>
      <c r="C92" s="22"/>
      <c r="D92" s="22"/>
      <c r="E92" s="22" t="s">
        <v>23</v>
      </c>
      <c r="X92" s="164" t="s">
        <v>102</v>
      </c>
    </row>
    <row r="93" spans="2:24" ht="7.5" customHeight="1" x14ac:dyDescent="0.25">
      <c r="B93" s="8"/>
      <c r="C93" s="8"/>
      <c r="D93" s="8"/>
      <c r="X93" s="164"/>
    </row>
    <row r="94" spans="2:24" ht="17.25" customHeight="1" x14ac:dyDescent="0.25">
      <c r="B94" s="182"/>
      <c r="C94" s="59"/>
      <c r="D94" s="60"/>
      <c r="E94" s="184" t="s">
        <v>0</v>
      </c>
      <c r="F94" s="186" t="s">
        <v>1</v>
      </c>
      <c r="G94" s="187"/>
      <c r="H94" s="4"/>
      <c r="I94" s="4"/>
      <c r="J94" s="4"/>
      <c r="K94" s="5"/>
      <c r="L94" s="145" t="s">
        <v>3</v>
      </c>
      <c r="M94" s="142"/>
      <c r="N94" s="188" t="s">
        <v>10</v>
      </c>
      <c r="O94" s="188"/>
      <c r="P94" s="188"/>
      <c r="Q94" s="188"/>
      <c r="R94" s="188"/>
      <c r="S94" s="188"/>
      <c r="T94" s="188"/>
      <c r="U94" s="189"/>
      <c r="V94" s="3" t="s">
        <v>12</v>
      </c>
      <c r="X94" s="68" t="s">
        <v>200</v>
      </c>
    </row>
    <row r="95" spans="2:24" ht="17.25" customHeight="1" x14ac:dyDescent="0.25">
      <c r="B95" s="183"/>
      <c r="C95" s="61"/>
      <c r="D95" s="62"/>
      <c r="E95" s="185"/>
      <c r="F95" s="30" t="s">
        <v>2</v>
      </c>
      <c r="G95" s="17"/>
      <c r="H95" s="6"/>
      <c r="I95" s="6"/>
      <c r="J95" s="6"/>
      <c r="K95" s="7"/>
      <c r="L95" s="190" t="s">
        <v>4</v>
      </c>
      <c r="M95" s="191"/>
      <c r="N95" s="192" t="s">
        <v>9</v>
      </c>
      <c r="O95" s="192"/>
      <c r="P95" s="192"/>
      <c r="Q95" s="192"/>
      <c r="R95" s="192"/>
      <c r="S95" s="192"/>
      <c r="T95" s="192"/>
      <c r="U95" s="191"/>
      <c r="V95" s="31" t="s">
        <v>11</v>
      </c>
      <c r="X95" s="69"/>
    </row>
    <row r="96" spans="2:24" ht="10.95" customHeight="1" x14ac:dyDescent="0.25">
      <c r="B96" s="41"/>
      <c r="C96" s="51"/>
      <c r="D96" s="42"/>
      <c r="E96" s="154">
        <v>11</v>
      </c>
      <c r="F96" s="145" t="str">
        <f>_xlfn.IFNA(VLOOKUP(E96,'Data Kyu'!$A$6:$I$471,3,0),"")</f>
        <v>XX.X.XX.XX.XX.011</v>
      </c>
      <c r="G96" s="142"/>
      <c r="H96" s="66"/>
      <c r="I96" s="66"/>
      <c r="J96" s="66"/>
      <c r="K96" s="66"/>
      <c r="L96" s="145" t="str">
        <f>_xlfn.IFNA(VLOOKUP(E96,'Data Kyu'!$A$6:$I$471,9,0),"")</f>
        <v>6 KYU</v>
      </c>
      <c r="M96" s="142"/>
      <c r="N96" s="145">
        <f>_xlfn.IFNA(VLOOKUP(E96,'Data Kyu'!$A$6:$I$471,6,0),"")</f>
        <v>2018</v>
      </c>
      <c r="O96" s="141"/>
      <c r="P96" s="139" t="s">
        <v>5</v>
      </c>
      <c r="Q96" s="141">
        <f>_xlfn.IFNA(VLOOKUP(E96,'Data Kyu'!$A$6:$I$471,7,0),"")</f>
        <v>10</v>
      </c>
      <c r="R96" s="141"/>
      <c r="S96" s="139" t="s">
        <v>5</v>
      </c>
      <c r="T96" s="141" t="str">
        <f>_xlfn.IFNA(VLOOKUP(E96,'Data Kyu'!$A$6:$I$471,8,0),"")</f>
        <v>01</v>
      </c>
      <c r="U96" s="142"/>
      <c r="V96" s="142" t="str">
        <f>_xlfn.IFNA(VLOOKUP(E96,'Data Kyu'!$A$6:$I$471,4,0),"")</f>
        <v>Male</v>
      </c>
      <c r="X96" s="214" t="str">
        <f>_xlfn.IFNA(VLOOKUP(F96,'Data Kyu'!$C$6:$N$997,12,0),"No Data")</f>
        <v>LULUS</v>
      </c>
    </row>
    <row r="97" spans="2:24" ht="10.95" customHeight="1" x14ac:dyDescent="0.25">
      <c r="B97" s="52"/>
      <c r="C97" s="165" t="str">
        <f>IF(X96="LULUS","V","")</f>
        <v>V</v>
      </c>
      <c r="D97" s="53"/>
      <c r="E97" s="155"/>
      <c r="F97" s="148"/>
      <c r="G97" s="144"/>
      <c r="H97" s="67"/>
      <c r="I97" s="67"/>
      <c r="J97" s="67"/>
      <c r="K97" s="67"/>
      <c r="L97" s="146"/>
      <c r="M97" s="147"/>
      <c r="N97" s="148"/>
      <c r="O97" s="143"/>
      <c r="P97" s="140"/>
      <c r="Q97" s="143"/>
      <c r="R97" s="143"/>
      <c r="S97" s="140"/>
      <c r="T97" s="143"/>
      <c r="U97" s="144"/>
      <c r="V97" s="147"/>
      <c r="X97" s="214"/>
    </row>
    <row r="98" spans="2:24" ht="10.95" customHeight="1" x14ac:dyDescent="0.25">
      <c r="B98" s="52"/>
      <c r="C98" s="166"/>
      <c r="D98" s="53"/>
      <c r="E98" s="155"/>
      <c r="F98" s="167" t="str">
        <f>_xlfn.IFNA(VLOOKUP(E96,'Data Kyu'!$A$6:$I$471,2,0),"")</f>
        <v>Kenshi 11</v>
      </c>
      <c r="G98" s="168"/>
      <c r="H98" s="168"/>
      <c r="I98" s="168"/>
      <c r="J98" s="168"/>
      <c r="K98" s="169"/>
      <c r="L98" s="146"/>
      <c r="M98" s="147"/>
      <c r="N98" s="173" t="s">
        <v>6</v>
      </c>
      <c r="O98" s="159"/>
      <c r="P98" s="57"/>
      <c r="Q98" s="159" t="s">
        <v>7</v>
      </c>
      <c r="R98" s="159"/>
      <c r="S98" s="57"/>
      <c r="T98" s="159" t="s">
        <v>8</v>
      </c>
      <c r="U98" s="160"/>
      <c r="V98" s="175"/>
      <c r="X98" s="214"/>
    </row>
    <row r="99" spans="2:24" ht="10.95" customHeight="1" x14ac:dyDescent="0.25">
      <c r="B99" s="54"/>
      <c r="C99" s="76"/>
      <c r="D99" s="56"/>
      <c r="E99" s="156"/>
      <c r="F99" s="170"/>
      <c r="G99" s="171"/>
      <c r="H99" s="171"/>
      <c r="I99" s="171"/>
      <c r="J99" s="171"/>
      <c r="K99" s="172"/>
      <c r="L99" s="148"/>
      <c r="M99" s="144"/>
      <c r="N99" s="174"/>
      <c r="O99" s="161"/>
      <c r="P99" s="27"/>
      <c r="Q99" s="161"/>
      <c r="R99" s="161"/>
      <c r="S99" s="27"/>
      <c r="T99" s="161"/>
      <c r="U99" s="162"/>
      <c r="V99" s="176"/>
      <c r="X99" s="214"/>
    </row>
    <row r="100" spans="2:24" ht="10.95" customHeight="1" x14ac:dyDescent="0.25">
      <c r="B100" s="41"/>
      <c r="C100" s="77"/>
      <c r="D100" s="42"/>
      <c r="E100" s="154">
        <v>12</v>
      </c>
      <c r="F100" s="145" t="str">
        <f>_xlfn.IFNA(VLOOKUP(E100,'Data Kyu'!$A$6:$I$471,3,0),"")</f>
        <v>XX.X.XX.XX.XX.012</v>
      </c>
      <c r="G100" s="142"/>
      <c r="H100" s="66"/>
      <c r="I100" s="66"/>
      <c r="J100" s="66"/>
      <c r="K100" s="66"/>
      <c r="L100" s="145" t="str">
        <f>_xlfn.IFNA(VLOOKUP(E100,'Data Kyu'!$A$6:$I$471,9,0),"")</f>
        <v>6 KYU</v>
      </c>
      <c r="M100" s="142"/>
      <c r="N100" s="145">
        <f>_xlfn.IFNA(VLOOKUP(E100,'Data Kyu'!$A$6:$I$471,6,0),"")</f>
        <v>2018</v>
      </c>
      <c r="O100" s="141"/>
      <c r="P100" s="139" t="s">
        <v>5</v>
      </c>
      <c r="Q100" s="141">
        <f>_xlfn.IFNA(VLOOKUP(E100,'Data Kyu'!$A$6:$I$471,7,0),"")</f>
        <v>11</v>
      </c>
      <c r="R100" s="141"/>
      <c r="S100" s="139" t="s">
        <v>5</v>
      </c>
      <c r="T100" s="141" t="str">
        <f>_xlfn.IFNA(VLOOKUP(E100,'Data Kyu'!$A$6:$I$471,8,0),"")</f>
        <v>02</v>
      </c>
      <c r="U100" s="142"/>
      <c r="V100" s="142" t="str">
        <f>_xlfn.IFNA(VLOOKUP(E100,'Data Kyu'!$A$6:$I$471,4,0),"")</f>
        <v>Male</v>
      </c>
      <c r="X100" s="214" t="str">
        <f>_xlfn.IFNA(VLOOKUP(F100,'Data Kyu'!$C$6:$N$997,12,0),"No Data")</f>
        <v>LULUS</v>
      </c>
    </row>
    <row r="101" spans="2:24" ht="10.95" customHeight="1" x14ac:dyDescent="0.25">
      <c r="B101" s="52"/>
      <c r="C101" s="165" t="str">
        <f>IF(X100="LULUS","V","")</f>
        <v>V</v>
      </c>
      <c r="D101" s="53"/>
      <c r="E101" s="155"/>
      <c r="F101" s="148"/>
      <c r="G101" s="144"/>
      <c r="H101" s="67"/>
      <c r="I101" s="67"/>
      <c r="J101" s="67"/>
      <c r="K101" s="67"/>
      <c r="L101" s="146"/>
      <c r="M101" s="147"/>
      <c r="N101" s="148"/>
      <c r="O101" s="143"/>
      <c r="P101" s="140"/>
      <c r="Q101" s="143"/>
      <c r="R101" s="143"/>
      <c r="S101" s="140"/>
      <c r="T101" s="143"/>
      <c r="U101" s="144"/>
      <c r="V101" s="147"/>
      <c r="X101" s="214"/>
    </row>
    <row r="102" spans="2:24" ht="10.95" customHeight="1" x14ac:dyDescent="0.25">
      <c r="B102" s="52"/>
      <c r="C102" s="166"/>
      <c r="D102" s="53"/>
      <c r="E102" s="155"/>
      <c r="F102" s="167" t="str">
        <f>_xlfn.IFNA(VLOOKUP(E100,'Data Kyu'!$A$6:$I$471,2,0),"")</f>
        <v>Kenshi 12</v>
      </c>
      <c r="G102" s="168"/>
      <c r="H102" s="168"/>
      <c r="I102" s="168"/>
      <c r="J102" s="168"/>
      <c r="K102" s="169"/>
      <c r="L102" s="146"/>
      <c r="M102" s="147"/>
      <c r="N102" s="173" t="s">
        <v>6</v>
      </c>
      <c r="O102" s="159"/>
      <c r="P102" s="57"/>
      <c r="Q102" s="159" t="s">
        <v>7</v>
      </c>
      <c r="R102" s="159"/>
      <c r="S102" s="57"/>
      <c r="T102" s="159" t="s">
        <v>8</v>
      </c>
      <c r="U102" s="160"/>
      <c r="V102" s="175"/>
      <c r="X102" s="214"/>
    </row>
    <row r="103" spans="2:24" ht="10.95" customHeight="1" x14ac:dyDescent="0.25">
      <c r="B103" s="54"/>
      <c r="C103" s="76"/>
      <c r="D103" s="56"/>
      <c r="E103" s="156"/>
      <c r="F103" s="170"/>
      <c r="G103" s="171"/>
      <c r="H103" s="171"/>
      <c r="I103" s="171"/>
      <c r="J103" s="171"/>
      <c r="K103" s="172"/>
      <c r="L103" s="148"/>
      <c r="M103" s="144"/>
      <c r="N103" s="174"/>
      <c r="O103" s="161"/>
      <c r="P103" s="27"/>
      <c r="Q103" s="161"/>
      <c r="R103" s="161"/>
      <c r="S103" s="27"/>
      <c r="T103" s="161"/>
      <c r="U103" s="162"/>
      <c r="V103" s="176"/>
      <c r="X103" s="214"/>
    </row>
    <row r="104" spans="2:24" ht="10.95" customHeight="1" x14ac:dyDescent="0.25">
      <c r="B104" s="41"/>
      <c r="C104" s="77"/>
      <c r="D104" s="42"/>
      <c r="E104" s="154">
        <v>13</v>
      </c>
      <c r="F104" s="145" t="str">
        <f>_xlfn.IFNA(VLOOKUP(E104,'Data Kyu'!$A$6:$I$471,3,0),"")</f>
        <v>XX.X.XX.XX.XX.013</v>
      </c>
      <c r="G104" s="142"/>
      <c r="H104" s="66"/>
      <c r="I104" s="66"/>
      <c r="J104" s="66"/>
      <c r="K104" s="66"/>
      <c r="L104" s="145" t="str">
        <f>_xlfn.IFNA(VLOOKUP(E104,'Data Kyu'!$A$6:$I$471,9,0),"")</f>
        <v>6 KYU</v>
      </c>
      <c r="M104" s="142"/>
      <c r="N104" s="145">
        <f>_xlfn.IFNA(VLOOKUP(E104,'Data Kyu'!$A$6:$I$471,6,0),"")</f>
        <v>2018</v>
      </c>
      <c r="O104" s="141"/>
      <c r="P104" s="139" t="s">
        <v>5</v>
      </c>
      <c r="Q104" s="141">
        <f>_xlfn.IFNA(VLOOKUP(E104,'Data Kyu'!$A$6:$I$471,7,0),"")</f>
        <v>12</v>
      </c>
      <c r="R104" s="141"/>
      <c r="S104" s="139" t="s">
        <v>5</v>
      </c>
      <c r="T104" s="141" t="str">
        <f>_xlfn.IFNA(VLOOKUP(E104,'Data Kyu'!$A$6:$I$471,8,0),"")</f>
        <v>03</v>
      </c>
      <c r="U104" s="142"/>
      <c r="V104" s="142" t="str">
        <f>_xlfn.IFNA(VLOOKUP(E104,'Data Kyu'!$A$6:$I$471,4,0),"")</f>
        <v>Male</v>
      </c>
      <c r="X104" s="214" t="str">
        <f>_xlfn.IFNA(VLOOKUP(F104,'Data Kyu'!$C$6:$N$997,12,0),"No Data")</f>
        <v>LULUS</v>
      </c>
    </row>
    <row r="105" spans="2:24" ht="10.95" customHeight="1" x14ac:dyDescent="0.25">
      <c r="B105" s="52"/>
      <c r="C105" s="165" t="str">
        <f>IF(X104="LULUS","V","")</f>
        <v>V</v>
      </c>
      <c r="D105" s="53"/>
      <c r="E105" s="155"/>
      <c r="F105" s="148"/>
      <c r="G105" s="144"/>
      <c r="H105" s="67"/>
      <c r="I105" s="67"/>
      <c r="J105" s="67"/>
      <c r="K105" s="67"/>
      <c r="L105" s="146"/>
      <c r="M105" s="147"/>
      <c r="N105" s="148"/>
      <c r="O105" s="143"/>
      <c r="P105" s="140"/>
      <c r="Q105" s="143"/>
      <c r="R105" s="143"/>
      <c r="S105" s="140"/>
      <c r="T105" s="143"/>
      <c r="U105" s="144"/>
      <c r="V105" s="147"/>
      <c r="X105" s="214"/>
    </row>
    <row r="106" spans="2:24" ht="10.95" customHeight="1" x14ac:dyDescent="0.25">
      <c r="B106" s="52"/>
      <c r="C106" s="166"/>
      <c r="D106" s="53"/>
      <c r="E106" s="155"/>
      <c r="F106" s="167" t="str">
        <f>_xlfn.IFNA(VLOOKUP(E104,'Data Kyu'!$A$6:$I$471,2,0),"")</f>
        <v>Kenshi 13</v>
      </c>
      <c r="G106" s="168"/>
      <c r="H106" s="168"/>
      <c r="I106" s="168"/>
      <c r="J106" s="168"/>
      <c r="K106" s="169"/>
      <c r="L106" s="146"/>
      <c r="M106" s="147"/>
      <c r="N106" s="173" t="s">
        <v>6</v>
      </c>
      <c r="O106" s="159"/>
      <c r="P106" s="57"/>
      <c r="Q106" s="159" t="s">
        <v>7</v>
      </c>
      <c r="R106" s="159"/>
      <c r="S106" s="57"/>
      <c r="T106" s="159" t="s">
        <v>8</v>
      </c>
      <c r="U106" s="160"/>
      <c r="V106" s="175"/>
      <c r="X106" s="214"/>
    </row>
    <row r="107" spans="2:24" ht="10.95" customHeight="1" x14ac:dyDescent="0.25">
      <c r="B107" s="54"/>
      <c r="C107" s="76"/>
      <c r="D107" s="56"/>
      <c r="E107" s="156"/>
      <c r="F107" s="170"/>
      <c r="G107" s="171"/>
      <c r="H107" s="171"/>
      <c r="I107" s="171"/>
      <c r="J107" s="171"/>
      <c r="K107" s="172"/>
      <c r="L107" s="148"/>
      <c r="M107" s="144"/>
      <c r="N107" s="174"/>
      <c r="O107" s="161"/>
      <c r="P107" s="27"/>
      <c r="Q107" s="161"/>
      <c r="R107" s="161"/>
      <c r="S107" s="27"/>
      <c r="T107" s="161"/>
      <c r="U107" s="162"/>
      <c r="V107" s="176"/>
      <c r="X107" s="214"/>
    </row>
    <row r="108" spans="2:24" ht="10.95" customHeight="1" x14ac:dyDescent="0.25">
      <c r="B108" s="41"/>
      <c r="C108" s="77"/>
      <c r="D108" s="42"/>
      <c r="E108" s="154">
        <v>14</v>
      </c>
      <c r="F108" s="145" t="str">
        <f>_xlfn.IFNA(VLOOKUP(E108,'Data Kyu'!$A$6:$I$471,3,0),"")</f>
        <v>XX.X.XX.XX.XX.014</v>
      </c>
      <c r="G108" s="142"/>
      <c r="H108" s="66"/>
      <c r="I108" s="66"/>
      <c r="J108" s="66"/>
      <c r="K108" s="66"/>
      <c r="L108" s="145" t="str">
        <f>_xlfn.IFNA(VLOOKUP(E108,'Data Kyu'!$A$6:$I$471,9,0),"")</f>
        <v>6 KYU</v>
      </c>
      <c r="M108" s="142"/>
      <c r="N108" s="145">
        <f>_xlfn.IFNA(VLOOKUP(E108,'Data Kyu'!$A$6:$I$471,6,0),"")</f>
        <v>2018</v>
      </c>
      <c r="O108" s="141"/>
      <c r="P108" s="139" t="s">
        <v>5</v>
      </c>
      <c r="Q108" s="141">
        <f>_xlfn.IFNA(VLOOKUP(E108,'Data Kyu'!$A$6:$I$471,7,0),"")</f>
        <v>13</v>
      </c>
      <c r="R108" s="141"/>
      <c r="S108" s="139" t="s">
        <v>5</v>
      </c>
      <c r="T108" s="141" t="str">
        <f>_xlfn.IFNA(VLOOKUP(E108,'Data Kyu'!$A$6:$I$471,8,0),"")</f>
        <v>04</v>
      </c>
      <c r="U108" s="142"/>
      <c r="V108" s="142" t="str">
        <f>_xlfn.IFNA(VLOOKUP(E108,'Data Kyu'!$A$6:$I$471,4,0),"")</f>
        <v>Male</v>
      </c>
      <c r="X108" s="214" t="str">
        <f>_xlfn.IFNA(VLOOKUP(F108,'Data Kyu'!$C$6:$N$997,12,0),"No Data")</f>
        <v>LULUS</v>
      </c>
    </row>
    <row r="109" spans="2:24" ht="10.95" customHeight="1" x14ac:dyDescent="0.25">
      <c r="B109" s="52"/>
      <c r="C109" s="165" t="str">
        <f>IF(X108="LULUS","V","")</f>
        <v>V</v>
      </c>
      <c r="D109" s="53"/>
      <c r="E109" s="155"/>
      <c r="F109" s="148"/>
      <c r="G109" s="144"/>
      <c r="H109" s="67"/>
      <c r="I109" s="67"/>
      <c r="J109" s="67"/>
      <c r="K109" s="67"/>
      <c r="L109" s="146"/>
      <c r="M109" s="147"/>
      <c r="N109" s="148"/>
      <c r="O109" s="143"/>
      <c r="P109" s="140"/>
      <c r="Q109" s="143"/>
      <c r="R109" s="143"/>
      <c r="S109" s="140"/>
      <c r="T109" s="143"/>
      <c r="U109" s="144"/>
      <c r="V109" s="147"/>
      <c r="X109" s="214"/>
    </row>
    <row r="110" spans="2:24" ht="10.95" customHeight="1" x14ac:dyDescent="0.25">
      <c r="B110" s="52"/>
      <c r="C110" s="166"/>
      <c r="D110" s="53"/>
      <c r="E110" s="155"/>
      <c r="F110" s="167" t="str">
        <f>_xlfn.IFNA(VLOOKUP(E108,'Data Kyu'!$A$6:$I$471,2,0),"")</f>
        <v>Kenshi 14</v>
      </c>
      <c r="G110" s="168"/>
      <c r="H110" s="168"/>
      <c r="I110" s="168"/>
      <c r="J110" s="168"/>
      <c r="K110" s="169"/>
      <c r="L110" s="146"/>
      <c r="M110" s="147"/>
      <c r="N110" s="173" t="s">
        <v>6</v>
      </c>
      <c r="O110" s="159"/>
      <c r="P110" s="57"/>
      <c r="Q110" s="159" t="s">
        <v>7</v>
      </c>
      <c r="R110" s="159"/>
      <c r="S110" s="57"/>
      <c r="T110" s="159" t="s">
        <v>8</v>
      </c>
      <c r="U110" s="160"/>
      <c r="V110" s="175"/>
      <c r="X110" s="214"/>
    </row>
    <row r="111" spans="2:24" ht="10.95" customHeight="1" x14ac:dyDescent="0.25">
      <c r="B111" s="54"/>
      <c r="C111" s="76"/>
      <c r="D111" s="56"/>
      <c r="E111" s="156"/>
      <c r="F111" s="170"/>
      <c r="G111" s="171"/>
      <c r="H111" s="171"/>
      <c r="I111" s="171"/>
      <c r="J111" s="171"/>
      <c r="K111" s="172"/>
      <c r="L111" s="148"/>
      <c r="M111" s="144"/>
      <c r="N111" s="174"/>
      <c r="O111" s="161"/>
      <c r="P111" s="27"/>
      <c r="Q111" s="161"/>
      <c r="R111" s="161"/>
      <c r="S111" s="27"/>
      <c r="T111" s="161"/>
      <c r="U111" s="162"/>
      <c r="V111" s="176"/>
      <c r="X111" s="214"/>
    </row>
    <row r="112" spans="2:24" ht="10.95" customHeight="1" x14ac:dyDescent="0.25">
      <c r="B112" s="41"/>
      <c r="C112" s="77"/>
      <c r="D112" s="42"/>
      <c r="E112" s="154">
        <v>15</v>
      </c>
      <c r="F112" s="145" t="str">
        <f>_xlfn.IFNA(VLOOKUP(E112,'Data Kyu'!$A$6:$I$471,3,0),"")</f>
        <v>XX.X.XX.XX.XX.015</v>
      </c>
      <c r="G112" s="142"/>
      <c r="H112" s="66"/>
      <c r="I112" s="66"/>
      <c r="J112" s="66"/>
      <c r="K112" s="66"/>
      <c r="L112" s="145" t="str">
        <f>_xlfn.IFNA(VLOOKUP(E112,'Data Kyu'!$A$6:$I$471,9,0),"")</f>
        <v>6 KYU</v>
      </c>
      <c r="M112" s="142"/>
      <c r="N112" s="145">
        <f>_xlfn.IFNA(VLOOKUP(E112,'Data Kyu'!$A$6:$I$471,6,0),"")</f>
        <v>2018</v>
      </c>
      <c r="O112" s="141"/>
      <c r="P112" s="139" t="s">
        <v>5</v>
      </c>
      <c r="Q112" s="141">
        <f>_xlfn.IFNA(VLOOKUP(E112,'Data Kyu'!$A$6:$I$471,7,0),"")</f>
        <v>14</v>
      </c>
      <c r="R112" s="141"/>
      <c r="S112" s="139" t="s">
        <v>5</v>
      </c>
      <c r="T112" s="141" t="str">
        <f>_xlfn.IFNA(VLOOKUP(E112,'Data Kyu'!$A$6:$I$471,8,0),"")</f>
        <v>05</v>
      </c>
      <c r="U112" s="142"/>
      <c r="V112" s="142" t="str">
        <f>_xlfn.IFNA(VLOOKUP(E112,'Data Kyu'!$A$6:$I$471,4,0),"")</f>
        <v>Female</v>
      </c>
      <c r="X112" s="214" t="str">
        <f>_xlfn.IFNA(VLOOKUP(F112,'Data Kyu'!$C$6:$N$997,12,0),"No Data")</f>
        <v>TIDAK HADIR</v>
      </c>
    </row>
    <row r="113" spans="2:24" ht="10.95" customHeight="1" x14ac:dyDescent="0.25">
      <c r="B113" s="52"/>
      <c r="C113" s="165" t="str">
        <f>IF(X112="LULUS","V","")</f>
        <v/>
      </c>
      <c r="D113" s="53"/>
      <c r="E113" s="155"/>
      <c r="F113" s="148"/>
      <c r="G113" s="144"/>
      <c r="H113" s="67"/>
      <c r="I113" s="67"/>
      <c r="J113" s="67"/>
      <c r="K113" s="67"/>
      <c r="L113" s="146"/>
      <c r="M113" s="147"/>
      <c r="N113" s="148"/>
      <c r="O113" s="143"/>
      <c r="P113" s="140"/>
      <c r="Q113" s="143"/>
      <c r="R113" s="143"/>
      <c r="S113" s="140"/>
      <c r="T113" s="143"/>
      <c r="U113" s="144"/>
      <c r="V113" s="147"/>
      <c r="X113" s="214"/>
    </row>
    <row r="114" spans="2:24" ht="10.95" customHeight="1" x14ac:dyDescent="0.25">
      <c r="B114" s="52"/>
      <c r="C114" s="166"/>
      <c r="D114" s="53"/>
      <c r="E114" s="155"/>
      <c r="F114" s="167" t="str">
        <f>_xlfn.IFNA(VLOOKUP(E112,'Data Kyu'!$A$6:$I$471,2,0),"")</f>
        <v>Kenshi 15</v>
      </c>
      <c r="G114" s="168"/>
      <c r="H114" s="168"/>
      <c r="I114" s="168"/>
      <c r="J114" s="168"/>
      <c r="K114" s="169"/>
      <c r="L114" s="146"/>
      <c r="M114" s="147"/>
      <c r="N114" s="173" t="s">
        <v>6</v>
      </c>
      <c r="O114" s="159"/>
      <c r="P114" s="57"/>
      <c r="Q114" s="159" t="s">
        <v>7</v>
      </c>
      <c r="R114" s="159"/>
      <c r="S114" s="57"/>
      <c r="T114" s="159" t="s">
        <v>8</v>
      </c>
      <c r="U114" s="160"/>
      <c r="V114" s="175"/>
      <c r="X114" s="214"/>
    </row>
    <row r="115" spans="2:24" ht="10.95" customHeight="1" x14ac:dyDescent="0.25">
      <c r="B115" s="54"/>
      <c r="C115" s="76"/>
      <c r="D115" s="56"/>
      <c r="E115" s="156"/>
      <c r="F115" s="170"/>
      <c r="G115" s="171"/>
      <c r="H115" s="171"/>
      <c r="I115" s="171"/>
      <c r="J115" s="171"/>
      <c r="K115" s="172"/>
      <c r="L115" s="148"/>
      <c r="M115" s="144"/>
      <c r="N115" s="174"/>
      <c r="O115" s="161"/>
      <c r="P115" s="27"/>
      <c r="Q115" s="161"/>
      <c r="R115" s="161"/>
      <c r="S115" s="27"/>
      <c r="T115" s="161"/>
      <c r="U115" s="162"/>
      <c r="V115" s="176"/>
      <c r="X115" s="214"/>
    </row>
    <row r="116" spans="2:24" ht="10.95" customHeight="1" x14ac:dyDescent="0.25">
      <c r="B116" s="41"/>
      <c r="C116" s="77"/>
      <c r="D116" s="42"/>
      <c r="E116" s="154">
        <v>16</v>
      </c>
      <c r="F116" s="145" t="str">
        <f>_xlfn.IFNA(VLOOKUP(E116,'Data Kyu'!$A$6:$I$471,3,0),"")</f>
        <v>XX.X.XX.XX.XX.016</v>
      </c>
      <c r="G116" s="142"/>
      <c r="H116" s="66"/>
      <c r="I116" s="66"/>
      <c r="J116" s="66"/>
      <c r="K116" s="66"/>
      <c r="L116" s="145" t="str">
        <f>_xlfn.IFNA(VLOOKUP(E116,'Data Kyu'!$A$6:$I$471,9,0),"")</f>
        <v>5 KYU</v>
      </c>
      <c r="M116" s="142"/>
      <c r="N116" s="145">
        <f>_xlfn.IFNA(VLOOKUP(E116,'Data Kyu'!$A$6:$I$471,6,0),"")</f>
        <v>2016</v>
      </c>
      <c r="O116" s="141"/>
      <c r="P116" s="139" t="s">
        <v>5</v>
      </c>
      <c r="Q116" s="141" t="str">
        <f>_xlfn.IFNA(VLOOKUP(E116,'Data Kyu'!$A$6:$I$471,7,0),"")</f>
        <v>06</v>
      </c>
      <c r="R116" s="141"/>
      <c r="S116" s="139" t="s">
        <v>5</v>
      </c>
      <c r="T116" s="141" t="str">
        <f>_xlfn.IFNA(VLOOKUP(E116,'Data Kyu'!$A$6:$I$471,8,0),"")</f>
        <v>01</v>
      </c>
      <c r="U116" s="142"/>
      <c r="V116" s="142" t="str">
        <f>_xlfn.IFNA(VLOOKUP(E116,'Data Kyu'!$A$6:$I$471,4,0),"")</f>
        <v>Male</v>
      </c>
      <c r="X116" s="214" t="str">
        <f>_xlfn.IFNA(VLOOKUP(F116,'Data Kyu'!$C$6:$N$997,12,0),"No Data")</f>
        <v>LULUS</v>
      </c>
    </row>
    <row r="117" spans="2:24" ht="10.95" customHeight="1" x14ac:dyDescent="0.25">
      <c r="B117" s="52"/>
      <c r="C117" s="165" t="str">
        <f>IF(X116="LULUS","V","")</f>
        <v>V</v>
      </c>
      <c r="D117" s="53"/>
      <c r="E117" s="155"/>
      <c r="F117" s="148"/>
      <c r="G117" s="144"/>
      <c r="H117" s="67"/>
      <c r="I117" s="67"/>
      <c r="J117" s="67"/>
      <c r="K117" s="67"/>
      <c r="L117" s="146"/>
      <c r="M117" s="147"/>
      <c r="N117" s="148"/>
      <c r="O117" s="143"/>
      <c r="P117" s="140"/>
      <c r="Q117" s="143"/>
      <c r="R117" s="143"/>
      <c r="S117" s="140"/>
      <c r="T117" s="143"/>
      <c r="U117" s="144"/>
      <c r="V117" s="147"/>
      <c r="X117" s="214"/>
    </row>
    <row r="118" spans="2:24" ht="10.95" customHeight="1" x14ac:dyDescent="0.25">
      <c r="B118" s="52"/>
      <c r="C118" s="166"/>
      <c r="D118" s="53"/>
      <c r="E118" s="155"/>
      <c r="F118" s="167" t="str">
        <f>_xlfn.IFNA(VLOOKUP(E116,'Data Kyu'!$A$6:$I$471,2,0),"")</f>
        <v>Kenshi 16</v>
      </c>
      <c r="G118" s="168"/>
      <c r="H118" s="168"/>
      <c r="I118" s="168"/>
      <c r="J118" s="168"/>
      <c r="K118" s="169"/>
      <c r="L118" s="146"/>
      <c r="M118" s="147"/>
      <c r="N118" s="173" t="s">
        <v>6</v>
      </c>
      <c r="O118" s="159"/>
      <c r="P118" s="57"/>
      <c r="Q118" s="159" t="s">
        <v>7</v>
      </c>
      <c r="R118" s="159"/>
      <c r="S118" s="57"/>
      <c r="T118" s="159" t="s">
        <v>8</v>
      </c>
      <c r="U118" s="160"/>
      <c r="V118" s="175"/>
      <c r="X118" s="214"/>
    </row>
    <row r="119" spans="2:24" ht="10.95" customHeight="1" x14ac:dyDescent="0.25">
      <c r="B119" s="54"/>
      <c r="C119" s="76"/>
      <c r="D119" s="56"/>
      <c r="E119" s="156"/>
      <c r="F119" s="170"/>
      <c r="G119" s="171"/>
      <c r="H119" s="171"/>
      <c r="I119" s="171"/>
      <c r="J119" s="171"/>
      <c r="K119" s="172"/>
      <c r="L119" s="148"/>
      <c r="M119" s="144"/>
      <c r="N119" s="174"/>
      <c r="O119" s="161"/>
      <c r="P119" s="27"/>
      <c r="Q119" s="161"/>
      <c r="R119" s="161"/>
      <c r="S119" s="27"/>
      <c r="T119" s="161"/>
      <c r="U119" s="162"/>
      <c r="V119" s="176"/>
      <c r="X119" s="214"/>
    </row>
    <row r="120" spans="2:24" ht="10.95" customHeight="1" x14ac:dyDescent="0.25">
      <c r="B120" s="41"/>
      <c r="C120" s="77"/>
      <c r="D120" s="42"/>
      <c r="E120" s="154">
        <v>17</v>
      </c>
      <c r="F120" s="145" t="str">
        <f>_xlfn.IFNA(VLOOKUP(E120,'Data Kyu'!$A$6:$I$471,3,0),"")</f>
        <v>XX.X.XX.XX.XX.017</v>
      </c>
      <c r="G120" s="142"/>
      <c r="H120" s="66"/>
      <c r="I120" s="66"/>
      <c r="J120" s="66"/>
      <c r="K120" s="66"/>
      <c r="L120" s="145" t="str">
        <f>_xlfn.IFNA(VLOOKUP(E120,'Data Kyu'!$A$6:$I$471,9,0),"")</f>
        <v>5 KYU</v>
      </c>
      <c r="M120" s="142"/>
      <c r="N120" s="145">
        <f>_xlfn.IFNA(VLOOKUP(E120,'Data Kyu'!$A$6:$I$471,6,0),"")</f>
        <v>2016</v>
      </c>
      <c r="O120" s="141"/>
      <c r="P120" s="139" t="s">
        <v>5</v>
      </c>
      <c r="Q120" s="141" t="str">
        <f>_xlfn.IFNA(VLOOKUP(E120,'Data Kyu'!$A$6:$I$471,7,0),"")</f>
        <v>07</v>
      </c>
      <c r="R120" s="141"/>
      <c r="S120" s="139" t="s">
        <v>5</v>
      </c>
      <c r="T120" s="141" t="str">
        <f>_xlfn.IFNA(VLOOKUP(E120,'Data Kyu'!$A$6:$I$471,8,0),"")</f>
        <v>02</v>
      </c>
      <c r="U120" s="142"/>
      <c r="V120" s="142" t="str">
        <f>_xlfn.IFNA(VLOOKUP(E120,'Data Kyu'!$A$6:$I$471,4,0),"")</f>
        <v>Male</v>
      </c>
      <c r="X120" s="214" t="str">
        <f>_xlfn.IFNA(VLOOKUP(F120,'Data Kyu'!$C$6:$N$997,12,0),"No Data")</f>
        <v>LULUS</v>
      </c>
    </row>
    <row r="121" spans="2:24" ht="10.95" customHeight="1" x14ac:dyDescent="0.25">
      <c r="B121" s="52"/>
      <c r="C121" s="165" t="str">
        <f>IF(X120="LULUS","V","")</f>
        <v>V</v>
      </c>
      <c r="D121" s="53"/>
      <c r="E121" s="155"/>
      <c r="F121" s="148"/>
      <c r="G121" s="144"/>
      <c r="H121" s="67"/>
      <c r="I121" s="67"/>
      <c r="J121" s="67"/>
      <c r="K121" s="67"/>
      <c r="L121" s="146"/>
      <c r="M121" s="147"/>
      <c r="N121" s="148"/>
      <c r="O121" s="143"/>
      <c r="P121" s="140"/>
      <c r="Q121" s="143"/>
      <c r="R121" s="143"/>
      <c r="S121" s="140"/>
      <c r="T121" s="143"/>
      <c r="U121" s="144"/>
      <c r="V121" s="147"/>
      <c r="X121" s="214"/>
    </row>
    <row r="122" spans="2:24" ht="10.95" customHeight="1" x14ac:dyDescent="0.25">
      <c r="B122" s="52"/>
      <c r="C122" s="166"/>
      <c r="D122" s="53"/>
      <c r="E122" s="155"/>
      <c r="F122" s="167" t="str">
        <f>_xlfn.IFNA(VLOOKUP(E120,'Data Kyu'!$A$6:$I$471,2,0),"")</f>
        <v>Kenshi 17</v>
      </c>
      <c r="G122" s="168"/>
      <c r="H122" s="168"/>
      <c r="I122" s="168"/>
      <c r="J122" s="168"/>
      <c r="K122" s="169"/>
      <c r="L122" s="146"/>
      <c r="M122" s="147"/>
      <c r="N122" s="173" t="s">
        <v>6</v>
      </c>
      <c r="O122" s="159"/>
      <c r="P122" s="57"/>
      <c r="Q122" s="159" t="s">
        <v>7</v>
      </c>
      <c r="R122" s="159"/>
      <c r="S122" s="57"/>
      <c r="T122" s="159" t="s">
        <v>8</v>
      </c>
      <c r="U122" s="160"/>
      <c r="V122" s="175"/>
      <c r="X122" s="214"/>
    </row>
    <row r="123" spans="2:24" ht="10.95" customHeight="1" x14ac:dyDescent="0.25">
      <c r="B123" s="54"/>
      <c r="C123" s="76"/>
      <c r="D123" s="56"/>
      <c r="E123" s="156"/>
      <c r="F123" s="170"/>
      <c r="G123" s="171"/>
      <c r="H123" s="171"/>
      <c r="I123" s="171"/>
      <c r="J123" s="171"/>
      <c r="K123" s="172"/>
      <c r="L123" s="148"/>
      <c r="M123" s="144"/>
      <c r="N123" s="174"/>
      <c r="O123" s="161"/>
      <c r="P123" s="27"/>
      <c r="Q123" s="161"/>
      <c r="R123" s="161"/>
      <c r="S123" s="27"/>
      <c r="T123" s="161"/>
      <c r="U123" s="162"/>
      <c r="V123" s="176"/>
      <c r="X123" s="214"/>
    </row>
    <row r="124" spans="2:24" ht="10.95" customHeight="1" x14ac:dyDescent="0.25">
      <c r="B124" s="41"/>
      <c r="C124" s="77"/>
      <c r="D124" s="42"/>
      <c r="E124" s="154">
        <v>18</v>
      </c>
      <c r="F124" s="145" t="str">
        <f>_xlfn.IFNA(VLOOKUP(E124,'Data Kyu'!$A$6:$I$471,3,0),"")</f>
        <v>XX.X.XX.XX.XX.018</v>
      </c>
      <c r="G124" s="142"/>
      <c r="H124" s="66"/>
      <c r="I124" s="66"/>
      <c r="J124" s="66"/>
      <c r="K124" s="66"/>
      <c r="L124" s="145" t="str">
        <f>_xlfn.IFNA(VLOOKUP(E124,'Data Kyu'!$A$6:$I$471,9,0),"")</f>
        <v>5 KYU</v>
      </c>
      <c r="M124" s="142"/>
      <c r="N124" s="145">
        <f>_xlfn.IFNA(VLOOKUP(E124,'Data Kyu'!$A$6:$I$471,6,0),"")</f>
        <v>2016</v>
      </c>
      <c r="O124" s="141"/>
      <c r="P124" s="139" t="s">
        <v>5</v>
      </c>
      <c r="Q124" s="141" t="str">
        <f>_xlfn.IFNA(VLOOKUP(E124,'Data Kyu'!$A$6:$I$471,7,0),"")</f>
        <v>08</v>
      </c>
      <c r="R124" s="141"/>
      <c r="S124" s="139" t="s">
        <v>5</v>
      </c>
      <c r="T124" s="141" t="str">
        <f>_xlfn.IFNA(VLOOKUP(E124,'Data Kyu'!$A$6:$I$471,8,0),"")</f>
        <v>03</v>
      </c>
      <c r="U124" s="142"/>
      <c r="V124" s="142" t="str">
        <f>_xlfn.IFNA(VLOOKUP(E124,'Data Kyu'!$A$6:$I$471,4,0),"")</f>
        <v>Female</v>
      </c>
      <c r="X124" s="214" t="str">
        <f>_xlfn.IFNA(VLOOKUP(F124,'Data Kyu'!$C$6:$N$997,12,0),"No Data")</f>
        <v>LULUS</v>
      </c>
    </row>
    <row r="125" spans="2:24" ht="10.95" customHeight="1" x14ac:dyDescent="0.25">
      <c r="B125" s="52"/>
      <c r="C125" s="165" t="str">
        <f>IF(X124="LULUS","V","")</f>
        <v>V</v>
      </c>
      <c r="D125" s="53"/>
      <c r="E125" s="155"/>
      <c r="F125" s="148"/>
      <c r="G125" s="144"/>
      <c r="H125" s="67"/>
      <c r="I125" s="67"/>
      <c r="J125" s="67"/>
      <c r="K125" s="67"/>
      <c r="L125" s="146"/>
      <c r="M125" s="147"/>
      <c r="N125" s="148"/>
      <c r="O125" s="143"/>
      <c r="P125" s="140"/>
      <c r="Q125" s="143"/>
      <c r="R125" s="143"/>
      <c r="S125" s="140"/>
      <c r="T125" s="143"/>
      <c r="U125" s="144"/>
      <c r="V125" s="147"/>
      <c r="X125" s="214"/>
    </row>
    <row r="126" spans="2:24" ht="10.95" customHeight="1" x14ac:dyDescent="0.25">
      <c r="B126" s="52"/>
      <c r="C126" s="166"/>
      <c r="D126" s="53"/>
      <c r="E126" s="155"/>
      <c r="F126" s="167" t="str">
        <f>_xlfn.IFNA(VLOOKUP(E124,'Data Kyu'!$A$6:$I$471,2,0),"")</f>
        <v>Kenshi 18</v>
      </c>
      <c r="G126" s="168"/>
      <c r="H126" s="168"/>
      <c r="I126" s="168"/>
      <c r="J126" s="168"/>
      <c r="K126" s="169"/>
      <c r="L126" s="146"/>
      <c r="M126" s="147"/>
      <c r="N126" s="173" t="s">
        <v>6</v>
      </c>
      <c r="O126" s="159"/>
      <c r="P126" s="57"/>
      <c r="Q126" s="159" t="s">
        <v>7</v>
      </c>
      <c r="R126" s="159"/>
      <c r="S126" s="57"/>
      <c r="T126" s="159" t="s">
        <v>8</v>
      </c>
      <c r="U126" s="160"/>
      <c r="V126" s="175"/>
      <c r="X126" s="214"/>
    </row>
    <row r="127" spans="2:24" ht="10.95" customHeight="1" x14ac:dyDescent="0.25">
      <c r="B127" s="54"/>
      <c r="C127" s="76"/>
      <c r="D127" s="56"/>
      <c r="E127" s="156"/>
      <c r="F127" s="170"/>
      <c r="G127" s="171"/>
      <c r="H127" s="171"/>
      <c r="I127" s="171"/>
      <c r="J127" s="171"/>
      <c r="K127" s="172"/>
      <c r="L127" s="148"/>
      <c r="M127" s="144"/>
      <c r="N127" s="174"/>
      <c r="O127" s="161"/>
      <c r="P127" s="27"/>
      <c r="Q127" s="161"/>
      <c r="R127" s="161"/>
      <c r="S127" s="27"/>
      <c r="T127" s="161"/>
      <c r="U127" s="162"/>
      <c r="V127" s="176"/>
      <c r="X127" s="214"/>
    </row>
    <row r="128" spans="2:24" ht="10.95" customHeight="1" x14ac:dyDescent="0.25">
      <c r="B128" s="41"/>
      <c r="C128" s="77"/>
      <c r="D128" s="42"/>
      <c r="E128" s="154">
        <v>19</v>
      </c>
      <c r="F128" s="145" t="str">
        <f>_xlfn.IFNA(VLOOKUP(E128,'Data Kyu'!$A$6:$I$471,3,0),"")</f>
        <v>XX.X.XX.XX.XX.019</v>
      </c>
      <c r="G128" s="142"/>
      <c r="H128" s="66"/>
      <c r="I128" s="66"/>
      <c r="J128" s="66"/>
      <c r="K128" s="66"/>
      <c r="L128" s="145" t="str">
        <f>_xlfn.IFNA(VLOOKUP(E128,'Data Kyu'!$A$6:$I$471,9,0),"")</f>
        <v>5 KYU</v>
      </c>
      <c r="M128" s="142"/>
      <c r="N128" s="145">
        <f>_xlfn.IFNA(VLOOKUP(E128,'Data Kyu'!$A$6:$I$471,6,0),"")</f>
        <v>2016</v>
      </c>
      <c r="O128" s="141"/>
      <c r="P128" s="139" t="s">
        <v>5</v>
      </c>
      <c r="Q128" s="141" t="str">
        <f>_xlfn.IFNA(VLOOKUP(E128,'Data Kyu'!$A$6:$I$471,7,0),"")</f>
        <v>09</v>
      </c>
      <c r="R128" s="141"/>
      <c r="S128" s="139" t="s">
        <v>5</v>
      </c>
      <c r="T128" s="141" t="str">
        <f>_xlfn.IFNA(VLOOKUP(E128,'Data Kyu'!$A$6:$I$471,8,0),"")</f>
        <v>04</v>
      </c>
      <c r="U128" s="142"/>
      <c r="V128" s="142" t="str">
        <f>_xlfn.IFNA(VLOOKUP(E128,'Data Kyu'!$A$6:$I$471,4,0),"")</f>
        <v>Female</v>
      </c>
      <c r="X128" s="214" t="str">
        <f>_xlfn.IFNA(VLOOKUP(F128,'Data Kyu'!$C$6:$N$997,12,0),"No Data")</f>
        <v>LULUS</v>
      </c>
    </row>
    <row r="129" spans="2:24" ht="10.95" customHeight="1" x14ac:dyDescent="0.25">
      <c r="B129" s="52"/>
      <c r="C129" s="165" t="str">
        <f>IF(X128="LULUS","V","")</f>
        <v>V</v>
      </c>
      <c r="D129" s="53"/>
      <c r="E129" s="155"/>
      <c r="F129" s="148"/>
      <c r="G129" s="144"/>
      <c r="H129" s="67"/>
      <c r="I129" s="67"/>
      <c r="J129" s="67"/>
      <c r="K129" s="67"/>
      <c r="L129" s="146"/>
      <c r="M129" s="147"/>
      <c r="N129" s="148"/>
      <c r="O129" s="143"/>
      <c r="P129" s="140"/>
      <c r="Q129" s="143"/>
      <c r="R129" s="143"/>
      <c r="S129" s="140"/>
      <c r="T129" s="143"/>
      <c r="U129" s="144"/>
      <c r="V129" s="147"/>
      <c r="X129" s="214"/>
    </row>
    <row r="130" spans="2:24" ht="10.95" customHeight="1" x14ac:dyDescent="0.25">
      <c r="B130" s="52"/>
      <c r="C130" s="166"/>
      <c r="D130" s="53"/>
      <c r="E130" s="155"/>
      <c r="F130" s="167" t="str">
        <f>_xlfn.IFNA(VLOOKUP(E128,'Data Kyu'!$A$6:$I$471,2,0),"")</f>
        <v>Kenshi 19</v>
      </c>
      <c r="G130" s="168"/>
      <c r="H130" s="168"/>
      <c r="I130" s="168"/>
      <c r="J130" s="168"/>
      <c r="K130" s="169"/>
      <c r="L130" s="146"/>
      <c r="M130" s="147"/>
      <c r="N130" s="173" t="s">
        <v>6</v>
      </c>
      <c r="O130" s="159"/>
      <c r="P130" s="57"/>
      <c r="Q130" s="159" t="s">
        <v>7</v>
      </c>
      <c r="R130" s="159"/>
      <c r="S130" s="57"/>
      <c r="T130" s="159" t="s">
        <v>8</v>
      </c>
      <c r="U130" s="160"/>
      <c r="V130" s="175"/>
      <c r="X130" s="214"/>
    </row>
    <row r="131" spans="2:24" ht="10.95" customHeight="1" x14ac:dyDescent="0.25">
      <c r="B131" s="54"/>
      <c r="C131" s="76"/>
      <c r="D131" s="56"/>
      <c r="E131" s="156"/>
      <c r="F131" s="170"/>
      <c r="G131" s="171"/>
      <c r="H131" s="171"/>
      <c r="I131" s="171"/>
      <c r="J131" s="171"/>
      <c r="K131" s="172"/>
      <c r="L131" s="148"/>
      <c r="M131" s="144"/>
      <c r="N131" s="174"/>
      <c r="O131" s="161"/>
      <c r="P131" s="27"/>
      <c r="Q131" s="161"/>
      <c r="R131" s="161"/>
      <c r="S131" s="27"/>
      <c r="T131" s="161"/>
      <c r="U131" s="162"/>
      <c r="V131" s="176"/>
      <c r="X131" s="214"/>
    </row>
    <row r="132" spans="2:24" ht="10.95" customHeight="1" x14ac:dyDescent="0.25">
      <c r="B132" s="41"/>
      <c r="C132" s="77"/>
      <c r="D132" s="42"/>
      <c r="E132" s="154">
        <v>20</v>
      </c>
      <c r="F132" s="145" t="str">
        <f>_xlfn.IFNA(VLOOKUP(E132,'Data Kyu'!$A$6:$I$471,3,0),"")</f>
        <v>XX.X.XX.XX.XX.020</v>
      </c>
      <c r="G132" s="142"/>
      <c r="H132" s="66"/>
      <c r="I132" s="66"/>
      <c r="J132" s="66"/>
      <c r="K132" s="66"/>
      <c r="L132" s="145" t="str">
        <f>_xlfn.IFNA(VLOOKUP(E132,'Data Kyu'!$A$6:$I$471,9,0),"")</f>
        <v>5 KYU</v>
      </c>
      <c r="M132" s="142"/>
      <c r="N132" s="145">
        <f>_xlfn.IFNA(VLOOKUP(E132,'Data Kyu'!$A$6:$I$471,6,0),"")</f>
        <v>2016</v>
      </c>
      <c r="O132" s="141"/>
      <c r="P132" s="139" t="s">
        <v>5</v>
      </c>
      <c r="Q132" s="141" t="str">
        <f>_xlfn.IFNA(VLOOKUP(E132,'Data Kyu'!$A$6:$I$471,7,0),"")</f>
        <v>10</v>
      </c>
      <c r="R132" s="141"/>
      <c r="S132" s="139" t="s">
        <v>5</v>
      </c>
      <c r="T132" s="141" t="str">
        <f>_xlfn.IFNA(VLOOKUP(E132,'Data Kyu'!$A$6:$I$471,8,0),"")</f>
        <v>05</v>
      </c>
      <c r="U132" s="142"/>
      <c r="V132" s="142" t="str">
        <f>_xlfn.IFNA(VLOOKUP(E132,'Data Kyu'!$A$6:$I$471,4,0),"")</f>
        <v>Female</v>
      </c>
      <c r="X132" s="214" t="str">
        <f>_xlfn.IFNA(VLOOKUP(F132,'Data Kyu'!$C$6:$N$997,12,0),"No Data")</f>
        <v>LULUS</v>
      </c>
    </row>
    <row r="133" spans="2:24" ht="10.95" customHeight="1" x14ac:dyDescent="0.25">
      <c r="B133" s="52"/>
      <c r="C133" s="165" t="str">
        <f>IF(X132="LULUS","V","")</f>
        <v>V</v>
      </c>
      <c r="D133" s="53"/>
      <c r="E133" s="155"/>
      <c r="F133" s="148"/>
      <c r="G133" s="144"/>
      <c r="H133" s="67"/>
      <c r="I133" s="67"/>
      <c r="J133" s="67"/>
      <c r="K133" s="67"/>
      <c r="L133" s="146"/>
      <c r="M133" s="147"/>
      <c r="N133" s="148"/>
      <c r="O133" s="143"/>
      <c r="P133" s="140"/>
      <c r="Q133" s="143"/>
      <c r="R133" s="143"/>
      <c r="S133" s="140"/>
      <c r="T133" s="143"/>
      <c r="U133" s="144"/>
      <c r="V133" s="147"/>
      <c r="X133" s="214"/>
    </row>
    <row r="134" spans="2:24" ht="10.95" customHeight="1" x14ac:dyDescent="0.25">
      <c r="B134" s="52"/>
      <c r="C134" s="166"/>
      <c r="D134" s="53"/>
      <c r="E134" s="155"/>
      <c r="F134" s="167" t="str">
        <f>_xlfn.IFNA(VLOOKUP(E132,'Data Kyu'!$A$6:$I$471,2,0),"")</f>
        <v>Kenshi 20</v>
      </c>
      <c r="G134" s="168"/>
      <c r="H134" s="168"/>
      <c r="I134" s="168"/>
      <c r="J134" s="168"/>
      <c r="K134" s="169"/>
      <c r="L134" s="146"/>
      <c r="M134" s="147"/>
      <c r="N134" s="173" t="s">
        <v>6</v>
      </c>
      <c r="O134" s="159"/>
      <c r="P134" s="57"/>
      <c r="Q134" s="159" t="s">
        <v>7</v>
      </c>
      <c r="R134" s="159"/>
      <c r="S134" s="57"/>
      <c r="T134" s="159" t="s">
        <v>8</v>
      </c>
      <c r="U134" s="160"/>
      <c r="V134" s="175"/>
      <c r="X134" s="214"/>
    </row>
    <row r="135" spans="2:24" ht="10.95" customHeight="1" x14ac:dyDescent="0.25">
      <c r="B135" s="54"/>
      <c r="C135" s="55"/>
      <c r="D135" s="56"/>
      <c r="E135" s="156"/>
      <c r="F135" s="170"/>
      <c r="G135" s="171"/>
      <c r="H135" s="171"/>
      <c r="I135" s="171"/>
      <c r="J135" s="171"/>
      <c r="K135" s="172"/>
      <c r="L135" s="148"/>
      <c r="M135" s="144"/>
      <c r="N135" s="174"/>
      <c r="O135" s="161"/>
      <c r="P135" s="27"/>
      <c r="Q135" s="161"/>
      <c r="R135" s="161"/>
      <c r="S135" s="27"/>
      <c r="T135" s="161"/>
      <c r="U135" s="162"/>
      <c r="V135" s="176"/>
      <c r="X135" s="214"/>
    </row>
    <row r="136" spans="2:24" ht="7.5" customHeight="1" x14ac:dyDescent="0.25"/>
    <row r="137" spans="2:24" s="34" customFormat="1" x14ac:dyDescent="0.25">
      <c r="E137" s="35" t="s">
        <v>30</v>
      </c>
      <c r="K137" s="35" t="s">
        <v>28</v>
      </c>
    </row>
    <row r="138" spans="2:24" x14ac:dyDescent="0.25">
      <c r="E138" s="33" t="s">
        <v>31</v>
      </c>
      <c r="F138" s="149"/>
      <c r="G138" s="149"/>
      <c r="H138" s="149"/>
      <c r="I138" s="149"/>
      <c r="J138" s="149"/>
      <c r="K138" s="33" t="s">
        <v>29</v>
      </c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</row>
    <row r="139" spans="2:24" ht="6.75" customHeight="1" x14ac:dyDescent="0.25">
      <c r="F139" s="34"/>
      <c r="G139" s="34"/>
      <c r="H139" s="34"/>
      <c r="I139" s="34"/>
      <c r="J139" s="34"/>
    </row>
    <row r="140" spans="2:24" s="34" customFormat="1" x14ac:dyDescent="0.25">
      <c r="E140" s="35" t="s">
        <v>32</v>
      </c>
      <c r="K140" s="35" t="s">
        <v>36</v>
      </c>
    </row>
    <row r="141" spans="2:24" x14ac:dyDescent="0.25">
      <c r="E141" s="33" t="s">
        <v>33</v>
      </c>
      <c r="F141" s="149"/>
      <c r="G141" s="149"/>
      <c r="H141" s="149"/>
      <c r="I141" s="149"/>
      <c r="J141" s="149"/>
      <c r="K141" s="33" t="s">
        <v>29</v>
      </c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</row>
    <row r="142" spans="2:24" ht="6.75" customHeight="1" x14ac:dyDescent="0.25">
      <c r="F142" s="34"/>
      <c r="G142" s="34"/>
      <c r="H142" s="34"/>
      <c r="I142" s="34"/>
      <c r="J142" s="34"/>
    </row>
    <row r="143" spans="2:24" s="34" customFormat="1" ht="13.8" customHeight="1" x14ac:dyDescent="0.25">
      <c r="E143" s="35" t="s">
        <v>34</v>
      </c>
      <c r="F143" s="177" t="str">
        <f>IF(F96&lt;&gt;"",$F$65,"")</f>
        <v>Xxxxx Xxxx (X DAN)</v>
      </c>
      <c r="G143" s="177"/>
      <c r="H143" s="177"/>
      <c r="I143" s="177"/>
      <c r="J143" s="177"/>
      <c r="K143" s="35" t="s">
        <v>28</v>
      </c>
      <c r="X143" s="70" t="s">
        <v>107</v>
      </c>
    </row>
    <row r="144" spans="2:24" ht="13.2" customHeight="1" x14ac:dyDescent="0.25">
      <c r="E144" s="33" t="s">
        <v>35</v>
      </c>
      <c r="F144" s="178"/>
      <c r="G144" s="178"/>
      <c r="H144" s="178"/>
      <c r="I144" s="178"/>
      <c r="J144" s="178"/>
      <c r="K144" s="33" t="s">
        <v>29</v>
      </c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X144" s="70" t="s">
        <v>105</v>
      </c>
    </row>
    <row r="145" spans="2:24" ht="12.75" customHeight="1" thickBot="1" x14ac:dyDescent="0.3"/>
    <row r="146" spans="2:24" ht="13.8" thickTop="1" x14ac:dyDescent="0.25">
      <c r="B146" s="34" t="s">
        <v>37</v>
      </c>
      <c r="C146" s="34"/>
      <c r="D146" s="34"/>
      <c r="H146" s="150" t="s">
        <v>40</v>
      </c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</row>
    <row r="147" spans="2:24" x14ac:dyDescent="0.25">
      <c r="B147" s="34" t="s">
        <v>38</v>
      </c>
      <c r="C147" s="34"/>
      <c r="D147" s="34"/>
      <c r="H147" s="152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</row>
    <row r="148" spans="2:24" ht="12.75" customHeight="1" x14ac:dyDescent="0.25">
      <c r="B148" s="163" t="s">
        <v>39</v>
      </c>
      <c r="C148" s="163"/>
      <c r="D148" s="163"/>
      <c r="E148" s="163"/>
      <c r="F148" s="163"/>
      <c r="H148" s="37" t="s">
        <v>41</v>
      </c>
    </row>
    <row r="149" spans="2:24" ht="13.8" x14ac:dyDescent="0.25">
      <c r="B149" s="163"/>
      <c r="C149" s="163"/>
      <c r="D149" s="163"/>
      <c r="E149" s="163"/>
      <c r="F149" s="163"/>
      <c r="H149" s="38" t="s">
        <v>42</v>
      </c>
    </row>
    <row r="150" spans="2:24" x14ac:dyDescent="0.25">
      <c r="B150" s="163"/>
      <c r="C150" s="163"/>
      <c r="D150" s="163"/>
      <c r="E150" s="163"/>
      <c r="F150" s="163"/>
      <c r="H150" s="36"/>
    </row>
    <row r="151" spans="2:24" x14ac:dyDescent="0.25">
      <c r="B151" s="163"/>
      <c r="C151" s="163"/>
      <c r="D151" s="163"/>
      <c r="E151" s="163"/>
      <c r="F151" s="163"/>
      <c r="H151" s="36"/>
    </row>
    <row r="152" spans="2:24" x14ac:dyDescent="0.25">
      <c r="H152" s="36"/>
    </row>
    <row r="153" spans="2:24" x14ac:dyDescent="0.25">
      <c r="H153" s="36"/>
    </row>
    <row r="154" spans="2:24" x14ac:dyDescent="0.25">
      <c r="H154" s="36"/>
    </row>
    <row r="155" spans="2:24" x14ac:dyDescent="0.25">
      <c r="H155" s="36"/>
    </row>
    <row r="156" spans="2:24" ht="13.8" x14ac:dyDescent="0.25">
      <c r="H156" s="157" t="str">
        <f>IF(F96&lt;&gt;"",$H$78,"")</f>
        <v>LaksdyaTNI (Purn) Prof. Dr. Agus Setiadji, S.A.P, M.A.</v>
      </c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</row>
    <row r="157" spans="2:24" x14ac:dyDescent="0.25">
      <c r="H157" s="36"/>
    </row>
    <row r="158" spans="2:24" ht="28.5" customHeight="1" x14ac:dyDescent="0.3">
      <c r="B158" s="193" t="s">
        <v>43</v>
      </c>
      <c r="C158" s="193"/>
      <c r="D158" s="193"/>
      <c r="E158" s="194"/>
      <c r="F158" s="194"/>
      <c r="G158" s="194"/>
      <c r="H158" s="194"/>
      <c r="I158" s="2"/>
      <c r="J158" s="2"/>
      <c r="K158" s="13" t="s">
        <v>25</v>
      </c>
      <c r="L158" s="195" t="s">
        <v>14</v>
      </c>
      <c r="M158" s="196"/>
      <c r="N158" s="196"/>
      <c r="O158" s="196"/>
      <c r="P158" s="196"/>
      <c r="Q158" s="196"/>
      <c r="R158" s="196"/>
      <c r="S158" s="196"/>
      <c r="T158" s="196"/>
      <c r="U158" s="196"/>
      <c r="V158" s="197"/>
      <c r="X158" s="1"/>
    </row>
    <row r="159" spans="2:24" ht="26.25" customHeight="1" x14ac:dyDescent="0.4">
      <c r="B159" s="39" t="s">
        <v>44</v>
      </c>
      <c r="C159" s="39"/>
      <c r="D159" s="39"/>
      <c r="E159" s="2"/>
      <c r="F159" s="2"/>
      <c r="G159" s="2"/>
      <c r="H159" s="2"/>
      <c r="I159" s="2"/>
      <c r="J159" s="2"/>
      <c r="K159" s="29" t="s">
        <v>13</v>
      </c>
      <c r="L159" s="15">
        <v>4</v>
      </c>
      <c r="M159" s="16">
        <v>1</v>
      </c>
      <c r="N159" s="15">
        <v>0</v>
      </c>
      <c r="O159" s="198">
        <v>0</v>
      </c>
      <c r="P159" s="199"/>
      <c r="Q159" s="14">
        <v>0</v>
      </c>
      <c r="R159" s="200">
        <v>1</v>
      </c>
      <c r="S159" s="201"/>
      <c r="T159" s="6"/>
      <c r="U159" s="6"/>
      <c r="V159" s="7"/>
      <c r="X159" s="1"/>
    </row>
    <row r="160" spans="2:24" ht="21" customHeight="1" x14ac:dyDescent="0.25">
      <c r="B160" s="26" t="s">
        <v>45</v>
      </c>
      <c r="C160" s="26"/>
      <c r="D160" s="26"/>
      <c r="E160" s="25"/>
      <c r="F160" s="25"/>
      <c r="G160" s="25"/>
      <c r="H160" s="25"/>
      <c r="I160" s="25"/>
      <c r="J160" s="25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X160" s="1"/>
    </row>
    <row r="161" spans="2:24" ht="13.5" customHeight="1" x14ac:dyDescent="0.25">
      <c r="B161" s="40" t="s">
        <v>24</v>
      </c>
      <c r="C161" s="40"/>
      <c r="D161" s="40"/>
      <c r="E161" s="25"/>
      <c r="F161" s="25"/>
      <c r="G161" s="25"/>
      <c r="H161" s="25"/>
      <c r="I161" s="25"/>
      <c r="J161" s="25"/>
      <c r="K161" s="28" t="s">
        <v>6</v>
      </c>
      <c r="L161" s="202">
        <f>IF(F174&lt;&gt;"",$L$5,"")</f>
        <v>2026</v>
      </c>
      <c r="M161" s="203"/>
      <c r="N161" s="204" t="s">
        <v>15</v>
      </c>
      <c r="O161" s="204"/>
      <c r="P161" s="204"/>
      <c r="Q161" s="205">
        <f>IF(F174&lt;&gt;"",$Q$5,"")</f>
        <v>1</v>
      </c>
      <c r="R161" s="206"/>
      <c r="S161" s="207" t="s">
        <v>16</v>
      </c>
      <c r="T161" s="204"/>
      <c r="U161" s="82">
        <f>IF(F174&lt;&gt;"",$U$5,"")</f>
        <v>5</v>
      </c>
      <c r="V161" s="63"/>
      <c r="X161" s="1"/>
    </row>
    <row r="162" spans="2:24" ht="8.25" customHeight="1" x14ac:dyDescent="0.25"/>
    <row r="163" spans="2:24" ht="11.25" customHeight="1" x14ac:dyDescent="0.25">
      <c r="B163" s="24" t="s">
        <v>17</v>
      </c>
      <c r="C163" s="24"/>
      <c r="D163" s="24"/>
    </row>
    <row r="164" spans="2:24" ht="11.25" customHeight="1" x14ac:dyDescent="0.25">
      <c r="B164" s="8" t="s">
        <v>18</v>
      </c>
      <c r="C164" s="8"/>
      <c r="D164" s="8"/>
    </row>
    <row r="165" spans="2:24" ht="5.25" customHeight="1" x14ac:dyDescent="0.25">
      <c r="B165" s="8"/>
      <c r="C165" s="8"/>
      <c r="D165" s="8"/>
    </row>
    <row r="166" spans="2:24" x14ac:dyDescent="0.25">
      <c r="B166" s="179" t="s">
        <v>19</v>
      </c>
      <c r="C166" s="179"/>
      <c r="D166" s="179"/>
      <c r="E166" s="179"/>
      <c r="F166" s="179"/>
      <c r="G166" s="18" t="s">
        <v>6</v>
      </c>
      <c r="H166" s="64">
        <f>IF(F174&lt;&gt;"",$H$10,"")</f>
        <v>2026</v>
      </c>
      <c r="I166" s="9" t="s">
        <v>15</v>
      </c>
      <c r="J166" s="83">
        <f>IF(F174&lt;&gt;"",$J$10,"")</f>
        <v>1</v>
      </c>
      <c r="K166" s="9" t="s">
        <v>16</v>
      </c>
      <c r="L166" s="180">
        <f>IF(F174&lt;&gt;"",$L$10,"")</f>
        <v>5</v>
      </c>
      <c r="M166" s="181"/>
      <c r="X166" s="32"/>
    </row>
    <row r="167" spans="2:24" ht="5.25" customHeight="1" x14ac:dyDescent="0.25">
      <c r="B167" s="8"/>
      <c r="C167" s="8"/>
      <c r="D167" s="8"/>
      <c r="E167" s="8"/>
      <c r="F167" s="8"/>
      <c r="G167" s="19"/>
      <c r="H167" s="20"/>
      <c r="I167" s="21"/>
      <c r="J167" s="20"/>
      <c r="K167" s="10"/>
      <c r="L167" s="22"/>
      <c r="X167" s="32"/>
    </row>
    <row r="168" spans="2:24" s="73" customFormat="1" ht="14.4" customHeight="1" x14ac:dyDescent="0.25">
      <c r="B168" s="72" t="s">
        <v>20</v>
      </c>
      <c r="C168" s="72"/>
      <c r="D168" s="72"/>
      <c r="X168" s="74"/>
    </row>
    <row r="169" spans="2:24" s="73" customFormat="1" ht="14.4" customHeight="1" x14ac:dyDescent="0.25">
      <c r="B169" s="75" t="s">
        <v>21</v>
      </c>
      <c r="C169" s="10"/>
      <c r="D169" s="10"/>
      <c r="E169" s="22" t="s">
        <v>22</v>
      </c>
      <c r="X169" s="74"/>
    </row>
    <row r="170" spans="2:24" s="73" customFormat="1" ht="14.4" customHeight="1" x14ac:dyDescent="0.25">
      <c r="B170" s="22"/>
      <c r="C170" s="22"/>
      <c r="D170" s="22"/>
      <c r="E170" s="22" t="s">
        <v>23</v>
      </c>
      <c r="X170" s="164" t="s">
        <v>102</v>
      </c>
    </row>
    <row r="171" spans="2:24" ht="7.5" customHeight="1" x14ac:dyDescent="0.25">
      <c r="B171" s="8"/>
      <c r="C171" s="8"/>
      <c r="D171" s="8"/>
      <c r="X171" s="164"/>
    </row>
    <row r="172" spans="2:24" ht="17.25" customHeight="1" x14ac:dyDescent="0.25">
      <c r="B172" s="182"/>
      <c r="C172" s="59"/>
      <c r="D172" s="60"/>
      <c r="E172" s="184" t="s">
        <v>0</v>
      </c>
      <c r="F172" s="186" t="s">
        <v>1</v>
      </c>
      <c r="G172" s="187"/>
      <c r="H172" s="4"/>
      <c r="I172" s="4"/>
      <c r="J172" s="4"/>
      <c r="K172" s="5"/>
      <c r="L172" s="145" t="s">
        <v>3</v>
      </c>
      <c r="M172" s="142"/>
      <c r="N172" s="188" t="s">
        <v>10</v>
      </c>
      <c r="O172" s="188"/>
      <c r="P172" s="188"/>
      <c r="Q172" s="188"/>
      <c r="R172" s="188"/>
      <c r="S172" s="188"/>
      <c r="T172" s="188"/>
      <c r="U172" s="189"/>
      <c r="V172" s="3" t="s">
        <v>12</v>
      </c>
      <c r="X172" s="68" t="s">
        <v>200</v>
      </c>
    </row>
    <row r="173" spans="2:24" ht="17.25" customHeight="1" x14ac:dyDescent="0.25">
      <c r="B173" s="183"/>
      <c r="C173" s="61"/>
      <c r="D173" s="62"/>
      <c r="E173" s="185"/>
      <c r="F173" s="30" t="s">
        <v>2</v>
      </c>
      <c r="G173" s="17"/>
      <c r="H173" s="6"/>
      <c r="I173" s="6"/>
      <c r="J173" s="6"/>
      <c r="K173" s="7"/>
      <c r="L173" s="190" t="s">
        <v>4</v>
      </c>
      <c r="M173" s="191"/>
      <c r="N173" s="192" t="s">
        <v>9</v>
      </c>
      <c r="O173" s="192"/>
      <c r="P173" s="192"/>
      <c r="Q173" s="192"/>
      <c r="R173" s="192"/>
      <c r="S173" s="192"/>
      <c r="T173" s="192"/>
      <c r="U173" s="191"/>
      <c r="V173" s="31" t="s">
        <v>11</v>
      </c>
      <c r="X173" s="69"/>
    </row>
    <row r="174" spans="2:24" ht="10.95" customHeight="1" x14ac:dyDescent="0.25">
      <c r="B174" s="41"/>
      <c r="C174" s="51"/>
      <c r="D174" s="42"/>
      <c r="E174" s="154">
        <v>21</v>
      </c>
      <c r="F174" s="145" t="str">
        <f>_xlfn.IFNA(VLOOKUP(E174,'Data Kyu'!$A$6:$I$471,3,0),"")</f>
        <v>XX.X.XX.XX.XX.021</v>
      </c>
      <c r="G174" s="142"/>
      <c r="H174" s="66"/>
      <c r="I174" s="66"/>
      <c r="J174" s="66"/>
      <c r="K174" s="66"/>
      <c r="L174" s="145" t="str">
        <f>_xlfn.IFNA(VLOOKUP(E174,'Data Kyu'!$A$6:$I$471,9,0),"")</f>
        <v>4 KYU</v>
      </c>
      <c r="M174" s="142"/>
      <c r="N174" s="145">
        <f>_xlfn.IFNA(VLOOKUP(E174,'Data Kyu'!$A$6:$I$471,6,0),"")</f>
        <v>2018</v>
      </c>
      <c r="O174" s="141"/>
      <c r="P174" s="139" t="s">
        <v>5</v>
      </c>
      <c r="Q174" s="141">
        <f>_xlfn.IFNA(VLOOKUP(E174,'Data Kyu'!$A$6:$I$471,7,0),"")</f>
        <v>10</v>
      </c>
      <c r="R174" s="141"/>
      <c r="S174" s="139" t="s">
        <v>5</v>
      </c>
      <c r="T174" s="141" t="str">
        <f>_xlfn.IFNA(VLOOKUP(E174,'Data Kyu'!$A$6:$I$471,8,0),"")</f>
        <v>01</v>
      </c>
      <c r="U174" s="142"/>
      <c r="V174" s="142" t="str">
        <f>_xlfn.IFNA(VLOOKUP(E174,'Data Kyu'!$A$6:$I$471,4,0),"")</f>
        <v>Male</v>
      </c>
      <c r="X174" s="214" t="str">
        <f>_xlfn.IFNA(VLOOKUP(F174,'Data Kyu'!$C$6:$N$997,12,0),"No Data")</f>
        <v>LULUS</v>
      </c>
    </row>
    <row r="175" spans="2:24" ht="10.95" customHeight="1" x14ac:dyDescent="0.25">
      <c r="B175" s="52"/>
      <c r="C175" s="165" t="str">
        <f>IF(X174="LULUS","V","")</f>
        <v>V</v>
      </c>
      <c r="D175" s="53"/>
      <c r="E175" s="155"/>
      <c r="F175" s="148"/>
      <c r="G175" s="144"/>
      <c r="H175" s="67"/>
      <c r="I175" s="67"/>
      <c r="J175" s="67"/>
      <c r="K175" s="67"/>
      <c r="L175" s="146"/>
      <c r="M175" s="147"/>
      <c r="N175" s="148"/>
      <c r="O175" s="143"/>
      <c r="P175" s="140"/>
      <c r="Q175" s="143"/>
      <c r="R175" s="143"/>
      <c r="S175" s="140"/>
      <c r="T175" s="143"/>
      <c r="U175" s="144"/>
      <c r="V175" s="147"/>
      <c r="X175" s="214"/>
    </row>
    <row r="176" spans="2:24" ht="10.95" customHeight="1" x14ac:dyDescent="0.25">
      <c r="B176" s="52"/>
      <c r="C176" s="166"/>
      <c r="D176" s="53"/>
      <c r="E176" s="155"/>
      <c r="F176" s="167" t="str">
        <f>_xlfn.IFNA(VLOOKUP(E174,'Data Kyu'!$A$6:$I$471,2,0),"")</f>
        <v>Kenshi 21</v>
      </c>
      <c r="G176" s="168"/>
      <c r="H176" s="168"/>
      <c r="I176" s="168"/>
      <c r="J176" s="168"/>
      <c r="K176" s="169"/>
      <c r="L176" s="146"/>
      <c r="M176" s="147"/>
      <c r="N176" s="173" t="s">
        <v>6</v>
      </c>
      <c r="O176" s="159"/>
      <c r="P176" s="57"/>
      <c r="Q176" s="159" t="s">
        <v>7</v>
      </c>
      <c r="R176" s="159"/>
      <c r="S176" s="57"/>
      <c r="T176" s="159" t="s">
        <v>8</v>
      </c>
      <c r="U176" s="160"/>
      <c r="V176" s="175"/>
      <c r="X176" s="214"/>
    </row>
    <row r="177" spans="2:24" ht="10.95" customHeight="1" x14ac:dyDescent="0.25">
      <c r="B177" s="54"/>
      <c r="C177" s="76"/>
      <c r="D177" s="56"/>
      <c r="E177" s="156"/>
      <c r="F177" s="170"/>
      <c r="G177" s="171"/>
      <c r="H177" s="171"/>
      <c r="I177" s="171"/>
      <c r="J177" s="171"/>
      <c r="K177" s="172"/>
      <c r="L177" s="148"/>
      <c r="M177" s="144"/>
      <c r="N177" s="174"/>
      <c r="O177" s="161"/>
      <c r="P177" s="27"/>
      <c r="Q177" s="161"/>
      <c r="R177" s="161"/>
      <c r="S177" s="27"/>
      <c r="T177" s="161"/>
      <c r="U177" s="162"/>
      <c r="V177" s="176"/>
      <c r="X177" s="214"/>
    </row>
    <row r="178" spans="2:24" ht="10.95" customHeight="1" x14ac:dyDescent="0.25">
      <c r="B178" s="41"/>
      <c r="C178" s="77"/>
      <c r="D178" s="42"/>
      <c r="E178" s="154">
        <v>22</v>
      </c>
      <c r="F178" s="145" t="str">
        <f>_xlfn.IFNA(VLOOKUP(E178,'Data Kyu'!$A$6:$I$471,3,0),"")</f>
        <v>XX.X.XX.XX.XX.022</v>
      </c>
      <c r="G178" s="142"/>
      <c r="H178" s="66"/>
      <c r="I178" s="66"/>
      <c r="J178" s="66"/>
      <c r="K178" s="66"/>
      <c r="L178" s="145" t="str">
        <f>_xlfn.IFNA(VLOOKUP(E178,'Data Kyu'!$A$6:$I$471,9,0),"")</f>
        <v>4 KYU</v>
      </c>
      <c r="M178" s="142"/>
      <c r="N178" s="145">
        <f>_xlfn.IFNA(VLOOKUP(E178,'Data Kyu'!$A$6:$I$471,6,0),"")</f>
        <v>2018</v>
      </c>
      <c r="O178" s="141"/>
      <c r="P178" s="139" t="s">
        <v>5</v>
      </c>
      <c r="Q178" s="141">
        <f>_xlfn.IFNA(VLOOKUP(E178,'Data Kyu'!$A$6:$I$471,7,0),"")</f>
        <v>11</v>
      </c>
      <c r="R178" s="141"/>
      <c r="S178" s="139" t="s">
        <v>5</v>
      </c>
      <c r="T178" s="141" t="str">
        <f>_xlfn.IFNA(VLOOKUP(E178,'Data Kyu'!$A$6:$I$471,8,0),"")</f>
        <v>02</v>
      </c>
      <c r="U178" s="142"/>
      <c r="V178" s="142" t="str">
        <f>_xlfn.IFNA(VLOOKUP(E178,'Data Kyu'!$A$6:$I$471,4,0),"")</f>
        <v>Male</v>
      </c>
      <c r="X178" s="214" t="str">
        <f>_xlfn.IFNA(VLOOKUP(F178,'Data Kyu'!$C$6:$N$997,12,0),"No Data")</f>
        <v>LULUS</v>
      </c>
    </row>
    <row r="179" spans="2:24" ht="10.95" customHeight="1" x14ac:dyDescent="0.25">
      <c r="B179" s="52"/>
      <c r="C179" s="165" t="str">
        <f>IF(X178="LULUS","V","")</f>
        <v>V</v>
      </c>
      <c r="D179" s="53"/>
      <c r="E179" s="155"/>
      <c r="F179" s="148"/>
      <c r="G179" s="144"/>
      <c r="H179" s="67"/>
      <c r="I179" s="67"/>
      <c r="J179" s="67"/>
      <c r="K179" s="67"/>
      <c r="L179" s="146"/>
      <c r="M179" s="147"/>
      <c r="N179" s="148"/>
      <c r="O179" s="143"/>
      <c r="P179" s="140"/>
      <c r="Q179" s="143"/>
      <c r="R179" s="143"/>
      <c r="S179" s="140"/>
      <c r="T179" s="143"/>
      <c r="U179" s="144"/>
      <c r="V179" s="147"/>
      <c r="X179" s="214"/>
    </row>
    <row r="180" spans="2:24" ht="10.95" customHeight="1" x14ac:dyDescent="0.25">
      <c r="B180" s="52"/>
      <c r="C180" s="166"/>
      <c r="D180" s="53"/>
      <c r="E180" s="155"/>
      <c r="F180" s="167" t="str">
        <f>_xlfn.IFNA(VLOOKUP(E178,'Data Kyu'!$A$6:$I$471,2,0),"")</f>
        <v>Kenshi 22</v>
      </c>
      <c r="G180" s="168"/>
      <c r="H180" s="168"/>
      <c r="I180" s="168"/>
      <c r="J180" s="168"/>
      <c r="K180" s="169"/>
      <c r="L180" s="146"/>
      <c r="M180" s="147"/>
      <c r="N180" s="173" t="s">
        <v>6</v>
      </c>
      <c r="O180" s="159"/>
      <c r="P180" s="57"/>
      <c r="Q180" s="159" t="s">
        <v>7</v>
      </c>
      <c r="R180" s="159"/>
      <c r="S180" s="57"/>
      <c r="T180" s="159" t="s">
        <v>8</v>
      </c>
      <c r="U180" s="160"/>
      <c r="V180" s="175"/>
      <c r="X180" s="214"/>
    </row>
    <row r="181" spans="2:24" ht="10.95" customHeight="1" x14ac:dyDescent="0.25">
      <c r="B181" s="54"/>
      <c r="C181" s="76"/>
      <c r="D181" s="56"/>
      <c r="E181" s="156"/>
      <c r="F181" s="170"/>
      <c r="G181" s="171"/>
      <c r="H181" s="171"/>
      <c r="I181" s="171"/>
      <c r="J181" s="171"/>
      <c r="K181" s="172"/>
      <c r="L181" s="148"/>
      <c r="M181" s="144"/>
      <c r="N181" s="174"/>
      <c r="O181" s="161"/>
      <c r="P181" s="27"/>
      <c r="Q181" s="161"/>
      <c r="R181" s="161"/>
      <c r="S181" s="27"/>
      <c r="T181" s="161"/>
      <c r="U181" s="162"/>
      <c r="V181" s="176"/>
      <c r="X181" s="214"/>
    </row>
    <row r="182" spans="2:24" ht="10.95" customHeight="1" x14ac:dyDescent="0.25">
      <c r="B182" s="41"/>
      <c r="C182" s="77"/>
      <c r="D182" s="42"/>
      <c r="E182" s="154">
        <v>23</v>
      </c>
      <c r="F182" s="145" t="str">
        <f>_xlfn.IFNA(VLOOKUP(E182,'Data Kyu'!$A$6:$I$471,3,0),"")</f>
        <v>XX.X.XX.XX.XX.023</v>
      </c>
      <c r="G182" s="142"/>
      <c r="H182" s="66"/>
      <c r="I182" s="66"/>
      <c r="J182" s="66"/>
      <c r="K182" s="66"/>
      <c r="L182" s="145" t="str">
        <f>_xlfn.IFNA(VLOOKUP(E182,'Data Kyu'!$A$6:$I$471,9,0),"")</f>
        <v>4 KYU</v>
      </c>
      <c r="M182" s="142"/>
      <c r="N182" s="145">
        <f>_xlfn.IFNA(VLOOKUP(E182,'Data Kyu'!$A$6:$I$471,6,0),"")</f>
        <v>2018</v>
      </c>
      <c r="O182" s="141"/>
      <c r="P182" s="139" t="s">
        <v>5</v>
      </c>
      <c r="Q182" s="141">
        <f>_xlfn.IFNA(VLOOKUP(E182,'Data Kyu'!$A$6:$I$471,7,0),"")</f>
        <v>12</v>
      </c>
      <c r="R182" s="141"/>
      <c r="S182" s="139" t="s">
        <v>5</v>
      </c>
      <c r="T182" s="141" t="str">
        <f>_xlfn.IFNA(VLOOKUP(E182,'Data Kyu'!$A$6:$I$471,8,0),"")</f>
        <v>03</v>
      </c>
      <c r="U182" s="142"/>
      <c r="V182" s="142" t="str">
        <f>_xlfn.IFNA(VLOOKUP(E182,'Data Kyu'!$A$6:$I$471,4,0),"")</f>
        <v>Male</v>
      </c>
      <c r="X182" s="214" t="str">
        <f>_xlfn.IFNA(VLOOKUP(F182,'Data Kyu'!$C$6:$N$997,12,0),"No Data")</f>
        <v>LULUS</v>
      </c>
    </row>
    <row r="183" spans="2:24" ht="10.95" customHeight="1" x14ac:dyDescent="0.25">
      <c r="B183" s="52"/>
      <c r="C183" s="165" t="str">
        <f>IF(X182="LULUS","V","")</f>
        <v>V</v>
      </c>
      <c r="D183" s="53"/>
      <c r="E183" s="155"/>
      <c r="F183" s="148"/>
      <c r="G183" s="144"/>
      <c r="H183" s="67"/>
      <c r="I183" s="67"/>
      <c r="J183" s="67"/>
      <c r="K183" s="67"/>
      <c r="L183" s="146"/>
      <c r="M183" s="147"/>
      <c r="N183" s="148"/>
      <c r="O183" s="143"/>
      <c r="P183" s="140"/>
      <c r="Q183" s="143"/>
      <c r="R183" s="143"/>
      <c r="S183" s="140"/>
      <c r="T183" s="143"/>
      <c r="U183" s="144"/>
      <c r="V183" s="147"/>
      <c r="X183" s="214"/>
    </row>
    <row r="184" spans="2:24" ht="10.95" customHeight="1" x14ac:dyDescent="0.25">
      <c r="B184" s="52"/>
      <c r="C184" s="166"/>
      <c r="D184" s="53"/>
      <c r="E184" s="155"/>
      <c r="F184" s="167" t="str">
        <f>_xlfn.IFNA(VLOOKUP(E182,'Data Kyu'!$A$6:$I$471,2,0),"")</f>
        <v>Kenshi 23</v>
      </c>
      <c r="G184" s="168"/>
      <c r="H184" s="168"/>
      <c r="I184" s="168"/>
      <c r="J184" s="168"/>
      <c r="K184" s="169"/>
      <c r="L184" s="146"/>
      <c r="M184" s="147"/>
      <c r="N184" s="173" t="s">
        <v>6</v>
      </c>
      <c r="O184" s="159"/>
      <c r="P184" s="57"/>
      <c r="Q184" s="159" t="s">
        <v>7</v>
      </c>
      <c r="R184" s="159"/>
      <c r="S184" s="57"/>
      <c r="T184" s="159" t="s">
        <v>8</v>
      </c>
      <c r="U184" s="160"/>
      <c r="V184" s="175"/>
      <c r="X184" s="214"/>
    </row>
    <row r="185" spans="2:24" ht="10.95" customHeight="1" x14ac:dyDescent="0.25">
      <c r="B185" s="54"/>
      <c r="C185" s="76"/>
      <c r="D185" s="56"/>
      <c r="E185" s="156"/>
      <c r="F185" s="170"/>
      <c r="G185" s="171"/>
      <c r="H185" s="171"/>
      <c r="I185" s="171"/>
      <c r="J185" s="171"/>
      <c r="K185" s="172"/>
      <c r="L185" s="148"/>
      <c r="M185" s="144"/>
      <c r="N185" s="174"/>
      <c r="O185" s="161"/>
      <c r="P185" s="27"/>
      <c r="Q185" s="161"/>
      <c r="R185" s="161"/>
      <c r="S185" s="27"/>
      <c r="T185" s="161"/>
      <c r="U185" s="162"/>
      <c r="V185" s="176"/>
      <c r="X185" s="214"/>
    </row>
    <row r="186" spans="2:24" ht="10.95" customHeight="1" x14ac:dyDescent="0.25">
      <c r="B186" s="41"/>
      <c r="C186" s="77"/>
      <c r="D186" s="42"/>
      <c r="E186" s="154">
        <v>24</v>
      </c>
      <c r="F186" s="145" t="str">
        <f>_xlfn.IFNA(VLOOKUP(E186,'Data Kyu'!$A$6:$I$471,3,0),"")</f>
        <v>XX.X.XX.XX.XX.024</v>
      </c>
      <c r="G186" s="142"/>
      <c r="H186" s="66"/>
      <c r="I186" s="66"/>
      <c r="J186" s="66"/>
      <c r="K186" s="66"/>
      <c r="L186" s="145" t="str">
        <f>_xlfn.IFNA(VLOOKUP(E186,'Data Kyu'!$A$6:$I$471,9,0),"")</f>
        <v>4 KYU</v>
      </c>
      <c r="M186" s="142"/>
      <c r="N186" s="145">
        <f>_xlfn.IFNA(VLOOKUP(E186,'Data Kyu'!$A$6:$I$471,6,0),"")</f>
        <v>2018</v>
      </c>
      <c r="O186" s="141"/>
      <c r="P186" s="139" t="s">
        <v>5</v>
      </c>
      <c r="Q186" s="141">
        <f>_xlfn.IFNA(VLOOKUP(E186,'Data Kyu'!$A$6:$I$471,7,0),"")</f>
        <v>13</v>
      </c>
      <c r="R186" s="141"/>
      <c r="S186" s="139" t="s">
        <v>5</v>
      </c>
      <c r="T186" s="141" t="str">
        <f>_xlfn.IFNA(VLOOKUP(E186,'Data Kyu'!$A$6:$I$471,8,0),"")</f>
        <v>04</v>
      </c>
      <c r="U186" s="142"/>
      <c r="V186" s="142" t="str">
        <f>_xlfn.IFNA(VLOOKUP(E186,'Data Kyu'!$A$6:$I$471,4,0),"")</f>
        <v>Male</v>
      </c>
      <c r="X186" s="214" t="str">
        <f>_xlfn.IFNA(VLOOKUP(F186,'Data Kyu'!$C$6:$N$997,12,0),"No Data")</f>
        <v>TIDAK HADIR</v>
      </c>
    </row>
    <row r="187" spans="2:24" ht="10.95" customHeight="1" x14ac:dyDescent="0.25">
      <c r="B187" s="52"/>
      <c r="C187" s="165" t="str">
        <f>IF(X186="LULUS","V","")</f>
        <v/>
      </c>
      <c r="D187" s="53"/>
      <c r="E187" s="155"/>
      <c r="F187" s="148"/>
      <c r="G187" s="144"/>
      <c r="H187" s="67"/>
      <c r="I187" s="67"/>
      <c r="J187" s="67"/>
      <c r="K187" s="67"/>
      <c r="L187" s="146"/>
      <c r="M187" s="147"/>
      <c r="N187" s="148"/>
      <c r="O187" s="143"/>
      <c r="P187" s="140"/>
      <c r="Q187" s="143"/>
      <c r="R187" s="143"/>
      <c r="S187" s="140"/>
      <c r="T187" s="143"/>
      <c r="U187" s="144"/>
      <c r="V187" s="147"/>
      <c r="X187" s="214"/>
    </row>
    <row r="188" spans="2:24" ht="10.95" customHeight="1" x14ac:dyDescent="0.25">
      <c r="B188" s="52"/>
      <c r="C188" s="166"/>
      <c r="D188" s="53"/>
      <c r="E188" s="155"/>
      <c r="F188" s="167" t="str">
        <f>_xlfn.IFNA(VLOOKUP(E186,'Data Kyu'!$A$6:$I$471,2,0),"")</f>
        <v>Kenshi 24</v>
      </c>
      <c r="G188" s="168"/>
      <c r="H188" s="168"/>
      <c r="I188" s="168"/>
      <c r="J188" s="168"/>
      <c r="K188" s="169"/>
      <c r="L188" s="146"/>
      <c r="M188" s="147"/>
      <c r="N188" s="173" t="s">
        <v>6</v>
      </c>
      <c r="O188" s="159"/>
      <c r="P188" s="57"/>
      <c r="Q188" s="159" t="s">
        <v>7</v>
      </c>
      <c r="R188" s="159"/>
      <c r="S188" s="57"/>
      <c r="T188" s="159" t="s">
        <v>8</v>
      </c>
      <c r="U188" s="160"/>
      <c r="V188" s="175"/>
      <c r="X188" s="214"/>
    </row>
    <row r="189" spans="2:24" ht="10.95" customHeight="1" x14ac:dyDescent="0.25">
      <c r="B189" s="54"/>
      <c r="C189" s="76"/>
      <c r="D189" s="56"/>
      <c r="E189" s="156"/>
      <c r="F189" s="170"/>
      <c r="G189" s="171"/>
      <c r="H189" s="171"/>
      <c r="I189" s="171"/>
      <c r="J189" s="171"/>
      <c r="K189" s="172"/>
      <c r="L189" s="148"/>
      <c r="M189" s="144"/>
      <c r="N189" s="174"/>
      <c r="O189" s="161"/>
      <c r="P189" s="27"/>
      <c r="Q189" s="161"/>
      <c r="R189" s="161"/>
      <c r="S189" s="27"/>
      <c r="T189" s="161"/>
      <c r="U189" s="162"/>
      <c r="V189" s="176"/>
      <c r="X189" s="214"/>
    </row>
    <row r="190" spans="2:24" ht="10.95" customHeight="1" x14ac:dyDescent="0.25">
      <c r="B190" s="41"/>
      <c r="C190" s="77"/>
      <c r="D190" s="42"/>
      <c r="E190" s="154">
        <v>25</v>
      </c>
      <c r="F190" s="145" t="str">
        <f>_xlfn.IFNA(VLOOKUP(E190,'Data Kyu'!$A$6:$I$471,3,0),"")</f>
        <v>XX.X.XX.XX.XX.025</v>
      </c>
      <c r="G190" s="142"/>
      <c r="H190" s="66"/>
      <c r="I190" s="66"/>
      <c r="J190" s="66"/>
      <c r="K190" s="66"/>
      <c r="L190" s="145" t="str">
        <f>_xlfn.IFNA(VLOOKUP(E190,'Data Kyu'!$A$6:$I$471,9,0),"")</f>
        <v>4 KYU</v>
      </c>
      <c r="M190" s="142"/>
      <c r="N190" s="145">
        <f>_xlfn.IFNA(VLOOKUP(E190,'Data Kyu'!$A$6:$I$471,6,0),"")</f>
        <v>2018</v>
      </c>
      <c r="O190" s="141"/>
      <c r="P190" s="139" t="s">
        <v>5</v>
      </c>
      <c r="Q190" s="141">
        <f>_xlfn.IFNA(VLOOKUP(E190,'Data Kyu'!$A$6:$I$471,7,0),"")</f>
        <v>14</v>
      </c>
      <c r="R190" s="141"/>
      <c r="S190" s="139" t="s">
        <v>5</v>
      </c>
      <c r="T190" s="141" t="str">
        <f>_xlfn.IFNA(VLOOKUP(E190,'Data Kyu'!$A$6:$I$471,8,0),"")</f>
        <v>05</v>
      </c>
      <c r="U190" s="142"/>
      <c r="V190" s="142" t="str">
        <f>_xlfn.IFNA(VLOOKUP(E190,'Data Kyu'!$A$6:$I$471,4,0),"")</f>
        <v>Female</v>
      </c>
      <c r="X190" s="214" t="str">
        <f>_xlfn.IFNA(VLOOKUP(F190,'Data Kyu'!$C$6:$N$997,12,0),"No Data")</f>
        <v>TIDAK HADIR</v>
      </c>
    </row>
    <row r="191" spans="2:24" ht="10.95" customHeight="1" x14ac:dyDescent="0.25">
      <c r="B191" s="52"/>
      <c r="C191" s="165" t="str">
        <f>IF(X190="LULUS","V","")</f>
        <v/>
      </c>
      <c r="D191" s="53"/>
      <c r="E191" s="155"/>
      <c r="F191" s="148"/>
      <c r="G191" s="144"/>
      <c r="H191" s="67"/>
      <c r="I191" s="67"/>
      <c r="J191" s="67"/>
      <c r="K191" s="67"/>
      <c r="L191" s="146"/>
      <c r="M191" s="147"/>
      <c r="N191" s="148"/>
      <c r="O191" s="143"/>
      <c r="P191" s="140"/>
      <c r="Q191" s="143"/>
      <c r="R191" s="143"/>
      <c r="S191" s="140"/>
      <c r="T191" s="143"/>
      <c r="U191" s="144"/>
      <c r="V191" s="147"/>
      <c r="X191" s="214"/>
    </row>
    <row r="192" spans="2:24" ht="10.95" customHeight="1" x14ac:dyDescent="0.25">
      <c r="B192" s="52"/>
      <c r="C192" s="166"/>
      <c r="D192" s="53"/>
      <c r="E192" s="155"/>
      <c r="F192" s="167" t="str">
        <f>_xlfn.IFNA(VLOOKUP(E190,'Data Kyu'!$A$6:$I$471,2,0),"")</f>
        <v>Kenshi 25</v>
      </c>
      <c r="G192" s="168"/>
      <c r="H192" s="168"/>
      <c r="I192" s="168"/>
      <c r="J192" s="168"/>
      <c r="K192" s="169"/>
      <c r="L192" s="146"/>
      <c r="M192" s="147"/>
      <c r="N192" s="173" t="s">
        <v>6</v>
      </c>
      <c r="O192" s="159"/>
      <c r="P192" s="57"/>
      <c r="Q192" s="159" t="s">
        <v>7</v>
      </c>
      <c r="R192" s="159"/>
      <c r="S192" s="57"/>
      <c r="T192" s="159" t="s">
        <v>8</v>
      </c>
      <c r="U192" s="160"/>
      <c r="V192" s="175"/>
      <c r="X192" s="214"/>
    </row>
    <row r="193" spans="2:24" ht="10.95" customHeight="1" x14ac:dyDescent="0.25">
      <c r="B193" s="54"/>
      <c r="C193" s="76"/>
      <c r="D193" s="56"/>
      <c r="E193" s="156"/>
      <c r="F193" s="170"/>
      <c r="G193" s="171"/>
      <c r="H193" s="171"/>
      <c r="I193" s="171"/>
      <c r="J193" s="171"/>
      <c r="K193" s="172"/>
      <c r="L193" s="148"/>
      <c r="M193" s="144"/>
      <c r="N193" s="174"/>
      <c r="O193" s="161"/>
      <c r="P193" s="27"/>
      <c r="Q193" s="161"/>
      <c r="R193" s="161"/>
      <c r="S193" s="27"/>
      <c r="T193" s="161"/>
      <c r="U193" s="162"/>
      <c r="V193" s="176"/>
      <c r="X193" s="214"/>
    </row>
    <row r="194" spans="2:24" ht="10.95" customHeight="1" x14ac:dyDescent="0.25">
      <c r="B194" s="41"/>
      <c r="C194" s="77"/>
      <c r="D194" s="42"/>
      <c r="E194" s="154">
        <v>26</v>
      </c>
      <c r="F194" s="145" t="str">
        <f>_xlfn.IFNA(VLOOKUP(E194,'Data Kyu'!$A$6:$I$471,3,0),"")</f>
        <v>XX.X.XX.XX.XX.026</v>
      </c>
      <c r="G194" s="142"/>
      <c r="H194" s="66"/>
      <c r="I194" s="66"/>
      <c r="J194" s="66"/>
      <c r="K194" s="66"/>
      <c r="L194" s="145" t="str">
        <f>_xlfn.IFNA(VLOOKUP(E194,'Data Kyu'!$A$6:$I$471,9,0),"")</f>
        <v>3 KYU</v>
      </c>
      <c r="M194" s="142"/>
      <c r="N194" s="145">
        <f>_xlfn.IFNA(VLOOKUP(E194,'Data Kyu'!$A$6:$I$471,6,0),"")</f>
        <v>2012</v>
      </c>
      <c r="O194" s="141"/>
      <c r="P194" s="139" t="s">
        <v>5</v>
      </c>
      <c r="Q194" s="141" t="str">
        <f>_xlfn.IFNA(VLOOKUP(E194,'Data Kyu'!$A$6:$I$471,7,0),"")</f>
        <v>07</v>
      </c>
      <c r="R194" s="141"/>
      <c r="S194" s="139" t="s">
        <v>5</v>
      </c>
      <c r="T194" s="141">
        <f>_xlfn.IFNA(VLOOKUP(E194,'Data Kyu'!$A$6:$I$471,8,0),"")</f>
        <v>29</v>
      </c>
      <c r="U194" s="142"/>
      <c r="V194" s="142" t="str">
        <f>_xlfn.IFNA(VLOOKUP(E194,'Data Kyu'!$A$6:$I$471,4,0),"")</f>
        <v>Male</v>
      </c>
      <c r="X194" s="214" t="str">
        <f>_xlfn.IFNA(VLOOKUP(F194,'Data Kyu'!$C$6:$N$997,12,0),"No Data")</f>
        <v>LULUS</v>
      </c>
    </row>
    <row r="195" spans="2:24" ht="10.95" customHeight="1" x14ac:dyDescent="0.25">
      <c r="B195" s="52"/>
      <c r="C195" s="165" t="str">
        <f>IF(X194="LULUS","V","")</f>
        <v>V</v>
      </c>
      <c r="D195" s="53"/>
      <c r="E195" s="155"/>
      <c r="F195" s="148"/>
      <c r="G195" s="144"/>
      <c r="H195" s="67"/>
      <c r="I195" s="67"/>
      <c r="J195" s="67"/>
      <c r="K195" s="67"/>
      <c r="L195" s="146"/>
      <c r="M195" s="147"/>
      <c r="N195" s="148"/>
      <c r="O195" s="143"/>
      <c r="P195" s="140"/>
      <c r="Q195" s="143"/>
      <c r="R195" s="143"/>
      <c r="S195" s="140"/>
      <c r="T195" s="143"/>
      <c r="U195" s="144"/>
      <c r="V195" s="147"/>
      <c r="X195" s="214"/>
    </row>
    <row r="196" spans="2:24" ht="10.95" customHeight="1" x14ac:dyDescent="0.25">
      <c r="B196" s="52"/>
      <c r="C196" s="166"/>
      <c r="D196" s="53"/>
      <c r="E196" s="155"/>
      <c r="F196" s="167" t="str">
        <f>_xlfn.IFNA(VLOOKUP(E194,'Data Kyu'!$A$6:$I$471,2,0),"")</f>
        <v>Kenshi 26</v>
      </c>
      <c r="G196" s="168"/>
      <c r="H196" s="168"/>
      <c r="I196" s="168"/>
      <c r="J196" s="168"/>
      <c r="K196" s="169"/>
      <c r="L196" s="146"/>
      <c r="M196" s="147"/>
      <c r="N196" s="173" t="s">
        <v>6</v>
      </c>
      <c r="O196" s="159"/>
      <c r="P196" s="57"/>
      <c r="Q196" s="159" t="s">
        <v>7</v>
      </c>
      <c r="R196" s="159"/>
      <c r="S196" s="57"/>
      <c r="T196" s="159" t="s">
        <v>8</v>
      </c>
      <c r="U196" s="160"/>
      <c r="V196" s="175"/>
      <c r="X196" s="214"/>
    </row>
    <row r="197" spans="2:24" ht="10.95" customHeight="1" x14ac:dyDescent="0.25">
      <c r="B197" s="54"/>
      <c r="C197" s="76"/>
      <c r="D197" s="56"/>
      <c r="E197" s="156"/>
      <c r="F197" s="170"/>
      <c r="G197" s="171"/>
      <c r="H197" s="171"/>
      <c r="I197" s="171"/>
      <c r="J197" s="171"/>
      <c r="K197" s="172"/>
      <c r="L197" s="148"/>
      <c r="M197" s="144"/>
      <c r="N197" s="174"/>
      <c r="O197" s="161"/>
      <c r="P197" s="27"/>
      <c r="Q197" s="161"/>
      <c r="R197" s="161"/>
      <c r="S197" s="27"/>
      <c r="T197" s="161"/>
      <c r="U197" s="162"/>
      <c r="V197" s="176"/>
      <c r="X197" s="214"/>
    </row>
    <row r="198" spans="2:24" ht="10.95" customHeight="1" x14ac:dyDescent="0.25">
      <c r="B198" s="41"/>
      <c r="C198" s="77"/>
      <c r="D198" s="42"/>
      <c r="E198" s="154">
        <v>27</v>
      </c>
      <c r="F198" s="145" t="str">
        <f>_xlfn.IFNA(VLOOKUP(E198,'Data Kyu'!$A$6:$I$471,3,0),"")</f>
        <v>XX.X.XX.XX.XX.027</v>
      </c>
      <c r="G198" s="142"/>
      <c r="H198" s="66"/>
      <c r="I198" s="66"/>
      <c r="J198" s="66"/>
      <c r="K198" s="66"/>
      <c r="L198" s="145" t="str">
        <f>_xlfn.IFNA(VLOOKUP(E198,'Data Kyu'!$A$6:$I$471,9,0),"")</f>
        <v>3 KYU</v>
      </c>
      <c r="M198" s="142"/>
      <c r="N198" s="145">
        <f>_xlfn.IFNA(VLOOKUP(E198,'Data Kyu'!$A$6:$I$471,6,0),"")</f>
        <v>1989</v>
      </c>
      <c r="O198" s="141"/>
      <c r="P198" s="139" t="s">
        <v>5</v>
      </c>
      <c r="Q198" s="141">
        <f>_xlfn.IFNA(VLOOKUP(E198,'Data Kyu'!$A$6:$I$471,7,0),"")</f>
        <v>10</v>
      </c>
      <c r="R198" s="141"/>
      <c r="S198" s="139" t="s">
        <v>5</v>
      </c>
      <c r="T198" s="141">
        <f>_xlfn.IFNA(VLOOKUP(E198,'Data Kyu'!$A$6:$I$471,8,0),"")</f>
        <v>30</v>
      </c>
      <c r="U198" s="142"/>
      <c r="V198" s="142" t="str">
        <f>_xlfn.IFNA(VLOOKUP(E198,'Data Kyu'!$A$6:$I$471,4,0),"")</f>
        <v>Male</v>
      </c>
      <c r="X198" s="214" t="str">
        <f>_xlfn.IFNA(VLOOKUP(F198,'Data Kyu'!$C$6:$N$997,12,0),"No Data")</f>
        <v>LULUS</v>
      </c>
    </row>
    <row r="199" spans="2:24" ht="10.95" customHeight="1" x14ac:dyDescent="0.25">
      <c r="B199" s="52"/>
      <c r="C199" s="165" t="str">
        <f>IF(X198="LULUS","V","")</f>
        <v>V</v>
      </c>
      <c r="D199" s="53"/>
      <c r="E199" s="155"/>
      <c r="F199" s="148"/>
      <c r="G199" s="144"/>
      <c r="H199" s="67"/>
      <c r="I199" s="67"/>
      <c r="J199" s="67"/>
      <c r="K199" s="67"/>
      <c r="L199" s="146"/>
      <c r="M199" s="147"/>
      <c r="N199" s="148"/>
      <c r="O199" s="143"/>
      <c r="P199" s="140"/>
      <c r="Q199" s="143"/>
      <c r="R199" s="143"/>
      <c r="S199" s="140"/>
      <c r="T199" s="143"/>
      <c r="U199" s="144"/>
      <c r="V199" s="147"/>
      <c r="X199" s="214"/>
    </row>
    <row r="200" spans="2:24" ht="10.95" customHeight="1" x14ac:dyDescent="0.25">
      <c r="B200" s="52"/>
      <c r="C200" s="166"/>
      <c r="D200" s="53"/>
      <c r="E200" s="155"/>
      <c r="F200" s="167" t="str">
        <f>_xlfn.IFNA(VLOOKUP(E198,'Data Kyu'!$A$6:$I$471,2,0),"")</f>
        <v>Kenshi 27</v>
      </c>
      <c r="G200" s="168"/>
      <c r="H200" s="168"/>
      <c r="I200" s="168"/>
      <c r="J200" s="168"/>
      <c r="K200" s="169"/>
      <c r="L200" s="146"/>
      <c r="M200" s="147"/>
      <c r="N200" s="173" t="s">
        <v>6</v>
      </c>
      <c r="O200" s="159"/>
      <c r="P200" s="57"/>
      <c r="Q200" s="159" t="s">
        <v>7</v>
      </c>
      <c r="R200" s="159"/>
      <c r="S200" s="57"/>
      <c r="T200" s="159" t="s">
        <v>8</v>
      </c>
      <c r="U200" s="160"/>
      <c r="V200" s="175"/>
      <c r="X200" s="214"/>
    </row>
    <row r="201" spans="2:24" ht="10.95" customHeight="1" x14ac:dyDescent="0.25">
      <c r="B201" s="54"/>
      <c r="C201" s="76"/>
      <c r="D201" s="56"/>
      <c r="E201" s="156"/>
      <c r="F201" s="170"/>
      <c r="G201" s="171"/>
      <c r="H201" s="171"/>
      <c r="I201" s="171"/>
      <c r="J201" s="171"/>
      <c r="K201" s="172"/>
      <c r="L201" s="148"/>
      <c r="M201" s="144"/>
      <c r="N201" s="174"/>
      <c r="O201" s="161"/>
      <c r="P201" s="27"/>
      <c r="Q201" s="161"/>
      <c r="R201" s="161"/>
      <c r="S201" s="27"/>
      <c r="T201" s="161"/>
      <c r="U201" s="162"/>
      <c r="V201" s="176"/>
      <c r="X201" s="214"/>
    </row>
    <row r="202" spans="2:24" ht="10.95" customHeight="1" x14ac:dyDescent="0.25">
      <c r="B202" s="41"/>
      <c r="C202" s="77"/>
      <c r="D202" s="42"/>
      <c r="E202" s="154">
        <v>28</v>
      </c>
      <c r="F202" s="145" t="str">
        <f>_xlfn.IFNA(VLOOKUP(E202,'Data Kyu'!$A$6:$I$471,3,0),"")</f>
        <v>XX.X.XX.XX.XX.028</v>
      </c>
      <c r="G202" s="142"/>
      <c r="H202" s="66"/>
      <c r="I202" s="66"/>
      <c r="J202" s="66"/>
      <c r="K202" s="66"/>
      <c r="L202" s="145" t="str">
        <f>_xlfn.IFNA(VLOOKUP(E202,'Data Kyu'!$A$6:$I$471,9,0),"")</f>
        <v>3 KYU</v>
      </c>
      <c r="M202" s="142"/>
      <c r="N202" s="145">
        <f>_xlfn.IFNA(VLOOKUP(E202,'Data Kyu'!$A$6:$I$471,6,0),"")</f>
        <v>1989</v>
      </c>
      <c r="O202" s="141"/>
      <c r="P202" s="139" t="s">
        <v>5</v>
      </c>
      <c r="Q202" s="141" t="str">
        <f>_xlfn.IFNA(VLOOKUP(E202,'Data Kyu'!$A$6:$I$471,7,0),"")</f>
        <v>03</v>
      </c>
      <c r="R202" s="141"/>
      <c r="S202" s="139" t="s">
        <v>5</v>
      </c>
      <c r="T202" s="141">
        <f>_xlfn.IFNA(VLOOKUP(E202,'Data Kyu'!$A$6:$I$471,8,0),"")</f>
        <v>18</v>
      </c>
      <c r="U202" s="142"/>
      <c r="V202" s="142" t="str">
        <f>_xlfn.IFNA(VLOOKUP(E202,'Data Kyu'!$A$6:$I$471,4,0),"")</f>
        <v>Male</v>
      </c>
      <c r="X202" s="214" t="str">
        <f>_xlfn.IFNA(VLOOKUP(F202,'Data Kyu'!$C$6:$N$997,12,0),"No Data")</f>
        <v>LULUS</v>
      </c>
    </row>
    <row r="203" spans="2:24" ht="10.95" customHeight="1" x14ac:dyDescent="0.25">
      <c r="B203" s="52"/>
      <c r="C203" s="165" t="str">
        <f>IF(X202="LULUS","V","")</f>
        <v>V</v>
      </c>
      <c r="D203" s="53"/>
      <c r="E203" s="155"/>
      <c r="F203" s="148"/>
      <c r="G203" s="144"/>
      <c r="H203" s="67"/>
      <c r="I203" s="67"/>
      <c r="J203" s="67"/>
      <c r="K203" s="67"/>
      <c r="L203" s="146"/>
      <c r="M203" s="147"/>
      <c r="N203" s="148"/>
      <c r="O203" s="143"/>
      <c r="P203" s="140"/>
      <c r="Q203" s="143"/>
      <c r="R203" s="143"/>
      <c r="S203" s="140"/>
      <c r="T203" s="143"/>
      <c r="U203" s="144"/>
      <c r="V203" s="147"/>
      <c r="X203" s="214"/>
    </row>
    <row r="204" spans="2:24" ht="10.95" customHeight="1" x14ac:dyDescent="0.25">
      <c r="B204" s="52"/>
      <c r="C204" s="166"/>
      <c r="D204" s="53"/>
      <c r="E204" s="155"/>
      <c r="F204" s="167" t="str">
        <f>_xlfn.IFNA(VLOOKUP(E202,'Data Kyu'!$A$6:$I$471,2,0),"")</f>
        <v>Kenshi 28</v>
      </c>
      <c r="G204" s="168"/>
      <c r="H204" s="168"/>
      <c r="I204" s="168"/>
      <c r="J204" s="168"/>
      <c r="K204" s="169"/>
      <c r="L204" s="146"/>
      <c r="M204" s="147"/>
      <c r="N204" s="173" t="s">
        <v>6</v>
      </c>
      <c r="O204" s="159"/>
      <c r="P204" s="57"/>
      <c r="Q204" s="159" t="s">
        <v>7</v>
      </c>
      <c r="R204" s="159"/>
      <c r="S204" s="57"/>
      <c r="T204" s="159" t="s">
        <v>8</v>
      </c>
      <c r="U204" s="160"/>
      <c r="V204" s="175"/>
      <c r="X204" s="214"/>
    </row>
    <row r="205" spans="2:24" ht="10.95" customHeight="1" x14ac:dyDescent="0.25">
      <c r="B205" s="54"/>
      <c r="C205" s="76"/>
      <c r="D205" s="56"/>
      <c r="E205" s="156"/>
      <c r="F205" s="170"/>
      <c r="G205" s="171"/>
      <c r="H205" s="171"/>
      <c r="I205" s="171"/>
      <c r="J205" s="171"/>
      <c r="K205" s="172"/>
      <c r="L205" s="148"/>
      <c r="M205" s="144"/>
      <c r="N205" s="174"/>
      <c r="O205" s="161"/>
      <c r="P205" s="27"/>
      <c r="Q205" s="161"/>
      <c r="R205" s="161"/>
      <c r="S205" s="27"/>
      <c r="T205" s="161"/>
      <c r="U205" s="162"/>
      <c r="V205" s="176"/>
      <c r="X205" s="214"/>
    </row>
    <row r="206" spans="2:24" ht="10.95" customHeight="1" x14ac:dyDescent="0.25">
      <c r="B206" s="41"/>
      <c r="C206" s="77"/>
      <c r="D206" s="42"/>
      <c r="E206" s="154">
        <v>29</v>
      </c>
      <c r="F206" s="145" t="str">
        <f>_xlfn.IFNA(VLOOKUP(E206,'Data Kyu'!$A$6:$I$471,3,0),"")</f>
        <v>XX.X.XX.XX.XX.029</v>
      </c>
      <c r="G206" s="142"/>
      <c r="H206" s="66"/>
      <c r="I206" s="66"/>
      <c r="J206" s="66"/>
      <c r="K206" s="66"/>
      <c r="L206" s="145" t="str">
        <f>_xlfn.IFNA(VLOOKUP(E206,'Data Kyu'!$A$6:$I$471,9,0),"")</f>
        <v>3 KYU</v>
      </c>
      <c r="M206" s="142"/>
      <c r="N206" s="145">
        <f>_xlfn.IFNA(VLOOKUP(E206,'Data Kyu'!$A$6:$I$471,6,0),"")</f>
        <v>2010</v>
      </c>
      <c r="O206" s="141"/>
      <c r="P206" s="139" t="s">
        <v>5</v>
      </c>
      <c r="Q206" s="141" t="str">
        <f>_xlfn.IFNA(VLOOKUP(E206,'Data Kyu'!$A$6:$I$471,7,0),"")</f>
        <v>09</v>
      </c>
      <c r="R206" s="141"/>
      <c r="S206" s="139" t="s">
        <v>5</v>
      </c>
      <c r="T206" s="141">
        <f>_xlfn.IFNA(VLOOKUP(E206,'Data Kyu'!$A$6:$I$471,8,0),"")</f>
        <v>24</v>
      </c>
      <c r="U206" s="142"/>
      <c r="V206" s="142" t="str">
        <f>_xlfn.IFNA(VLOOKUP(E206,'Data Kyu'!$A$6:$I$471,4,0),"")</f>
        <v>Female</v>
      </c>
      <c r="X206" s="214" t="str">
        <f>_xlfn.IFNA(VLOOKUP(F206,'Data Kyu'!$C$6:$N$997,12,0),"No Data")</f>
        <v>LULUS</v>
      </c>
    </row>
    <row r="207" spans="2:24" ht="10.95" customHeight="1" x14ac:dyDescent="0.25">
      <c r="B207" s="52"/>
      <c r="C207" s="165" t="str">
        <f>IF(X206="LULUS","V","")</f>
        <v>V</v>
      </c>
      <c r="D207" s="53"/>
      <c r="E207" s="155"/>
      <c r="F207" s="148"/>
      <c r="G207" s="144"/>
      <c r="H207" s="67"/>
      <c r="I207" s="67"/>
      <c r="J207" s="67"/>
      <c r="K207" s="67"/>
      <c r="L207" s="146"/>
      <c r="M207" s="147"/>
      <c r="N207" s="148"/>
      <c r="O207" s="143"/>
      <c r="P207" s="140"/>
      <c r="Q207" s="143"/>
      <c r="R207" s="143"/>
      <c r="S207" s="140"/>
      <c r="T207" s="143"/>
      <c r="U207" s="144"/>
      <c r="V207" s="147"/>
      <c r="X207" s="214"/>
    </row>
    <row r="208" spans="2:24" ht="10.95" customHeight="1" x14ac:dyDescent="0.25">
      <c r="B208" s="52"/>
      <c r="C208" s="166"/>
      <c r="D208" s="53"/>
      <c r="E208" s="155"/>
      <c r="F208" s="167" t="str">
        <f>_xlfn.IFNA(VLOOKUP(E206,'Data Kyu'!$A$6:$I$471,2,0),"")</f>
        <v>Kenshi 29</v>
      </c>
      <c r="G208" s="168"/>
      <c r="H208" s="168"/>
      <c r="I208" s="168"/>
      <c r="J208" s="168"/>
      <c r="K208" s="169"/>
      <c r="L208" s="146"/>
      <c r="M208" s="147"/>
      <c r="N208" s="173" t="s">
        <v>6</v>
      </c>
      <c r="O208" s="159"/>
      <c r="P208" s="57"/>
      <c r="Q208" s="159" t="s">
        <v>7</v>
      </c>
      <c r="R208" s="159"/>
      <c r="S208" s="57"/>
      <c r="T208" s="159" t="s">
        <v>8</v>
      </c>
      <c r="U208" s="160"/>
      <c r="V208" s="175"/>
      <c r="X208" s="214"/>
    </row>
    <row r="209" spans="2:24" ht="10.95" customHeight="1" x14ac:dyDescent="0.25">
      <c r="B209" s="54"/>
      <c r="C209" s="76"/>
      <c r="D209" s="56"/>
      <c r="E209" s="156"/>
      <c r="F209" s="170"/>
      <c r="G209" s="171"/>
      <c r="H209" s="171"/>
      <c r="I209" s="171"/>
      <c r="J209" s="171"/>
      <c r="K209" s="172"/>
      <c r="L209" s="148"/>
      <c r="M209" s="144"/>
      <c r="N209" s="174"/>
      <c r="O209" s="161"/>
      <c r="P209" s="27"/>
      <c r="Q209" s="161"/>
      <c r="R209" s="161"/>
      <c r="S209" s="27"/>
      <c r="T209" s="161"/>
      <c r="U209" s="162"/>
      <c r="V209" s="176"/>
      <c r="X209" s="214"/>
    </row>
    <row r="210" spans="2:24" ht="10.95" customHeight="1" x14ac:dyDescent="0.25">
      <c r="B210" s="41"/>
      <c r="C210" s="77"/>
      <c r="D210" s="42"/>
      <c r="E210" s="154">
        <v>30</v>
      </c>
      <c r="F210" s="145" t="str">
        <f>_xlfn.IFNA(VLOOKUP(E210,'Data Kyu'!$A$6:$I$471,3,0),"")</f>
        <v>XX.X.XX.XX.XX.030</v>
      </c>
      <c r="G210" s="142"/>
      <c r="H210" s="66"/>
      <c r="I210" s="66"/>
      <c r="J210" s="66"/>
      <c r="K210" s="66"/>
      <c r="L210" s="145" t="str">
        <f>_xlfn.IFNA(VLOOKUP(E210,'Data Kyu'!$A$6:$I$471,9,0),"")</f>
        <v>3 KYU</v>
      </c>
      <c r="M210" s="142"/>
      <c r="N210" s="145">
        <f>_xlfn.IFNA(VLOOKUP(E210,'Data Kyu'!$A$6:$I$471,6,0),"")</f>
        <v>2006</v>
      </c>
      <c r="O210" s="141"/>
      <c r="P210" s="139" t="s">
        <v>5</v>
      </c>
      <c r="Q210" s="141" t="str">
        <f>_xlfn.IFNA(VLOOKUP(E210,'Data Kyu'!$A$6:$I$471,7,0),"")</f>
        <v>03</v>
      </c>
      <c r="R210" s="141"/>
      <c r="S210" s="139" t="s">
        <v>5</v>
      </c>
      <c r="T210" s="141">
        <f>_xlfn.IFNA(VLOOKUP(E210,'Data Kyu'!$A$6:$I$471,8,0),"")</f>
        <v>11</v>
      </c>
      <c r="U210" s="142"/>
      <c r="V210" s="142" t="str">
        <f>_xlfn.IFNA(VLOOKUP(E210,'Data Kyu'!$A$6:$I$471,4,0),"")</f>
        <v>Female</v>
      </c>
      <c r="X210" s="214" t="str">
        <f>_xlfn.IFNA(VLOOKUP(F210,'Data Kyu'!$C$6:$N$997,12,0),"No Data")</f>
        <v>LULUS</v>
      </c>
    </row>
    <row r="211" spans="2:24" ht="10.95" customHeight="1" x14ac:dyDescent="0.25">
      <c r="B211" s="52"/>
      <c r="C211" s="165" t="str">
        <f>IF(X210="LULUS","V","")</f>
        <v>V</v>
      </c>
      <c r="D211" s="53"/>
      <c r="E211" s="155"/>
      <c r="F211" s="148"/>
      <c r="G211" s="144"/>
      <c r="H211" s="67"/>
      <c r="I211" s="67"/>
      <c r="J211" s="67"/>
      <c r="K211" s="67"/>
      <c r="L211" s="146"/>
      <c r="M211" s="147"/>
      <c r="N211" s="148"/>
      <c r="O211" s="143"/>
      <c r="P211" s="140"/>
      <c r="Q211" s="143"/>
      <c r="R211" s="143"/>
      <c r="S211" s="140"/>
      <c r="T211" s="143"/>
      <c r="U211" s="144"/>
      <c r="V211" s="147"/>
      <c r="X211" s="214"/>
    </row>
    <row r="212" spans="2:24" ht="10.95" customHeight="1" x14ac:dyDescent="0.25">
      <c r="B212" s="52"/>
      <c r="C212" s="166"/>
      <c r="D212" s="53"/>
      <c r="E212" s="155"/>
      <c r="F212" s="167" t="str">
        <f>_xlfn.IFNA(VLOOKUP(E210,'Data Kyu'!$A$6:$I$471,2,0),"")</f>
        <v>Kenshi 30</v>
      </c>
      <c r="G212" s="168"/>
      <c r="H212" s="168"/>
      <c r="I212" s="168"/>
      <c r="J212" s="168"/>
      <c r="K212" s="169"/>
      <c r="L212" s="146"/>
      <c r="M212" s="147"/>
      <c r="N212" s="173" t="s">
        <v>6</v>
      </c>
      <c r="O212" s="159"/>
      <c r="P212" s="57"/>
      <c r="Q212" s="159" t="s">
        <v>7</v>
      </c>
      <c r="R212" s="159"/>
      <c r="S212" s="57"/>
      <c r="T212" s="159" t="s">
        <v>8</v>
      </c>
      <c r="U212" s="160"/>
      <c r="V212" s="175"/>
      <c r="X212" s="214"/>
    </row>
    <row r="213" spans="2:24" ht="10.95" customHeight="1" x14ac:dyDescent="0.25">
      <c r="B213" s="54"/>
      <c r="C213" s="55"/>
      <c r="D213" s="56"/>
      <c r="E213" s="156"/>
      <c r="F213" s="170"/>
      <c r="G213" s="171"/>
      <c r="H213" s="171"/>
      <c r="I213" s="171"/>
      <c r="J213" s="171"/>
      <c r="K213" s="172"/>
      <c r="L213" s="148"/>
      <c r="M213" s="144"/>
      <c r="N213" s="174"/>
      <c r="O213" s="161"/>
      <c r="P213" s="27"/>
      <c r="Q213" s="161"/>
      <c r="R213" s="161"/>
      <c r="S213" s="27"/>
      <c r="T213" s="161"/>
      <c r="U213" s="162"/>
      <c r="V213" s="176"/>
      <c r="X213" s="214"/>
    </row>
    <row r="214" spans="2:24" ht="7.5" customHeight="1" x14ac:dyDescent="0.25"/>
    <row r="215" spans="2:24" s="34" customFormat="1" x14ac:dyDescent="0.25">
      <c r="E215" s="35" t="s">
        <v>30</v>
      </c>
      <c r="K215" s="35" t="s">
        <v>28</v>
      </c>
    </row>
    <row r="216" spans="2:24" x14ac:dyDescent="0.25">
      <c r="E216" s="33" t="s">
        <v>31</v>
      </c>
      <c r="F216" s="149"/>
      <c r="G216" s="149"/>
      <c r="H216" s="149"/>
      <c r="I216" s="149"/>
      <c r="J216" s="149"/>
      <c r="K216" s="33" t="s">
        <v>29</v>
      </c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</row>
    <row r="217" spans="2:24" ht="6.75" customHeight="1" x14ac:dyDescent="0.25">
      <c r="F217" s="34"/>
      <c r="G217" s="34"/>
      <c r="H217" s="34"/>
      <c r="I217" s="34"/>
      <c r="J217" s="34"/>
    </row>
    <row r="218" spans="2:24" s="34" customFormat="1" x14ac:dyDescent="0.25">
      <c r="E218" s="35" t="s">
        <v>32</v>
      </c>
      <c r="K218" s="35" t="s">
        <v>36</v>
      </c>
    </row>
    <row r="219" spans="2:24" x14ac:dyDescent="0.25">
      <c r="E219" s="33" t="s">
        <v>33</v>
      </c>
      <c r="F219" s="149"/>
      <c r="G219" s="149"/>
      <c r="H219" s="149"/>
      <c r="I219" s="149"/>
      <c r="J219" s="149"/>
      <c r="K219" s="33" t="s">
        <v>29</v>
      </c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</row>
    <row r="220" spans="2:24" ht="6.75" customHeight="1" x14ac:dyDescent="0.25">
      <c r="F220" s="34"/>
      <c r="G220" s="34"/>
      <c r="H220" s="34"/>
      <c r="I220" s="34"/>
      <c r="J220" s="34"/>
    </row>
    <row r="221" spans="2:24" s="34" customFormat="1" ht="13.8" customHeight="1" x14ac:dyDescent="0.25">
      <c r="E221" s="35" t="s">
        <v>34</v>
      </c>
      <c r="F221" s="177" t="str">
        <f>IF(F174&lt;&gt;"",$F$65,"")</f>
        <v>Xxxxx Xxxx (X DAN)</v>
      </c>
      <c r="G221" s="177"/>
      <c r="H221" s="177"/>
      <c r="I221" s="177"/>
      <c r="J221" s="177"/>
      <c r="K221" s="35" t="s">
        <v>28</v>
      </c>
      <c r="X221" s="70" t="s">
        <v>107</v>
      </c>
    </row>
    <row r="222" spans="2:24" ht="13.2" customHeight="1" x14ac:dyDescent="0.25">
      <c r="E222" s="33" t="s">
        <v>35</v>
      </c>
      <c r="F222" s="178"/>
      <c r="G222" s="178"/>
      <c r="H222" s="178"/>
      <c r="I222" s="178"/>
      <c r="J222" s="178"/>
      <c r="K222" s="33" t="s">
        <v>29</v>
      </c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X222" s="70" t="s">
        <v>105</v>
      </c>
    </row>
    <row r="223" spans="2:24" ht="12.75" customHeight="1" thickBot="1" x14ac:dyDescent="0.3"/>
    <row r="224" spans="2:24" ht="13.8" thickTop="1" x14ac:dyDescent="0.25">
      <c r="B224" s="34" t="s">
        <v>37</v>
      </c>
      <c r="C224" s="34"/>
      <c r="D224" s="34"/>
      <c r="H224" s="150" t="s">
        <v>40</v>
      </c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</row>
    <row r="225" spans="2:24" x14ac:dyDescent="0.25">
      <c r="B225" s="34" t="s">
        <v>38</v>
      </c>
      <c r="C225" s="34"/>
      <c r="D225" s="34"/>
      <c r="H225" s="152"/>
      <c r="I225" s="153"/>
      <c r="J225" s="153"/>
      <c r="K225" s="153"/>
      <c r="L225" s="153"/>
      <c r="M225" s="153"/>
      <c r="N225" s="153"/>
      <c r="O225" s="153"/>
      <c r="P225" s="153"/>
      <c r="Q225" s="153"/>
      <c r="R225" s="153"/>
      <c r="S225" s="153"/>
      <c r="T225" s="153"/>
      <c r="U225" s="153"/>
      <c r="V225" s="153"/>
    </row>
    <row r="226" spans="2:24" ht="12.75" customHeight="1" x14ac:dyDescent="0.25">
      <c r="B226" s="163" t="s">
        <v>39</v>
      </c>
      <c r="C226" s="163"/>
      <c r="D226" s="163"/>
      <c r="E226" s="163"/>
      <c r="F226" s="163"/>
      <c r="H226" s="37" t="s">
        <v>41</v>
      </c>
    </row>
    <row r="227" spans="2:24" ht="13.8" x14ac:dyDescent="0.25">
      <c r="B227" s="163"/>
      <c r="C227" s="163"/>
      <c r="D227" s="163"/>
      <c r="E227" s="163"/>
      <c r="F227" s="163"/>
      <c r="H227" s="38" t="s">
        <v>42</v>
      </c>
    </row>
    <row r="228" spans="2:24" x14ac:dyDescent="0.25">
      <c r="B228" s="163"/>
      <c r="C228" s="163"/>
      <c r="D228" s="163"/>
      <c r="E228" s="163"/>
      <c r="F228" s="163"/>
      <c r="H228" s="36"/>
    </row>
    <row r="229" spans="2:24" x14ac:dyDescent="0.25">
      <c r="B229" s="163"/>
      <c r="C229" s="163"/>
      <c r="D229" s="163"/>
      <c r="E229" s="163"/>
      <c r="F229" s="163"/>
      <c r="H229" s="36"/>
    </row>
    <row r="230" spans="2:24" x14ac:dyDescent="0.25">
      <c r="H230" s="36"/>
    </row>
    <row r="231" spans="2:24" x14ac:dyDescent="0.25">
      <c r="H231" s="36"/>
    </row>
    <row r="232" spans="2:24" x14ac:dyDescent="0.25">
      <c r="H232" s="36"/>
    </row>
    <row r="233" spans="2:24" x14ac:dyDescent="0.25">
      <c r="H233" s="36"/>
    </row>
    <row r="234" spans="2:24" ht="13.8" x14ac:dyDescent="0.25">
      <c r="H234" s="157" t="str">
        <f>IF(F174&lt;&gt;"",$H$78,"")</f>
        <v>LaksdyaTNI (Purn) Prof. Dr. Agus Setiadji, S.A.P, M.A.</v>
      </c>
      <c r="I234" s="158"/>
      <c r="J234" s="158"/>
      <c r="K234" s="158"/>
      <c r="L234" s="158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</row>
    <row r="235" spans="2:24" x14ac:dyDescent="0.25">
      <c r="H235" s="36"/>
    </row>
    <row r="236" spans="2:24" ht="28.5" customHeight="1" x14ac:dyDescent="0.3">
      <c r="B236" s="193" t="s">
        <v>43</v>
      </c>
      <c r="C236" s="193"/>
      <c r="D236" s="193"/>
      <c r="E236" s="194"/>
      <c r="F236" s="194"/>
      <c r="G236" s="194"/>
      <c r="H236" s="194"/>
      <c r="I236" s="2"/>
      <c r="J236" s="2"/>
      <c r="K236" s="13" t="s">
        <v>25</v>
      </c>
      <c r="L236" s="195" t="s">
        <v>14</v>
      </c>
      <c r="M236" s="196"/>
      <c r="N236" s="196"/>
      <c r="O236" s="196"/>
      <c r="P236" s="196"/>
      <c r="Q236" s="196"/>
      <c r="R236" s="196"/>
      <c r="S236" s="196"/>
      <c r="T236" s="196"/>
      <c r="U236" s="196"/>
      <c r="V236" s="197"/>
      <c r="X236" s="1"/>
    </row>
    <row r="237" spans="2:24" ht="26.25" customHeight="1" x14ac:dyDescent="0.4">
      <c r="B237" s="39" t="s">
        <v>44</v>
      </c>
      <c r="C237" s="39"/>
      <c r="D237" s="39"/>
      <c r="E237" s="2"/>
      <c r="F237" s="2"/>
      <c r="G237" s="2"/>
      <c r="H237" s="2"/>
      <c r="I237" s="2"/>
      <c r="J237" s="2"/>
      <c r="K237" s="29" t="s">
        <v>13</v>
      </c>
      <c r="L237" s="15">
        <v>4</v>
      </c>
      <c r="M237" s="16">
        <v>1</v>
      </c>
      <c r="N237" s="15">
        <v>0</v>
      </c>
      <c r="O237" s="198">
        <v>0</v>
      </c>
      <c r="P237" s="199"/>
      <c r="Q237" s="14">
        <v>0</v>
      </c>
      <c r="R237" s="200">
        <v>1</v>
      </c>
      <c r="S237" s="201"/>
      <c r="T237" s="6"/>
      <c r="U237" s="6"/>
      <c r="V237" s="7"/>
      <c r="X237" s="1"/>
    </row>
    <row r="238" spans="2:24" ht="21" customHeight="1" x14ac:dyDescent="0.25">
      <c r="B238" s="26" t="s">
        <v>45</v>
      </c>
      <c r="C238" s="26"/>
      <c r="D238" s="26"/>
      <c r="E238" s="25"/>
      <c r="F238" s="25"/>
      <c r="G238" s="25"/>
      <c r="H238" s="25"/>
      <c r="I238" s="25"/>
      <c r="J238" s="25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X238" s="1"/>
    </row>
    <row r="239" spans="2:24" ht="13.5" customHeight="1" x14ac:dyDescent="0.25">
      <c r="B239" s="40" t="s">
        <v>24</v>
      </c>
      <c r="C239" s="40"/>
      <c r="D239" s="40"/>
      <c r="E239" s="25"/>
      <c r="F239" s="25"/>
      <c r="G239" s="25"/>
      <c r="H239" s="25"/>
      <c r="I239" s="25"/>
      <c r="J239" s="25"/>
      <c r="K239" s="28" t="s">
        <v>6</v>
      </c>
      <c r="L239" s="202">
        <f>IF(F252&lt;&gt;"",$L$5,"")</f>
        <v>2026</v>
      </c>
      <c r="M239" s="203"/>
      <c r="N239" s="204" t="s">
        <v>15</v>
      </c>
      <c r="O239" s="204"/>
      <c r="P239" s="204"/>
      <c r="Q239" s="205">
        <f>IF(F252&lt;&gt;"",$Q$5,"")</f>
        <v>1</v>
      </c>
      <c r="R239" s="206"/>
      <c r="S239" s="207" t="s">
        <v>16</v>
      </c>
      <c r="T239" s="204"/>
      <c r="U239" s="82">
        <f>IF(F252&lt;&gt;"",$U$5,"")</f>
        <v>5</v>
      </c>
      <c r="V239" s="63"/>
      <c r="X239" s="1"/>
    </row>
    <row r="240" spans="2:24" ht="8.25" customHeight="1" x14ac:dyDescent="0.25"/>
    <row r="241" spans="2:24" ht="11.25" customHeight="1" x14ac:dyDescent="0.25">
      <c r="B241" s="24" t="s">
        <v>17</v>
      </c>
      <c r="C241" s="24"/>
      <c r="D241" s="24"/>
    </row>
    <row r="242" spans="2:24" ht="11.25" customHeight="1" x14ac:dyDescent="0.25">
      <c r="B242" s="8" t="s">
        <v>18</v>
      </c>
      <c r="C242" s="8"/>
      <c r="D242" s="8"/>
    </row>
    <row r="243" spans="2:24" ht="5.25" customHeight="1" x14ac:dyDescent="0.25">
      <c r="B243" s="8"/>
      <c r="C243" s="8"/>
      <c r="D243" s="8"/>
    </row>
    <row r="244" spans="2:24" x14ac:dyDescent="0.25">
      <c r="B244" s="179" t="s">
        <v>19</v>
      </c>
      <c r="C244" s="179"/>
      <c r="D244" s="179"/>
      <c r="E244" s="179"/>
      <c r="F244" s="179"/>
      <c r="G244" s="18" t="s">
        <v>6</v>
      </c>
      <c r="H244" s="64">
        <f>IF(F252&lt;&gt;"",$H$10,"")</f>
        <v>2026</v>
      </c>
      <c r="I244" s="9" t="s">
        <v>15</v>
      </c>
      <c r="J244" s="83">
        <f>IF(F252&lt;&gt;"",$J$10,"")</f>
        <v>1</v>
      </c>
      <c r="K244" s="9" t="s">
        <v>16</v>
      </c>
      <c r="L244" s="180">
        <f>IF(F252&lt;&gt;"",$L$10,"")</f>
        <v>5</v>
      </c>
      <c r="M244" s="181"/>
      <c r="X244" s="32"/>
    </row>
    <row r="245" spans="2:24" ht="5.25" customHeight="1" x14ac:dyDescent="0.25">
      <c r="B245" s="8"/>
      <c r="C245" s="8"/>
      <c r="D245" s="8"/>
      <c r="E245" s="8"/>
      <c r="F245" s="8"/>
      <c r="G245" s="19"/>
      <c r="H245" s="20"/>
      <c r="I245" s="21"/>
      <c r="J245" s="20"/>
      <c r="K245" s="10"/>
      <c r="L245" s="22"/>
      <c r="X245" s="32"/>
    </row>
    <row r="246" spans="2:24" s="73" customFormat="1" ht="14.4" customHeight="1" x14ac:dyDescent="0.25">
      <c r="B246" s="72" t="s">
        <v>20</v>
      </c>
      <c r="C246" s="72"/>
      <c r="D246" s="72"/>
      <c r="X246" s="74"/>
    </row>
    <row r="247" spans="2:24" s="73" customFormat="1" ht="14.4" customHeight="1" x14ac:dyDescent="0.25">
      <c r="B247" s="75" t="s">
        <v>21</v>
      </c>
      <c r="C247" s="10"/>
      <c r="D247" s="10"/>
      <c r="E247" s="22" t="s">
        <v>22</v>
      </c>
      <c r="X247" s="74"/>
    </row>
    <row r="248" spans="2:24" s="73" customFormat="1" ht="14.4" customHeight="1" x14ac:dyDescent="0.25">
      <c r="B248" s="22"/>
      <c r="C248" s="22"/>
      <c r="D248" s="22"/>
      <c r="E248" s="22" t="s">
        <v>23</v>
      </c>
      <c r="X248" s="164" t="s">
        <v>102</v>
      </c>
    </row>
    <row r="249" spans="2:24" ht="7.5" customHeight="1" x14ac:dyDescent="0.25">
      <c r="B249" s="8"/>
      <c r="C249" s="8"/>
      <c r="D249" s="8"/>
      <c r="X249" s="164"/>
    </row>
    <row r="250" spans="2:24" ht="17.25" customHeight="1" x14ac:dyDescent="0.25">
      <c r="B250" s="182"/>
      <c r="C250" s="59"/>
      <c r="D250" s="60"/>
      <c r="E250" s="184" t="s">
        <v>0</v>
      </c>
      <c r="F250" s="186" t="s">
        <v>1</v>
      </c>
      <c r="G250" s="187"/>
      <c r="H250" s="4"/>
      <c r="I250" s="4"/>
      <c r="J250" s="4"/>
      <c r="K250" s="5"/>
      <c r="L250" s="145" t="s">
        <v>3</v>
      </c>
      <c r="M250" s="142"/>
      <c r="N250" s="188" t="s">
        <v>10</v>
      </c>
      <c r="O250" s="188"/>
      <c r="P250" s="188"/>
      <c r="Q250" s="188"/>
      <c r="R250" s="188"/>
      <c r="S250" s="188"/>
      <c r="T250" s="188"/>
      <c r="U250" s="189"/>
      <c r="V250" s="3" t="s">
        <v>12</v>
      </c>
      <c r="X250" s="68" t="s">
        <v>200</v>
      </c>
    </row>
    <row r="251" spans="2:24" ht="17.25" customHeight="1" x14ac:dyDescent="0.25">
      <c r="B251" s="183"/>
      <c r="C251" s="61"/>
      <c r="D251" s="62"/>
      <c r="E251" s="185"/>
      <c r="F251" s="30" t="s">
        <v>2</v>
      </c>
      <c r="G251" s="17"/>
      <c r="H251" s="6"/>
      <c r="I251" s="6"/>
      <c r="J251" s="6"/>
      <c r="K251" s="7"/>
      <c r="L251" s="190" t="s">
        <v>4</v>
      </c>
      <c r="M251" s="191"/>
      <c r="N251" s="192" t="s">
        <v>9</v>
      </c>
      <c r="O251" s="192"/>
      <c r="P251" s="192"/>
      <c r="Q251" s="192"/>
      <c r="R251" s="192"/>
      <c r="S251" s="192"/>
      <c r="T251" s="192"/>
      <c r="U251" s="191"/>
      <c r="V251" s="31" t="s">
        <v>11</v>
      </c>
      <c r="X251" s="69"/>
    </row>
    <row r="252" spans="2:24" ht="10.95" customHeight="1" x14ac:dyDescent="0.25">
      <c r="B252" s="41"/>
      <c r="C252" s="51"/>
      <c r="D252" s="42"/>
      <c r="E252" s="154">
        <v>31</v>
      </c>
      <c r="F252" s="145" t="str">
        <f>_xlfn.IFNA(VLOOKUP(E252,'Data Kyu'!$A$6:$I$471,3,0),"")</f>
        <v>XX.X.XX.XX.XX.031</v>
      </c>
      <c r="G252" s="142"/>
      <c r="H252" s="66"/>
      <c r="I252" s="66"/>
      <c r="J252" s="66"/>
      <c r="K252" s="66"/>
      <c r="L252" s="145" t="str">
        <f>_xlfn.IFNA(VLOOKUP(E252,'Data Kyu'!$A$6:$I$471,9,0),"")</f>
        <v>2 KYU</v>
      </c>
      <c r="M252" s="142"/>
      <c r="N252" s="145">
        <f>_xlfn.IFNA(VLOOKUP(E252,'Data Kyu'!$A$6:$I$471,6,0),"")</f>
        <v>2013</v>
      </c>
      <c r="O252" s="141"/>
      <c r="P252" s="139" t="s">
        <v>5</v>
      </c>
      <c r="Q252" s="141" t="str">
        <f>_xlfn.IFNA(VLOOKUP(E252,'Data Kyu'!$A$6:$I$471,7,0),"")</f>
        <v>02</v>
      </c>
      <c r="R252" s="141"/>
      <c r="S252" s="139" t="s">
        <v>5</v>
      </c>
      <c r="T252" s="141" t="str">
        <f>_xlfn.IFNA(VLOOKUP(E252,'Data Kyu'!$A$6:$I$471,8,0),"")</f>
        <v>04</v>
      </c>
      <c r="U252" s="142"/>
      <c r="V252" s="142" t="str">
        <f>_xlfn.IFNA(VLOOKUP(E252,'Data Kyu'!$A$6:$I$471,4,0),"")</f>
        <v>Male</v>
      </c>
      <c r="X252" s="214" t="str">
        <f>_xlfn.IFNA(VLOOKUP(F252,'Data Kyu'!$C$6:$N$997,12,0),"No Data")</f>
        <v>LULUS</v>
      </c>
    </row>
    <row r="253" spans="2:24" ht="10.95" customHeight="1" x14ac:dyDescent="0.25">
      <c r="B253" s="52"/>
      <c r="C253" s="165" t="str">
        <f>IF(X252="LULUS","V","")</f>
        <v>V</v>
      </c>
      <c r="D253" s="53"/>
      <c r="E253" s="155"/>
      <c r="F253" s="148"/>
      <c r="G253" s="144"/>
      <c r="H253" s="67"/>
      <c r="I253" s="67"/>
      <c r="J253" s="67"/>
      <c r="K253" s="67"/>
      <c r="L253" s="146"/>
      <c r="M253" s="147"/>
      <c r="N253" s="148"/>
      <c r="O253" s="143"/>
      <c r="P253" s="140"/>
      <c r="Q253" s="143"/>
      <c r="R253" s="143"/>
      <c r="S253" s="140"/>
      <c r="T253" s="143"/>
      <c r="U253" s="144"/>
      <c r="V253" s="147"/>
      <c r="X253" s="214"/>
    </row>
    <row r="254" spans="2:24" ht="10.95" customHeight="1" x14ac:dyDescent="0.25">
      <c r="B254" s="52"/>
      <c r="C254" s="166"/>
      <c r="D254" s="53"/>
      <c r="E254" s="155"/>
      <c r="F254" s="167" t="str">
        <f>_xlfn.IFNA(VLOOKUP(E252,'Data Kyu'!$A$6:$I$471,2,0),"")</f>
        <v>Kenshi 31</v>
      </c>
      <c r="G254" s="168"/>
      <c r="H254" s="168"/>
      <c r="I254" s="168"/>
      <c r="J254" s="168"/>
      <c r="K254" s="169"/>
      <c r="L254" s="146"/>
      <c r="M254" s="147"/>
      <c r="N254" s="173" t="s">
        <v>6</v>
      </c>
      <c r="O254" s="159"/>
      <c r="P254" s="57"/>
      <c r="Q254" s="159" t="s">
        <v>7</v>
      </c>
      <c r="R254" s="159"/>
      <c r="S254" s="57"/>
      <c r="T254" s="159" t="s">
        <v>8</v>
      </c>
      <c r="U254" s="160"/>
      <c r="V254" s="175"/>
      <c r="X254" s="214"/>
    </row>
    <row r="255" spans="2:24" ht="10.95" customHeight="1" x14ac:dyDescent="0.25">
      <c r="B255" s="54"/>
      <c r="C255" s="76"/>
      <c r="D255" s="56"/>
      <c r="E255" s="156"/>
      <c r="F255" s="170"/>
      <c r="G255" s="171"/>
      <c r="H255" s="171"/>
      <c r="I255" s="171"/>
      <c r="J255" s="171"/>
      <c r="K255" s="172"/>
      <c r="L255" s="148"/>
      <c r="M255" s="144"/>
      <c r="N255" s="174"/>
      <c r="O255" s="161"/>
      <c r="P255" s="27"/>
      <c r="Q255" s="161"/>
      <c r="R255" s="161"/>
      <c r="S255" s="27"/>
      <c r="T255" s="161"/>
      <c r="U255" s="162"/>
      <c r="V255" s="176"/>
      <c r="X255" s="214"/>
    </row>
    <row r="256" spans="2:24" ht="10.95" customHeight="1" x14ac:dyDescent="0.25">
      <c r="B256" s="41"/>
      <c r="C256" s="77"/>
      <c r="D256" s="42"/>
      <c r="E256" s="154">
        <v>32</v>
      </c>
      <c r="F256" s="145" t="str">
        <f>_xlfn.IFNA(VLOOKUP(E256,'Data Kyu'!$A$6:$I$471,3,0),"")</f>
        <v>XX.X.XX.XX.XX.032</v>
      </c>
      <c r="G256" s="142"/>
      <c r="H256" s="66"/>
      <c r="I256" s="66"/>
      <c r="J256" s="66"/>
      <c r="K256" s="66"/>
      <c r="L256" s="145" t="str">
        <f>_xlfn.IFNA(VLOOKUP(E256,'Data Kyu'!$A$6:$I$471,9,0),"")</f>
        <v>2 KYU</v>
      </c>
      <c r="M256" s="142"/>
      <c r="N256" s="145">
        <f>_xlfn.IFNA(VLOOKUP(E256,'Data Kyu'!$A$6:$I$471,6,0),"")</f>
        <v>2012</v>
      </c>
      <c r="O256" s="141"/>
      <c r="P256" s="139" t="s">
        <v>5</v>
      </c>
      <c r="Q256" s="141" t="str">
        <f>_xlfn.IFNA(VLOOKUP(E256,'Data Kyu'!$A$6:$I$471,7,0),"")</f>
        <v>05</v>
      </c>
      <c r="R256" s="141"/>
      <c r="S256" s="139" t="s">
        <v>5</v>
      </c>
      <c r="T256" s="141">
        <f>_xlfn.IFNA(VLOOKUP(E256,'Data Kyu'!$A$6:$I$471,8,0),"")</f>
        <v>20</v>
      </c>
      <c r="U256" s="142"/>
      <c r="V256" s="142" t="str">
        <f>_xlfn.IFNA(VLOOKUP(E256,'Data Kyu'!$A$6:$I$471,4,0),"")</f>
        <v>Male</v>
      </c>
      <c r="X256" s="214" t="str">
        <f>_xlfn.IFNA(VLOOKUP(F256,'Data Kyu'!$C$6:$N$997,12,0),"No Data")</f>
        <v>LULUS</v>
      </c>
    </row>
    <row r="257" spans="2:24" ht="10.95" customHeight="1" x14ac:dyDescent="0.25">
      <c r="B257" s="52"/>
      <c r="C257" s="165" t="str">
        <f>IF(X256="LULUS","V","")</f>
        <v>V</v>
      </c>
      <c r="D257" s="53"/>
      <c r="E257" s="155"/>
      <c r="F257" s="148"/>
      <c r="G257" s="144"/>
      <c r="H257" s="67"/>
      <c r="I257" s="67"/>
      <c r="J257" s="67"/>
      <c r="K257" s="67"/>
      <c r="L257" s="146"/>
      <c r="M257" s="147"/>
      <c r="N257" s="148"/>
      <c r="O257" s="143"/>
      <c r="P257" s="140"/>
      <c r="Q257" s="143"/>
      <c r="R257" s="143"/>
      <c r="S257" s="140"/>
      <c r="T257" s="143"/>
      <c r="U257" s="144"/>
      <c r="V257" s="147"/>
      <c r="X257" s="214"/>
    </row>
    <row r="258" spans="2:24" ht="10.95" customHeight="1" x14ac:dyDescent="0.25">
      <c r="B258" s="52"/>
      <c r="C258" s="166"/>
      <c r="D258" s="53"/>
      <c r="E258" s="155"/>
      <c r="F258" s="167" t="str">
        <f>_xlfn.IFNA(VLOOKUP(E256,'Data Kyu'!$A$6:$I$471,2,0),"")</f>
        <v>Kenshi 32</v>
      </c>
      <c r="G258" s="168"/>
      <c r="H258" s="168"/>
      <c r="I258" s="168"/>
      <c r="J258" s="168"/>
      <c r="K258" s="169"/>
      <c r="L258" s="146"/>
      <c r="M258" s="147"/>
      <c r="N258" s="173" t="s">
        <v>6</v>
      </c>
      <c r="O258" s="159"/>
      <c r="P258" s="57"/>
      <c r="Q258" s="159" t="s">
        <v>7</v>
      </c>
      <c r="R258" s="159"/>
      <c r="S258" s="57"/>
      <c r="T258" s="159" t="s">
        <v>8</v>
      </c>
      <c r="U258" s="160"/>
      <c r="V258" s="175"/>
      <c r="X258" s="214"/>
    </row>
    <row r="259" spans="2:24" ht="10.95" customHeight="1" x14ac:dyDescent="0.25">
      <c r="B259" s="54"/>
      <c r="C259" s="76"/>
      <c r="D259" s="56"/>
      <c r="E259" s="156"/>
      <c r="F259" s="170"/>
      <c r="G259" s="171"/>
      <c r="H259" s="171"/>
      <c r="I259" s="171"/>
      <c r="J259" s="171"/>
      <c r="K259" s="172"/>
      <c r="L259" s="148"/>
      <c r="M259" s="144"/>
      <c r="N259" s="174"/>
      <c r="O259" s="161"/>
      <c r="P259" s="27"/>
      <c r="Q259" s="161"/>
      <c r="R259" s="161"/>
      <c r="S259" s="27"/>
      <c r="T259" s="161"/>
      <c r="U259" s="162"/>
      <c r="V259" s="176"/>
      <c r="X259" s="214"/>
    </row>
    <row r="260" spans="2:24" ht="10.95" customHeight="1" x14ac:dyDescent="0.25">
      <c r="B260" s="41"/>
      <c r="C260" s="77"/>
      <c r="D260" s="42"/>
      <c r="E260" s="154">
        <v>33</v>
      </c>
      <c r="F260" s="145" t="str">
        <f>_xlfn.IFNA(VLOOKUP(E260,'Data Kyu'!$A$6:$I$471,3,0),"")</f>
        <v>XX.X.XX.XX.XX.033</v>
      </c>
      <c r="G260" s="142"/>
      <c r="H260" s="66"/>
      <c r="I260" s="66"/>
      <c r="J260" s="66"/>
      <c r="K260" s="66"/>
      <c r="L260" s="145" t="str">
        <f>_xlfn.IFNA(VLOOKUP(E260,'Data Kyu'!$A$6:$I$471,9,0),"")</f>
        <v>2 KYU</v>
      </c>
      <c r="M260" s="142"/>
      <c r="N260" s="145">
        <f>_xlfn.IFNA(VLOOKUP(E260,'Data Kyu'!$A$6:$I$471,6,0),"")</f>
        <v>2009</v>
      </c>
      <c r="O260" s="141"/>
      <c r="P260" s="139" t="s">
        <v>5</v>
      </c>
      <c r="Q260" s="141" t="str">
        <f>_xlfn.IFNA(VLOOKUP(E260,'Data Kyu'!$A$6:$I$471,7,0),"")</f>
        <v>03</v>
      </c>
      <c r="R260" s="141"/>
      <c r="S260" s="139" t="s">
        <v>5</v>
      </c>
      <c r="T260" s="141">
        <f>_xlfn.IFNA(VLOOKUP(E260,'Data Kyu'!$A$6:$I$471,8,0),"")</f>
        <v>20</v>
      </c>
      <c r="U260" s="142"/>
      <c r="V260" s="142" t="str">
        <f>_xlfn.IFNA(VLOOKUP(E260,'Data Kyu'!$A$6:$I$471,4,0),"")</f>
        <v>Female</v>
      </c>
      <c r="X260" s="214" t="str">
        <f>_xlfn.IFNA(VLOOKUP(F260,'Data Kyu'!$C$6:$N$997,12,0),"No Data")</f>
        <v>LULUS</v>
      </c>
    </row>
    <row r="261" spans="2:24" ht="10.95" customHeight="1" x14ac:dyDescent="0.25">
      <c r="B261" s="52"/>
      <c r="C261" s="165" t="str">
        <f>IF(X260="LULUS","V","")</f>
        <v>V</v>
      </c>
      <c r="D261" s="53"/>
      <c r="E261" s="155"/>
      <c r="F261" s="148"/>
      <c r="G261" s="144"/>
      <c r="H261" s="67"/>
      <c r="I261" s="67"/>
      <c r="J261" s="67"/>
      <c r="K261" s="67"/>
      <c r="L261" s="146"/>
      <c r="M261" s="147"/>
      <c r="N261" s="148"/>
      <c r="O261" s="143"/>
      <c r="P261" s="140"/>
      <c r="Q261" s="143"/>
      <c r="R261" s="143"/>
      <c r="S261" s="140"/>
      <c r="T261" s="143"/>
      <c r="U261" s="144"/>
      <c r="V261" s="147"/>
      <c r="X261" s="214"/>
    </row>
    <row r="262" spans="2:24" ht="10.95" customHeight="1" x14ac:dyDescent="0.25">
      <c r="B262" s="52"/>
      <c r="C262" s="166"/>
      <c r="D262" s="53"/>
      <c r="E262" s="155"/>
      <c r="F262" s="167" t="str">
        <f>_xlfn.IFNA(VLOOKUP(E260,'Data Kyu'!$A$6:$I$471,2,0),"")</f>
        <v>Kenshi 33</v>
      </c>
      <c r="G262" s="168"/>
      <c r="H262" s="168"/>
      <c r="I262" s="168"/>
      <c r="J262" s="168"/>
      <c r="K262" s="169"/>
      <c r="L262" s="146"/>
      <c r="M262" s="147"/>
      <c r="N262" s="173" t="s">
        <v>6</v>
      </c>
      <c r="O262" s="159"/>
      <c r="P262" s="57"/>
      <c r="Q262" s="159" t="s">
        <v>7</v>
      </c>
      <c r="R262" s="159"/>
      <c r="S262" s="57"/>
      <c r="T262" s="159" t="s">
        <v>8</v>
      </c>
      <c r="U262" s="160"/>
      <c r="V262" s="175"/>
      <c r="X262" s="214"/>
    </row>
    <row r="263" spans="2:24" ht="10.95" customHeight="1" x14ac:dyDescent="0.25">
      <c r="B263" s="54"/>
      <c r="C263" s="76"/>
      <c r="D263" s="56"/>
      <c r="E263" s="156"/>
      <c r="F263" s="170"/>
      <c r="G263" s="171"/>
      <c r="H263" s="171"/>
      <c r="I263" s="171"/>
      <c r="J263" s="171"/>
      <c r="K263" s="172"/>
      <c r="L263" s="148"/>
      <c r="M263" s="144"/>
      <c r="N263" s="174"/>
      <c r="O263" s="161"/>
      <c r="P263" s="27"/>
      <c r="Q263" s="161"/>
      <c r="R263" s="161"/>
      <c r="S263" s="27"/>
      <c r="T263" s="161"/>
      <c r="U263" s="162"/>
      <c r="V263" s="176"/>
      <c r="X263" s="214"/>
    </row>
    <row r="264" spans="2:24" ht="10.95" customHeight="1" x14ac:dyDescent="0.25">
      <c r="B264" s="41"/>
      <c r="C264" s="77"/>
      <c r="D264" s="42"/>
      <c r="E264" s="154">
        <v>34</v>
      </c>
      <c r="F264" s="145" t="str">
        <f>_xlfn.IFNA(VLOOKUP(E264,'Data Kyu'!$A$6:$I$471,3,0),"")</f>
        <v>XX.X.XX.XX.XX.034</v>
      </c>
      <c r="G264" s="142"/>
      <c r="H264" s="66"/>
      <c r="I264" s="66"/>
      <c r="J264" s="66"/>
      <c r="K264" s="66"/>
      <c r="L264" s="145" t="str">
        <f>_xlfn.IFNA(VLOOKUP(E264,'Data Kyu'!$A$6:$I$471,9,0),"")</f>
        <v>2 KYU</v>
      </c>
      <c r="M264" s="142"/>
      <c r="N264" s="145">
        <f>_xlfn.IFNA(VLOOKUP(E264,'Data Kyu'!$A$6:$I$471,6,0),"")</f>
        <v>2004</v>
      </c>
      <c r="O264" s="141"/>
      <c r="P264" s="139" t="s">
        <v>5</v>
      </c>
      <c r="Q264" s="141" t="str">
        <f>_xlfn.IFNA(VLOOKUP(E264,'Data Kyu'!$A$6:$I$471,7,0),"")</f>
        <v>05</v>
      </c>
      <c r="R264" s="141"/>
      <c r="S264" s="139" t="s">
        <v>5</v>
      </c>
      <c r="T264" s="141">
        <f>_xlfn.IFNA(VLOOKUP(E264,'Data Kyu'!$A$6:$I$471,8,0),"")</f>
        <v>10</v>
      </c>
      <c r="U264" s="142"/>
      <c r="V264" s="142" t="str">
        <f>_xlfn.IFNA(VLOOKUP(E264,'Data Kyu'!$A$6:$I$471,4,0),"")</f>
        <v>Female</v>
      </c>
      <c r="X264" s="214" t="str">
        <f>_xlfn.IFNA(VLOOKUP(F264,'Data Kyu'!$C$6:$N$997,12,0),"No Data")</f>
        <v>LULUS</v>
      </c>
    </row>
    <row r="265" spans="2:24" ht="10.95" customHeight="1" x14ac:dyDescent="0.25">
      <c r="B265" s="52"/>
      <c r="C265" s="165" t="str">
        <f>IF(X264="LULUS","V","")</f>
        <v>V</v>
      </c>
      <c r="D265" s="53"/>
      <c r="E265" s="155"/>
      <c r="F265" s="148"/>
      <c r="G265" s="144"/>
      <c r="H265" s="67"/>
      <c r="I265" s="67"/>
      <c r="J265" s="67"/>
      <c r="K265" s="67"/>
      <c r="L265" s="146"/>
      <c r="M265" s="147"/>
      <c r="N265" s="148"/>
      <c r="O265" s="143"/>
      <c r="P265" s="140"/>
      <c r="Q265" s="143"/>
      <c r="R265" s="143"/>
      <c r="S265" s="140"/>
      <c r="T265" s="143"/>
      <c r="U265" s="144"/>
      <c r="V265" s="147"/>
      <c r="X265" s="214"/>
    </row>
    <row r="266" spans="2:24" ht="10.95" customHeight="1" x14ac:dyDescent="0.25">
      <c r="B266" s="52"/>
      <c r="C266" s="166"/>
      <c r="D266" s="53"/>
      <c r="E266" s="155"/>
      <c r="F266" s="167" t="str">
        <f>_xlfn.IFNA(VLOOKUP(E264,'Data Kyu'!$A$6:$I$471,2,0),"")</f>
        <v>Kenshi 34</v>
      </c>
      <c r="G266" s="168"/>
      <c r="H266" s="168"/>
      <c r="I266" s="168"/>
      <c r="J266" s="168"/>
      <c r="K266" s="169"/>
      <c r="L266" s="146"/>
      <c r="M266" s="147"/>
      <c r="N266" s="173" t="s">
        <v>6</v>
      </c>
      <c r="O266" s="159"/>
      <c r="P266" s="57"/>
      <c r="Q266" s="159" t="s">
        <v>7</v>
      </c>
      <c r="R266" s="159"/>
      <c r="S266" s="57"/>
      <c r="T266" s="159" t="s">
        <v>8</v>
      </c>
      <c r="U266" s="160"/>
      <c r="V266" s="175"/>
      <c r="X266" s="214"/>
    </row>
    <row r="267" spans="2:24" ht="10.95" customHeight="1" x14ac:dyDescent="0.25">
      <c r="B267" s="54"/>
      <c r="C267" s="76"/>
      <c r="D267" s="56"/>
      <c r="E267" s="156"/>
      <c r="F267" s="170"/>
      <c r="G267" s="171"/>
      <c r="H267" s="171"/>
      <c r="I267" s="171"/>
      <c r="J267" s="171"/>
      <c r="K267" s="172"/>
      <c r="L267" s="148"/>
      <c r="M267" s="144"/>
      <c r="N267" s="174"/>
      <c r="O267" s="161"/>
      <c r="P267" s="27"/>
      <c r="Q267" s="161"/>
      <c r="R267" s="161"/>
      <c r="S267" s="27"/>
      <c r="T267" s="161"/>
      <c r="U267" s="162"/>
      <c r="V267" s="176"/>
      <c r="X267" s="214"/>
    </row>
    <row r="268" spans="2:24" ht="10.95" customHeight="1" x14ac:dyDescent="0.25">
      <c r="B268" s="41"/>
      <c r="C268" s="77"/>
      <c r="D268" s="42"/>
      <c r="E268" s="154">
        <v>35</v>
      </c>
      <c r="F268" s="145" t="str">
        <f>_xlfn.IFNA(VLOOKUP(E268,'Data Kyu'!$A$6:$I$471,3,0),"")</f>
        <v>XX.X.XX.XX.XX.035</v>
      </c>
      <c r="G268" s="142"/>
      <c r="H268" s="66"/>
      <c r="I268" s="66"/>
      <c r="J268" s="66"/>
      <c r="K268" s="66"/>
      <c r="L268" s="145" t="str">
        <f>_xlfn.IFNA(VLOOKUP(E268,'Data Kyu'!$A$6:$I$471,9,0),"")</f>
        <v>2 KYU</v>
      </c>
      <c r="M268" s="142"/>
      <c r="N268" s="145">
        <f>_xlfn.IFNA(VLOOKUP(E268,'Data Kyu'!$A$6:$I$471,6,0),"")</f>
        <v>2003</v>
      </c>
      <c r="O268" s="141"/>
      <c r="P268" s="139" t="s">
        <v>5</v>
      </c>
      <c r="Q268" s="141" t="str">
        <f>_xlfn.IFNA(VLOOKUP(E268,'Data Kyu'!$A$6:$I$471,7,0),"")</f>
        <v>06</v>
      </c>
      <c r="R268" s="141"/>
      <c r="S268" s="139" t="s">
        <v>5</v>
      </c>
      <c r="T268" s="141" t="str">
        <f>_xlfn.IFNA(VLOOKUP(E268,'Data Kyu'!$A$6:$I$471,8,0),"")</f>
        <v>02</v>
      </c>
      <c r="U268" s="142"/>
      <c r="V268" s="142" t="str">
        <f>_xlfn.IFNA(VLOOKUP(E268,'Data Kyu'!$A$6:$I$471,4,0),"")</f>
        <v>Female</v>
      </c>
      <c r="X268" s="214" t="str">
        <f>_xlfn.IFNA(VLOOKUP(F268,'Data Kyu'!$C$6:$N$997,12,0),"No Data")</f>
        <v>LULUS</v>
      </c>
    </row>
    <row r="269" spans="2:24" ht="10.95" customHeight="1" x14ac:dyDescent="0.25">
      <c r="B269" s="52"/>
      <c r="C269" s="165" t="str">
        <f>IF(X268="LULUS","V","")</f>
        <v>V</v>
      </c>
      <c r="D269" s="53"/>
      <c r="E269" s="155"/>
      <c r="F269" s="148"/>
      <c r="G269" s="144"/>
      <c r="H269" s="67"/>
      <c r="I269" s="67"/>
      <c r="J269" s="67"/>
      <c r="K269" s="67"/>
      <c r="L269" s="146"/>
      <c r="M269" s="147"/>
      <c r="N269" s="148"/>
      <c r="O269" s="143"/>
      <c r="P269" s="140"/>
      <c r="Q269" s="143"/>
      <c r="R269" s="143"/>
      <c r="S269" s="140"/>
      <c r="T269" s="143"/>
      <c r="U269" s="144"/>
      <c r="V269" s="147"/>
      <c r="X269" s="214"/>
    </row>
    <row r="270" spans="2:24" ht="10.95" customHeight="1" x14ac:dyDescent="0.25">
      <c r="B270" s="52"/>
      <c r="C270" s="166"/>
      <c r="D270" s="53"/>
      <c r="E270" s="155"/>
      <c r="F270" s="167" t="str">
        <f>_xlfn.IFNA(VLOOKUP(E268,'Data Kyu'!$A$6:$I$471,2,0),"")</f>
        <v>Kenshi 35</v>
      </c>
      <c r="G270" s="168"/>
      <c r="H270" s="168"/>
      <c r="I270" s="168"/>
      <c r="J270" s="168"/>
      <c r="K270" s="169"/>
      <c r="L270" s="146"/>
      <c r="M270" s="147"/>
      <c r="N270" s="173" t="s">
        <v>6</v>
      </c>
      <c r="O270" s="159"/>
      <c r="P270" s="57"/>
      <c r="Q270" s="159" t="s">
        <v>7</v>
      </c>
      <c r="R270" s="159"/>
      <c r="S270" s="57"/>
      <c r="T270" s="159" t="s">
        <v>8</v>
      </c>
      <c r="U270" s="160"/>
      <c r="V270" s="175"/>
      <c r="X270" s="214"/>
    </row>
    <row r="271" spans="2:24" ht="10.95" customHeight="1" x14ac:dyDescent="0.25">
      <c r="B271" s="54"/>
      <c r="C271" s="76"/>
      <c r="D271" s="56"/>
      <c r="E271" s="156"/>
      <c r="F271" s="170"/>
      <c r="G271" s="171"/>
      <c r="H271" s="171"/>
      <c r="I271" s="171"/>
      <c r="J271" s="171"/>
      <c r="K271" s="172"/>
      <c r="L271" s="148"/>
      <c r="M271" s="144"/>
      <c r="N271" s="174"/>
      <c r="O271" s="161"/>
      <c r="P271" s="27"/>
      <c r="Q271" s="161"/>
      <c r="R271" s="161"/>
      <c r="S271" s="27"/>
      <c r="T271" s="161"/>
      <c r="U271" s="162"/>
      <c r="V271" s="176"/>
      <c r="X271" s="214"/>
    </row>
    <row r="272" spans="2:24" ht="10.95" customHeight="1" x14ac:dyDescent="0.25">
      <c r="B272" s="41"/>
      <c r="C272" s="77"/>
      <c r="D272" s="42"/>
      <c r="E272" s="154">
        <v>36</v>
      </c>
      <c r="F272" s="145" t="str">
        <f>_xlfn.IFNA(VLOOKUP(E272,'Data Kyu'!$A$6:$I$471,3,0),"")</f>
        <v>XX.X.XX.XX.XX.036</v>
      </c>
      <c r="G272" s="142"/>
      <c r="H272" s="66"/>
      <c r="I272" s="66"/>
      <c r="J272" s="66"/>
      <c r="K272" s="66"/>
      <c r="L272" s="145" t="str">
        <f>_xlfn.IFNA(VLOOKUP(E272,'Data Kyu'!$A$6:$I$471,9,0),"")</f>
        <v>1 KYU</v>
      </c>
      <c r="M272" s="142"/>
      <c r="N272" s="145">
        <f>_xlfn.IFNA(VLOOKUP(E272,'Data Kyu'!$A$6:$I$471,6,0),"")</f>
        <v>2007</v>
      </c>
      <c r="O272" s="141"/>
      <c r="P272" s="139" t="s">
        <v>5</v>
      </c>
      <c r="Q272" s="141" t="str">
        <f>_xlfn.IFNA(VLOOKUP(E272,'Data Kyu'!$A$6:$I$471,7,0),"")</f>
        <v>09</v>
      </c>
      <c r="R272" s="141"/>
      <c r="S272" s="139" t="s">
        <v>5</v>
      </c>
      <c r="T272" s="141">
        <f>_xlfn.IFNA(VLOOKUP(E272,'Data Kyu'!$A$6:$I$471,8,0),"")</f>
        <v>28</v>
      </c>
      <c r="U272" s="142"/>
      <c r="V272" s="142" t="str">
        <f>_xlfn.IFNA(VLOOKUP(E272,'Data Kyu'!$A$6:$I$471,4,0),"")</f>
        <v>Male</v>
      </c>
      <c r="X272" s="214" t="str">
        <f>_xlfn.IFNA(VLOOKUP(F272,'Data Kyu'!$C$6:$N$997,12,0),"No Data")</f>
        <v>LULUS</v>
      </c>
    </row>
    <row r="273" spans="2:24" ht="10.95" customHeight="1" x14ac:dyDescent="0.25">
      <c r="B273" s="52"/>
      <c r="C273" s="165" t="str">
        <f>IF(X272="LULUS","V","")</f>
        <v>V</v>
      </c>
      <c r="D273" s="53"/>
      <c r="E273" s="155"/>
      <c r="F273" s="148"/>
      <c r="G273" s="144"/>
      <c r="H273" s="67"/>
      <c r="I273" s="67"/>
      <c r="J273" s="67"/>
      <c r="K273" s="67"/>
      <c r="L273" s="146"/>
      <c r="M273" s="147"/>
      <c r="N273" s="148"/>
      <c r="O273" s="143"/>
      <c r="P273" s="140"/>
      <c r="Q273" s="143"/>
      <c r="R273" s="143"/>
      <c r="S273" s="140"/>
      <c r="T273" s="143"/>
      <c r="U273" s="144"/>
      <c r="V273" s="147"/>
      <c r="X273" s="214"/>
    </row>
    <row r="274" spans="2:24" ht="10.95" customHeight="1" x14ac:dyDescent="0.25">
      <c r="B274" s="52"/>
      <c r="C274" s="166"/>
      <c r="D274" s="53"/>
      <c r="E274" s="155"/>
      <c r="F274" s="167" t="str">
        <f>_xlfn.IFNA(VLOOKUP(E272,'Data Kyu'!$A$6:$I$471,2,0),"")</f>
        <v>Kenshi 36</v>
      </c>
      <c r="G274" s="168"/>
      <c r="H274" s="168"/>
      <c r="I274" s="168"/>
      <c r="J274" s="168"/>
      <c r="K274" s="169"/>
      <c r="L274" s="146"/>
      <c r="M274" s="147"/>
      <c r="N274" s="173" t="s">
        <v>6</v>
      </c>
      <c r="O274" s="159"/>
      <c r="P274" s="57"/>
      <c r="Q274" s="159" t="s">
        <v>7</v>
      </c>
      <c r="R274" s="159"/>
      <c r="S274" s="57"/>
      <c r="T274" s="159" t="s">
        <v>8</v>
      </c>
      <c r="U274" s="160"/>
      <c r="V274" s="175"/>
      <c r="X274" s="214"/>
    </row>
    <row r="275" spans="2:24" ht="10.95" customHeight="1" x14ac:dyDescent="0.25">
      <c r="B275" s="54"/>
      <c r="C275" s="76"/>
      <c r="D275" s="56"/>
      <c r="E275" s="156"/>
      <c r="F275" s="170"/>
      <c r="G275" s="171"/>
      <c r="H275" s="171"/>
      <c r="I275" s="171"/>
      <c r="J275" s="171"/>
      <c r="K275" s="172"/>
      <c r="L275" s="148"/>
      <c r="M275" s="144"/>
      <c r="N275" s="174"/>
      <c r="O275" s="161"/>
      <c r="P275" s="27"/>
      <c r="Q275" s="161"/>
      <c r="R275" s="161"/>
      <c r="S275" s="27"/>
      <c r="T275" s="161"/>
      <c r="U275" s="162"/>
      <c r="V275" s="176"/>
      <c r="X275" s="214"/>
    </row>
    <row r="276" spans="2:24" ht="10.95" customHeight="1" x14ac:dyDescent="0.25">
      <c r="B276" s="41"/>
      <c r="C276" s="77"/>
      <c r="D276" s="42"/>
      <c r="E276" s="154">
        <v>37</v>
      </c>
      <c r="F276" s="145" t="str">
        <f>_xlfn.IFNA(VLOOKUP(E276,'Data Kyu'!$A$6:$I$471,3,0),"")</f>
        <v>XX.X.XX.XX.XX.037</v>
      </c>
      <c r="G276" s="142"/>
      <c r="H276" s="66"/>
      <c r="I276" s="66"/>
      <c r="J276" s="66"/>
      <c r="K276" s="66"/>
      <c r="L276" s="145" t="str">
        <f>_xlfn.IFNA(VLOOKUP(E276,'Data Kyu'!$A$6:$I$471,9,0),"")</f>
        <v>1 KYU</v>
      </c>
      <c r="M276" s="142"/>
      <c r="N276" s="145">
        <f>_xlfn.IFNA(VLOOKUP(E276,'Data Kyu'!$A$6:$I$471,6,0),"")</f>
        <v>2013</v>
      </c>
      <c r="O276" s="141"/>
      <c r="P276" s="139" t="s">
        <v>5</v>
      </c>
      <c r="Q276" s="141" t="str">
        <f>_xlfn.IFNA(VLOOKUP(E276,'Data Kyu'!$A$6:$I$471,7,0),"")</f>
        <v>02</v>
      </c>
      <c r="R276" s="141"/>
      <c r="S276" s="139" t="s">
        <v>5</v>
      </c>
      <c r="T276" s="141" t="str">
        <f>_xlfn.IFNA(VLOOKUP(E276,'Data Kyu'!$A$6:$I$471,8,0),"")</f>
        <v>04</v>
      </c>
      <c r="U276" s="142"/>
      <c r="V276" s="142" t="str">
        <f>_xlfn.IFNA(VLOOKUP(E276,'Data Kyu'!$A$6:$I$471,4,0),"")</f>
        <v>Male</v>
      </c>
      <c r="X276" s="214" t="str">
        <f>_xlfn.IFNA(VLOOKUP(F276,'Data Kyu'!$C$6:$N$997,12,0),"No Data")</f>
        <v>LULUS</v>
      </c>
    </row>
    <row r="277" spans="2:24" ht="10.95" customHeight="1" x14ac:dyDescent="0.25">
      <c r="B277" s="52"/>
      <c r="C277" s="165" t="str">
        <f>IF(X276="LULUS","V","")</f>
        <v>V</v>
      </c>
      <c r="D277" s="53"/>
      <c r="E277" s="155"/>
      <c r="F277" s="148"/>
      <c r="G277" s="144"/>
      <c r="H277" s="67"/>
      <c r="I277" s="67"/>
      <c r="J277" s="67"/>
      <c r="K277" s="67"/>
      <c r="L277" s="146"/>
      <c r="M277" s="147"/>
      <c r="N277" s="148"/>
      <c r="O277" s="143"/>
      <c r="P277" s="140"/>
      <c r="Q277" s="143"/>
      <c r="R277" s="143"/>
      <c r="S277" s="140"/>
      <c r="T277" s="143"/>
      <c r="U277" s="144"/>
      <c r="V277" s="147"/>
      <c r="X277" s="214"/>
    </row>
    <row r="278" spans="2:24" ht="10.95" customHeight="1" x14ac:dyDescent="0.25">
      <c r="B278" s="52"/>
      <c r="C278" s="166"/>
      <c r="D278" s="53"/>
      <c r="E278" s="155"/>
      <c r="F278" s="167" t="str">
        <f>_xlfn.IFNA(VLOOKUP(E276,'Data Kyu'!$A$6:$I$471,2,0),"")</f>
        <v>Kenshi 37</v>
      </c>
      <c r="G278" s="168"/>
      <c r="H278" s="168"/>
      <c r="I278" s="168"/>
      <c r="J278" s="168"/>
      <c r="K278" s="169"/>
      <c r="L278" s="146"/>
      <c r="M278" s="147"/>
      <c r="N278" s="173" t="s">
        <v>6</v>
      </c>
      <c r="O278" s="159"/>
      <c r="P278" s="57"/>
      <c r="Q278" s="159" t="s">
        <v>7</v>
      </c>
      <c r="R278" s="159"/>
      <c r="S278" s="57"/>
      <c r="T278" s="159" t="s">
        <v>8</v>
      </c>
      <c r="U278" s="160"/>
      <c r="V278" s="175"/>
      <c r="X278" s="214"/>
    </row>
    <row r="279" spans="2:24" ht="10.95" customHeight="1" x14ac:dyDescent="0.25">
      <c r="B279" s="54"/>
      <c r="C279" s="76"/>
      <c r="D279" s="56"/>
      <c r="E279" s="156"/>
      <c r="F279" s="170"/>
      <c r="G279" s="171"/>
      <c r="H279" s="171"/>
      <c r="I279" s="171"/>
      <c r="J279" s="171"/>
      <c r="K279" s="172"/>
      <c r="L279" s="148"/>
      <c r="M279" s="144"/>
      <c r="N279" s="174"/>
      <c r="O279" s="161"/>
      <c r="P279" s="27"/>
      <c r="Q279" s="161"/>
      <c r="R279" s="161"/>
      <c r="S279" s="27"/>
      <c r="T279" s="161"/>
      <c r="U279" s="162"/>
      <c r="V279" s="176"/>
      <c r="X279" s="214"/>
    </row>
    <row r="280" spans="2:24" ht="10.95" customHeight="1" x14ac:dyDescent="0.25">
      <c r="B280" s="41"/>
      <c r="C280" s="77"/>
      <c r="D280" s="42"/>
      <c r="E280" s="154">
        <v>38</v>
      </c>
      <c r="F280" s="145" t="str">
        <f>_xlfn.IFNA(VLOOKUP(E280,'Data Kyu'!$A$6:$I$471,3,0),"")</f>
        <v>XX.X.XX.XX.XX.038</v>
      </c>
      <c r="G280" s="142"/>
      <c r="H280" s="66"/>
      <c r="I280" s="66"/>
      <c r="J280" s="66"/>
      <c r="K280" s="66"/>
      <c r="L280" s="145" t="str">
        <f>_xlfn.IFNA(VLOOKUP(E280,'Data Kyu'!$A$6:$I$471,9,0),"")</f>
        <v>1 KYU</v>
      </c>
      <c r="M280" s="142"/>
      <c r="N280" s="145">
        <f>_xlfn.IFNA(VLOOKUP(E280,'Data Kyu'!$A$6:$I$471,6,0),"")</f>
        <v>2012</v>
      </c>
      <c r="O280" s="141"/>
      <c r="P280" s="139" t="s">
        <v>5</v>
      </c>
      <c r="Q280" s="141" t="str">
        <f>_xlfn.IFNA(VLOOKUP(E280,'Data Kyu'!$A$6:$I$471,7,0),"")</f>
        <v>05</v>
      </c>
      <c r="R280" s="141"/>
      <c r="S280" s="139" t="s">
        <v>5</v>
      </c>
      <c r="T280" s="141">
        <f>_xlfn.IFNA(VLOOKUP(E280,'Data Kyu'!$A$6:$I$471,8,0),"")</f>
        <v>20</v>
      </c>
      <c r="U280" s="142"/>
      <c r="V280" s="142" t="str">
        <f>_xlfn.IFNA(VLOOKUP(E280,'Data Kyu'!$A$6:$I$471,4,0),"")</f>
        <v>Male</v>
      </c>
      <c r="X280" s="214" t="str">
        <f>_xlfn.IFNA(VLOOKUP(F280,'Data Kyu'!$C$6:$N$997,12,0),"No Data")</f>
        <v>LULUS</v>
      </c>
    </row>
    <row r="281" spans="2:24" ht="10.95" customHeight="1" x14ac:dyDescent="0.25">
      <c r="B281" s="52"/>
      <c r="C281" s="165" t="str">
        <f>IF(X280="LULUS","V","")</f>
        <v>V</v>
      </c>
      <c r="D281" s="53"/>
      <c r="E281" s="155"/>
      <c r="F281" s="148"/>
      <c r="G281" s="144"/>
      <c r="H281" s="67"/>
      <c r="I281" s="67"/>
      <c r="J281" s="67"/>
      <c r="K281" s="67"/>
      <c r="L281" s="146"/>
      <c r="M281" s="147"/>
      <c r="N281" s="148"/>
      <c r="O281" s="143"/>
      <c r="P281" s="140"/>
      <c r="Q281" s="143"/>
      <c r="R281" s="143"/>
      <c r="S281" s="140"/>
      <c r="T281" s="143"/>
      <c r="U281" s="144"/>
      <c r="V281" s="147"/>
      <c r="X281" s="214"/>
    </row>
    <row r="282" spans="2:24" ht="10.95" customHeight="1" x14ac:dyDescent="0.25">
      <c r="B282" s="52"/>
      <c r="C282" s="166"/>
      <c r="D282" s="53"/>
      <c r="E282" s="155"/>
      <c r="F282" s="167" t="str">
        <f>_xlfn.IFNA(VLOOKUP(E280,'Data Kyu'!$A$6:$I$471,2,0),"")</f>
        <v>Kenshi 38</v>
      </c>
      <c r="G282" s="168"/>
      <c r="H282" s="168"/>
      <c r="I282" s="168"/>
      <c r="J282" s="168"/>
      <c r="K282" s="169"/>
      <c r="L282" s="146"/>
      <c r="M282" s="147"/>
      <c r="N282" s="173" t="s">
        <v>6</v>
      </c>
      <c r="O282" s="159"/>
      <c r="P282" s="57"/>
      <c r="Q282" s="159" t="s">
        <v>7</v>
      </c>
      <c r="R282" s="159"/>
      <c r="S282" s="57"/>
      <c r="T282" s="159" t="s">
        <v>8</v>
      </c>
      <c r="U282" s="160"/>
      <c r="V282" s="175"/>
      <c r="X282" s="214"/>
    </row>
    <row r="283" spans="2:24" ht="10.95" customHeight="1" x14ac:dyDescent="0.25">
      <c r="B283" s="54"/>
      <c r="C283" s="76"/>
      <c r="D283" s="56"/>
      <c r="E283" s="156"/>
      <c r="F283" s="170"/>
      <c r="G283" s="171"/>
      <c r="H283" s="171"/>
      <c r="I283" s="171"/>
      <c r="J283" s="171"/>
      <c r="K283" s="172"/>
      <c r="L283" s="148"/>
      <c r="M283" s="144"/>
      <c r="N283" s="174"/>
      <c r="O283" s="161"/>
      <c r="P283" s="27"/>
      <c r="Q283" s="161"/>
      <c r="R283" s="161"/>
      <c r="S283" s="27"/>
      <c r="T283" s="161"/>
      <c r="U283" s="162"/>
      <c r="V283" s="176"/>
      <c r="X283" s="214"/>
    </row>
    <row r="284" spans="2:24" ht="10.95" customHeight="1" x14ac:dyDescent="0.25">
      <c r="B284" s="41"/>
      <c r="C284" s="77"/>
      <c r="D284" s="42"/>
      <c r="E284" s="154">
        <v>39</v>
      </c>
      <c r="F284" s="145" t="str">
        <f>_xlfn.IFNA(VLOOKUP(E284,'Data Kyu'!$A$6:$I$471,3,0),"")</f>
        <v>XX.X.XX.XX.XX.039</v>
      </c>
      <c r="G284" s="142"/>
      <c r="H284" s="66"/>
      <c r="I284" s="66"/>
      <c r="J284" s="66"/>
      <c r="K284" s="66"/>
      <c r="L284" s="145" t="str">
        <f>_xlfn.IFNA(VLOOKUP(E284,'Data Kyu'!$A$6:$I$471,9,0),"")</f>
        <v>1 KYU</v>
      </c>
      <c r="M284" s="142"/>
      <c r="N284" s="145">
        <f>_xlfn.IFNA(VLOOKUP(E284,'Data Kyu'!$A$6:$I$471,6,0),"")</f>
        <v>2009</v>
      </c>
      <c r="O284" s="141"/>
      <c r="P284" s="139" t="s">
        <v>5</v>
      </c>
      <c r="Q284" s="141" t="str">
        <f>_xlfn.IFNA(VLOOKUP(E284,'Data Kyu'!$A$6:$I$471,7,0),"")</f>
        <v>03</v>
      </c>
      <c r="R284" s="141"/>
      <c r="S284" s="139" t="s">
        <v>5</v>
      </c>
      <c r="T284" s="141">
        <f>_xlfn.IFNA(VLOOKUP(E284,'Data Kyu'!$A$6:$I$471,8,0),"")</f>
        <v>20</v>
      </c>
      <c r="U284" s="142"/>
      <c r="V284" s="142" t="str">
        <f>_xlfn.IFNA(VLOOKUP(E284,'Data Kyu'!$A$6:$I$471,4,0),"")</f>
        <v>Male</v>
      </c>
      <c r="X284" s="214" t="str">
        <f>_xlfn.IFNA(VLOOKUP(F284,'Data Kyu'!$C$6:$N$997,12,0),"No Data")</f>
        <v>LULUS</v>
      </c>
    </row>
    <row r="285" spans="2:24" ht="10.95" customHeight="1" x14ac:dyDescent="0.25">
      <c r="B285" s="52"/>
      <c r="C285" s="165" t="str">
        <f>IF(X284="LULUS","V","")</f>
        <v>V</v>
      </c>
      <c r="D285" s="53"/>
      <c r="E285" s="155"/>
      <c r="F285" s="148"/>
      <c r="G285" s="144"/>
      <c r="H285" s="67"/>
      <c r="I285" s="67"/>
      <c r="J285" s="67"/>
      <c r="K285" s="67"/>
      <c r="L285" s="146"/>
      <c r="M285" s="147"/>
      <c r="N285" s="148"/>
      <c r="O285" s="143"/>
      <c r="P285" s="140"/>
      <c r="Q285" s="143"/>
      <c r="R285" s="143"/>
      <c r="S285" s="140"/>
      <c r="T285" s="143"/>
      <c r="U285" s="144"/>
      <c r="V285" s="147"/>
      <c r="X285" s="214"/>
    </row>
    <row r="286" spans="2:24" ht="10.95" customHeight="1" x14ac:dyDescent="0.25">
      <c r="B286" s="52"/>
      <c r="C286" s="166"/>
      <c r="D286" s="53"/>
      <c r="E286" s="155"/>
      <c r="F286" s="167" t="str">
        <f>_xlfn.IFNA(VLOOKUP(E284,'Data Kyu'!$A$6:$I$471,2,0),"")</f>
        <v>Kenshi 39</v>
      </c>
      <c r="G286" s="168"/>
      <c r="H286" s="168"/>
      <c r="I286" s="168"/>
      <c r="J286" s="168"/>
      <c r="K286" s="169"/>
      <c r="L286" s="146"/>
      <c r="M286" s="147"/>
      <c r="N286" s="173" t="s">
        <v>6</v>
      </c>
      <c r="O286" s="159"/>
      <c r="P286" s="57"/>
      <c r="Q286" s="159" t="s">
        <v>7</v>
      </c>
      <c r="R286" s="159"/>
      <c r="S286" s="57"/>
      <c r="T286" s="159" t="s">
        <v>8</v>
      </c>
      <c r="U286" s="160"/>
      <c r="V286" s="175"/>
      <c r="X286" s="214"/>
    </row>
    <row r="287" spans="2:24" ht="10.95" customHeight="1" x14ac:dyDescent="0.25">
      <c r="B287" s="54"/>
      <c r="C287" s="76"/>
      <c r="D287" s="56"/>
      <c r="E287" s="156"/>
      <c r="F287" s="170"/>
      <c r="G287" s="171"/>
      <c r="H287" s="171"/>
      <c r="I287" s="171"/>
      <c r="J287" s="171"/>
      <c r="K287" s="172"/>
      <c r="L287" s="148"/>
      <c r="M287" s="144"/>
      <c r="N287" s="174"/>
      <c r="O287" s="161"/>
      <c r="P287" s="27"/>
      <c r="Q287" s="161"/>
      <c r="R287" s="161"/>
      <c r="S287" s="27"/>
      <c r="T287" s="161"/>
      <c r="U287" s="162"/>
      <c r="V287" s="176"/>
      <c r="X287" s="214"/>
    </row>
    <row r="288" spans="2:24" ht="10.95" customHeight="1" x14ac:dyDescent="0.25">
      <c r="B288" s="41"/>
      <c r="C288" s="77"/>
      <c r="D288" s="42"/>
      <c r="E288" s="154">
        <v>40</v>
      </c>
      <c r="F288" s="145" t="str">
        <f>_xlfn.IFNA(VLOOKUP(E288,'Data Kyu'!$A$6:$I$471,3,0),"")</f>
        <v>XX.X.XX.XX.XX.040</v>
      </c>
      <c r="G288" s="142"/>
      <c r="H288" s="66"/>
      <c r="I288" s="66"/>
      <c r="J288" s="66"/>
      <c r="K288" s="66"/>
      <c r="L288" s="145" t="str">
        <f>_xlfn.IFNA(VLOOKUP(E288,'Data Kyu'!$A$6:$I$471,9,0),"")</f>
        <v>1 KYU</v>
      </c>
      <c r="M288" s="142"/>
      <c r="N288" s="145">
        <f>_xlfn.IFNA(VLOOKUP(E288,'Data Kyu'!$A$6:$I$471,6,0),"")</f>
        <v>2004</v>
      </c>
      <c r="O288" s="141"/>
      <c r="P288" s="139" t="s">
        <v>5</v>
      </c>
      <c r="Q288" s="141" t="str">
        <f>_xlfn.IFNA(VLOOKUP(E288,'Data Kyu'!$A$6:$I$471,7,0),"")</f>
        <v>05</v>
      </c>
      <c r="R288" s="141"/>
      <c r="S288" s="139" t="s">
        <v>5</v>
      </c>
      <c r="T288" s="141">
        <f>_xlfn.IFNA(VLOOKUP(E288,'Data Kyu'!$A$6:$I$471,8,0),"")</f>
        <v>10</v>
      </c>
      <c r="U288" s="142"/>
      <c r="V288" s="142" t="str">
        <f>_xlfn.IFNA(VLOOKUP(E288,'Data Kyu'!$A$6:$I$471,4,0),"")</f>
        <v>Male</v>
      </c>
      <c r="X288" s="214" t="str">
        <f>_xlfn.IFNA(VLOOKUP(F288,'Data Kyu'!$C$6:$N$997,12,0),"No Data")</f>
        <v>LULUS</v>
      </c>
    </row>
    <row r="289" spans="2:24" ht="10.95" customHeight="1" x14ac:dyDescent="0.25">
      <c r="B289" s="52"/>
      <c r="C289" s="165" t="str">
        <f>IF(X288="LULUS","V","")</f>
        <v>V</v>
      </c>
      <c r="D289" s="53"/>
      <c r="E289" s="155"/>
      <c r="F289" s="148"/>
      <c r="G289" s="144"/>
      <c r="H289" s="67"/>
      <c r="I289" s="67"/>
      <c r="J289" s="67"/>
      <c r="K289" s="67"/>
      <c r="L289" s="146"/>
      <c r="M289" s="147"/>
      <c r="N289" s="148"/>
      <c r="O289" s="143"/>
      <c r="P289" s="140"/>
      <c r="Q289" s="143"/>
      <c r="R289" s="143"/>
      <c r="S289" s="140"/>
      <c r="T289" s="143"/>
      <c r="U289" s="144"/>
      <c r="V289" s="147"/>
      <c r="X289" s="214"/>
    </row>
    <row r="290" spans="2:24" ht="10.95" customHeight="1" x14ac:dyDescent="0.25">
      <c r="B290" s="52"/>
      <c r="C290" s="166"/>
      <c r="D290" s="53"/>
      <c r="E290" s="155"/>
      <c r="F290" s="167" t="str">
        <f>_xlfn.IFNA(VLOOKUP(E288,'Data Kyu'!$A$6:$I$471,2,0),"")</f>
        <v>Kenshi 40</v>
      </c>
      <c r="G290" s="168"/>
      <c r="H290" s="168"/>
      <c r="I290" s="168"/>
      <c r="J290" s="168"/>
      <c r="K290" s="169"/>
      <c r="L290" s="146"/>
      <c r="M290" s="147"/>
      <c r="N290" s="173" t="s">
        <v>6</v>
      </c>
      <c r="O290" s="159"/>
      <c r="P290" s="57"/>
      <c r="Q290" s="159" t="s">
        <v>7</v>
      </c>
      <c r="R290" s="159"/>
      <c r="S290" s="57"/>
      <c r="T290" s="159" t="s">
        <v>8</v>
      </c>
      <c r="U290" s="160"/>
      <c r="V290" s="175"/>
      <c r="X290" s="214"/>
    </row>
    <row r="291" spans="2:24" ht="10.95" customHeight="1" x14ac:dyDescent="0.25">
      <c r="B291" s="54"/>
      <c r="C291" s="55"/>
      <c r="D291" s="56"/>
      <c r="E291" s="156"/>
      <c r="F291" s="170"/>
      <c r="G291" s="171"/>
      <c r="H291" s="171"/>
      <c r="I291" s="171"/>
      <c r="J291" s="171"/>
      <c r="K291" s="172"/>
      <c r="L291" s="148"/>
      <c r="M291" s="144"/>
      <c r="N291" s="174"/>
      <c r="O291" s="161"/>
      <c r="P291" s="27"/>
      <c r="Q291" s="161"/>
      <c r="R291" s="161"/>
      <c r="S291" s="27"/>
      <c r="T291" s="161"/>
      <c r="U291" s="162"/>
      <c r="V291" s="176"/>
      <c r="X291" s="214"/>
    </row>
    <row r="292" spans="2:24" ht="7.5" customHeight="1" x14ac:dyDescent="0.25"/>
    <row r="293" spans="2:24" s="34" customFormat="1" x14ac:dyDescent="0.25">
      <c r="E293" s="35" t="s">
        <v>30</v>
      </c>
      <c r="K293" s="35" t="s">
        <v>28</v>
      </c>
    </row>
    <row r="294" spans="2:24" x14ac:dyDescent="0.25">
      <c r="E294" s="33" t="s">
        <v>31</v>
      </c>
      <c r="F294" s="149"/>
      <c r="G294" s="149"/>
      <c r="H294" s="149"/>
      <c r="I294" s="149"/>
      <c r="J294" s="149"/>
      <c r="K294" s="33" t="s">
        <v>29</v>
      </c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</row>
    <row r="295" spans="2:24" ht="6.75" customHeight="1" x14ac:dyDescent="0.25">
      <c r="F295" s="34"/>
      <c r="G295" s="34"/>
      <c r="H295" s="34"/>
      <c r="I295" s="34"/>
      <c r="J295" s="34"/>
    </row>
    <row r="296" spans="2:24" s="34" customFormat="1" x14ac:dyDescent="0.25">
      <c r="E296" s="35" t="s">
        <v>32</v>
      </c>
      <c r="K296" s="35" t="s">
        <v>36</v>
      </c>
    </row>
    <row r="297" spans="2:24" x14ac:dyDescent="0.25">
      <c r="E297" s="33" t="s">
        <v>33</v>
      </c>
      <c r="F297" s="149"/>
      <c r="G297" s="149"/>
      <c r="H297" s="149"/>
      <c r="I297" s="149"/>
      <c r="J297" s="149"/>
      <c r="K297" s="33" t="s">
        <v>29</v>
      </c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</row>
    <row r="298" spans="2:24" ht="6.75" customHeight="1" x14ac:dyDescent="0.25">
      <c r="F298" s="34"/>
      <c r="G298" s="34"/>
      <c r="H298" s="34"/>
      <c r="I298" s="34"/>
      <c r="J298" s="34"/>
    </row>
    <row r="299" spans="2:24" s="34" customFormat="1" ht="13.8" customHeight="1" x14ac:dyDescent="0.25">
      <c r="E299" s="35" t="s">
        <v>34</v>
      </c>
      <c r="F299" s="177" t="str">
        <f>IF(F252&lt;&gt;"",$F$65,"")</f>
        <v>Xxxxx Xxxx (X DAN)</v>
      </c>
      <c r="G299" s="177"/>
      <c r="H299" s="177"/>
      <c r="I299" s="177"/>
      <c r="J299" s="177"/>
      <c r="K299" s="35" t="s">
        <v>28</v>
      </c>
      <c r="X299" s="70" t="s">
        <v>107</v>
      </c>
    </row>
    <row r="300" spans="2:24" ht="13.2" customHeight="1" x14ac:dyDescent="0.25">
      <c r="E300" s="33" t="s">
        <v>35</v>
      </c>
      <c r="F300" s="178"/>
      <c r="G300" s="178"/>
      <c r="H300" s="178"/>
      <c r="I300" s="178"/>
      <c r="J300" s="178"/>
      <c r="K300" s="33" t="s">
        <v>29</v>
      </c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X300" s="70" t="s">
        <v>105</v>
      </c>
    </row>
    <row r="301" spans="2:24" ht="12.75" customHeight="1" thickBot="1" x14ac:dyDescent="0.3"/>
    <row r="302" spans="2:24" ht="13.8" thickTop="1" x14ac:dyDescent="0.25">
      <c r="B302" s="34" t="s">
        <v>37</v>
      </c>
      <c r="C302" s="34"/>
      <c r="D302" s="34"/>
      <c r="H302" s="150" t="s">
        <v>40</v>
      </c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</row>
    <row r="303" spans="2:24" x14ac:dyDescent="0.25">
      <c r="B303" s="34" t="s">
        <v>38</v>
      </c>
      <c r="C303" s="34"/>
      <c r="D303" s="34"/>
      <c r="H303" s="152"/>
      <c r="I303" s="153"/>
      <c r="J303" s="153"/>
      <c r="K303" s="153"/>
      <c r="L303" s="153"/>
      <c r="M303" s="153"/>
      <c r="N303" s="153"/>
      <c r="O303" s="153"/>
      <c r="P303" s="153"/>
      <c r="Q303" s="153"/>
      <c r="R303" s="153"/>
      <c r="S303" s="153"/>
      <c r="T303" s="153"/>
      <c r="U303" s="153"/>
      <c r="V303" s="153"/>
    </row>
    <row r="304" spans="2:24" ht="12.75" customHeight="1" x14ac:dyDescent="0.25">
      <c r="B304" s="163" t="s">
        <v>39</v>
      </c>
      <c r="C304" s="163"/>
      <c r="D304" s="163"/>
      <c r="E304" s="163"/>
      <c r="F304" s="163"/>
      <c r="H304" s="37" t="s">
        <v>41</v>
      </c>
    </row>
    <row r="305" spans="2:24" ht="13.8" x14ac:dyDescent="0.25">
      <c r="B305" s="163"/>
      <c r="C305" s="163"/>
      <c r="D305" s="163"/>
      <c r="E305" s="163"/>
      <c r="F305" s="163"/>
      <c r="H305" s="38" t="s">
        <v>42</v>
      </c>
    </row>
    <row r="306" spans="2:24" x14ac:dyDescent="0.25">
      <c r="B306" s="163"/>
      <c r="C306" s="163"/>
      <c r="D306" s="163"/>
      <c r="E306" s="163"/>
      <c r="F306" s="163"/>
      <c r="H306" s="36"/>
    </row>
    <row r="307" spans="2:24" x14ac:dyDescent="0.25">
      <c r="B307" s="163"/>
      <c r="C307" s="163"/>
      <c r="D307" s="163"/>
      <c r="E307" s="163"/>
      <c r="F307" s="163"/>
      <c r="H307" s="36"/>
    </row>
    <row r="308" spans="2:24" x14ac:dyDescent="0.25">
      <c r="H308" s="36"/>
    </row>
    <row r="309" spans="2:24" x14ac:dyDescent="0.25">
      <c r="H309" s="36"/>
    </row>
    <row r="310" spans="2:24" x14ac:dyDescent="0.25">
      <c r="H310" s="36"/>
    </row>
    <row r="311" spans="2:24" x14ac:dyDescent="0.25">
      <c r="H311" s="36"/>
    </row>
    <row r="312" spans="2:24" ht="13.8" x14ac:dyDescent="0.25">
      <c r="H312" s="157" t="str">
        <f>IF(F252&lt;&gt;"",$H$78,"")</f>
        <v>LaksdyaTNI (Purn) Prof. Dr. Agus Setiadji, S.A.P, M.A.</v>
      </c>
      <c r="I312" s="158"/>
      <c r="J312" s="158"/>
      <c r="K312" s="158"/>
      <c r="L312" s="158"/>
      <c r="M312" s="158"/>
      <c r="N312" s="158"/>
      <c r="O312" s="158"/>
      <c r="P312" s="158"/>
      <c r="Q312" s="158"/>
      <c r="R312" s="158"/>
      <c r="S312" s="158"/>
      <c r="T312" s="158"/>
      <c r="U312" s="158"/>
      <c r="V312" s="158"/>
    </row>
    <row r="313" spans="2:24" x14ac:dyDescent="0.25">
      <c r="H313" s="36"/>
    </row>
    <row r="314" spans="2:24" ht="28.5" customHeight="1" x14ac:dyDescent="0.3">
      <c r="B314" s="193" t="s">
        <v>43</v>
      </c>
      <c r="C314" s="193"/>
      <c r="D314" s="193"/>
      <c r="E314" s="194"/>
      <c r="F314" s="194"/>
      <c r="G314" s="194"/>
      <c r="H314" s="194"/>
      <c r="I314" s="2"/>
      <c r="J314" s="2"/>
      <c r="K314" s="13" t="s">
        <v>25</v>
      </c>
      <c r="L314" s="195" t="s">
        <v>14</v>
      </c>
      <c r="M314" s="196"/>
      <c r="N314" s="196"/>
      <c r="O314" s="196"/>
      <c r="P314" s="196"/>
      <c r="Q314" s="196"/>
      <c r="R314" s="196"/>
      <c r="S314" s="196"/>
      <c r="T314" s="196"/>
      <c r="U314" s="196"/>
      <c r="V314" s="197"/>
      <c r="X314" s="1"/>
    </row>
    <row r="315" spans="2:24" ht="26.25" customHeight="1" x14ac:dyDescent="0.4">
      <c r="B315" s="39" t="s">
        <v>44</v>
      </c>
      <c r="C315" s="39"/>
      <c r="D315" s="39"/>
      <c r="E315" s="2"/>
      <c r="F315" s="2"/>
      <c r="G315" s="2"/>
      <c r="H315" s="2"/>
      <c r="I315" s="2"/>
      <c r="J315" s="2"/>
      <c r="K315" s="29" t="s">
        <v>13</v>
      </c>
      <c r="L315" s="15">
        <v>4</v>
      </c>
      <c r="M315" s="16">
        <v>1</v>
      </c>
      <c r="N315" s="15">
        <v>0</v>
      </c>
      <c r="O315" s="198">
        <v>0</v>
      </c>
      <c r="P315" s="199"/>
      <c r="Q315" s="14">
        <v>0</v>
      </c>
      <c r="R315" s="200">
        <v>1</v>
      </c>
      <c r="S315" s="201"/>
      <c r="T315" s="6"/>
      <c r="U315" s="6"/>
      <c r="V315" s="7"/>
      <c r="X315" s="1"/>
    </row>
    <row r="316" spans="2:24" ht="21" customHeight="1" x14ac:dyDescent="0.25">
      <c r="B316" s="26" t="s">
        <v>45</v>
      </c>
      <c r="C316" s="26"/>
      <c r="D316" s="26"/>
      <c r="E316" s="25"/>
      <c r="F316" s="25"/>
      <c r="G316" s="25"/>
      <c r="H316" s="25"/>
      <c r="I316" s="25"/>
      <c r="J316" s="25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X316" s="1"/>
    </row>
    <row r="317" spans="2:24" ht="13.5" customHeight="1" x14ac:dyDescent="0.25">
      <c r="B317" s="40" t="s">
        <v>24</v>
      </c>
      <c r="C317" s="40"/>
      <c r="D317" s="40"/>
      <c r="E317" s="25"/>
      <c r="F317" s="25"/>
      <c r="G317" s="25"/>
      <c r="H317" s="25"/>
      <c r="I317" s="25"/>
      <c r="J317" s="25"/>
      <c r="K317" s="28" t="s">
        <v>6</v>
      </c>
      <c r="L317" s="202" t="str">
        <f>IF(F330&lt;&gt;"",$L$5,"")</f>
        <v/>
      </c>
      <c r="M317" s="203"/>
      <c r="N317" s="204" t="s">
        <v>15</v>
      </c>
      <c r="O317" s="204"/>
      <c r="P317" s="204"/>
      <c r="Q317" s="205" t="str">
        <f>IF(F330&lt;&gt;"",$Q$5,"")</f>
        <v/>
      </c>
      <c r="R317" s="206"/>
      <c r="S317" s="207" t="s">
        <v>16</v>
      </c>
      <c r="T317" s="204"/>
      <c r="U317" s="82" t="str">
        <f>IF(F330&lt;&gt;"",$U$5,"")</f>
        <v/>
      </c>
      <c r="V317" s="63"/>
      <c r="X317" s="1"/>
    </row>
    <row r="318" spans="2:24" ht="8.25" customHeight="1" x14ac:dyDescent="0.25"/>
    <row r="319" spans="2:24" ht="11.25" customHeight="1" x14ac:dyDescent="0.25">
      <c r="B319" s="24" t="s">
        <v>17</v>
      </c>
      <c r="C319" s="24"/>
      <c r="D319" s="24"/>
    </row>
    <row r="320" spans="2:24" ht="11.25" customHeight="1" x14ac:dyDescent="0.25">
      <c r="B320" s="8" t="s">
        <v>18</v>
      </c>
      <c r="C320" s="8"/>
      <c r="D320" s="8"/>
    </row>
    <row r="321" spans="2:24" ht="5.25" customHeight="1" x14ac:dyDescent="0.25">
      <c r="B321" s="8"/>
      <c r="C321" s="8"/>
      <c r="D321" s="8"/>
    </row>
    <row r="322" spans="2:24" x14ac:dyDescent="0.25">
      <c r="B322" s="179" t="s">
        <v>19</v>
      </c>
      <c r="C322" s="179"/>
      <c r="D322" s="179"/>
      <c r="E322" s="179"/>
      <c r="F322" s="179"/>
      <c r="G322" s="18" t="s">
        <v>6</v>
      </c>
      <c r="H322" s="64" t="str">
        <f>IF(F330&lt;&gt;"",$H$10,"")</f>
        <v/>
      </c>
      <c r="I322" s="9" t="s">
        <v>15</v>
      </c>
      <c r="J322" s="83" t="str">
        <f>IF(F330&lt;&gt;"",$J$10,"")</f>
        <v/>
      </c>
      <c r="K322" s="9" t="s">
        <v>16</v>
      </c>
      <c r="L322" s="180" t="str">
        <f>IF(F330&lt;&gt;"",$L$10,"")</f>
        <v/>
      </c>
      <c r="M322" s="181"/>
      <c r="X322" s="32"/>
    </row>
    <row r="323" spans="2:24" ht="5.25" customHeight="1" x14ac:dyDescent="0.25">
      <c r="B323" s="8"/>
      <c r="C323" s="8"/>
      <c r="D323" s="8"/>
      <c r="E323" s="8"/>
      <c r="F323" s="8"/>
      <c r="G323" s="19"/>
      <c r="H323" s="20"/>
      <c r="I323" s="21"/>
      <c r="J323" s="20"/>
      <c r="K323" s="10"/>
      <c r="L323" s="22"/>
      <c r="X323" s="32"/>
    </row>
    <row r="324" spans="2:24" s="73" customFormat="1" ht="14.4" customHeight="1" x14ac:dyDescent="0.25">
      <c r="B324" s="72" t="s">
        <v>20</v>
      </c>
      <c r="C324" s="72"/>
      <c r="D324" s="72"/>
      <c r="X324" s="74"/>
    </row>
    <row r="325" spans="2:24" s="73" customFormat="1" ht="14.4" customHeight="1" x14ac:dyDescent="0.25">
      <c r="B325" s="75" t="s">
        <v>21</v>
      </c>
      <c r="C325" s="10"/>
      <c r="D325" s="10"/>
      <c r="E325" s="22" t="s">
        <v>22</v>
      </c>
      <c r="X325" s="74"/>
    </row>
    <row r="326" spans="2:24" s="73" customFormat="1" ht="14.4" customHeight="1" x14ac:dyDescent="0.25">
      <c r="B326" s="22"/>
      <c r="C326" s="22"/>
      <c r="D326" s="22"/>
      <c r="E326" s="22" t="s">
        <v>23</v>
      </c>
      <c r="X326" s="164" t="s">
        <v>102</v>
      </c>
    </row>
    <row r="327" spans="2:24" ht="7.5" customHeight="1" x14ac:dyDescent="0.25">
      <c r="B327" s="8"/>
      <c r="C327" s="8"/>
      <c r="D327" s="8"/>
      <c r="X327" s="164"/>
    </row>
    <row r="328" spans="2:24" ht="17.25" customHeight="1" x14ac:dyDescent="0.25">
      <c r="B328" s="182"/>
      <c r="C328" s="59"/>
      <c r="D328" s="60"/>
      <c r="E328" s="184" t="s">
        <v>0</v>
      </c>
      <c r="F328" s="186" t="s">
        <v>1</v>
      </c>
      <c r="G328" s="187"/>
      <c r="H328" s="4"/>
      <c r="I328" s="4"/>
      <c r="J328" s="4"/>
      <c r="K328" s="5"/>
      <c r="L328" s="145" t="s">
        <v>3</v>
      </c>
      <c r="M328" s="142"/>
      <c r="N328" s="188" t="s">
        <v>10</v>
      </c>
      <c r="O328" s="188"/>
      <c r="P328" s="188"/>
      <c r="Q328" s="188"/>
      <c r="R328" s="188"/>
      <c r="S328" s="188"/>
      <c r="T328" s="188"/>
      <c r="U328" s="189"/>
      <c r="V328" s="3" t="s">
        <v>12</v>
      </c>
      <c r="X328" s="68" t="s">
        <v>200</v>
      </c>
    </row>
    <row r="329" spans="2:24" ht="17.25" customHeight="1" x14ac:dyDescent="0.25">
      <c r="B329" s="183"/>
      <c r="C329" s="61"/>
      <c r="D329" s="62"/>
      <c r="E329" s="185"/>
      <c r="F329" s="30" t="s">
        <v>2</v>
      </c>
      <c r="G329" s="17"/>
      <c r="H329" s="6"/>
      <c r="I329" s="6"/>
      <c r="J329" s="6"/>
      <c r="K329" s="7"/>
      <c r="L329" s="190" t="s">
        <v>4</v>
      </c>
      <c r="M329" s="191"/>
      <c r="N329" s="192" t="s">
        <v>9</v>
      </c>
      <c r="O329" s="192"/>
      <c r="P329" s="192"/>
      <c r="Q329" s="192"/>
      <c r="R329" s="192"/>
      <c r="S329" s="192"/>
      <c r="T329" s="192"/>
      <c r="U329" s="191"/>
      <c r="V329" s="31" t="s">
        <v>11</v>
      </c>
      <c r="X329" s="69"/>
    </row>
    <row r="330" spans="2:24" ht="10.95" customHeight="1" x14ac:dyDescent="0.25">
      <c r="B330" s="41"/>
      <c r="C330" s="51"/>
      <c r="D330" s="42"/>
      <c r="E330" s="154">
        <v>41</v>
      </c>
      <c r="F330" s="145" t="str">
        <f>_xlfn.IFNA(VLOOKUP(E330,'Data Kyu'!$A$6:$I$471,3,0),"")</f>
        <v/>
      </c>
      <c r="G330" s="142"/>
      <c r="H330" s="66"/>
      <c r="I330" s="66"/>
      <c r="J330" s="66"/>
      <c r="K330" s="66"/>
      <c r="L330" s="145" t="str">
        <f>_xlfn.IFNA(VLOOKUP(E330,'Data Kyu'!$A$6:$I$471,9,0),"")</f>
        <v/>
      </c>
      <c r="M330" s="142"/>
      <c r="N330" s="145" t="str">
        <f>_xlfn.IFNA(VLOOKUP(E330,'Data Kyu'!$A$6:$I$471,6,0),"")</f>
        <v/>
      </c>
      <c r="O330" s="141"/>
      <c r="P330" s="139" t="s">
        <v>5</v>
      </c>
      <c r="Q330" s="141" t="str">
        <f>_xlfn.IFNA(VLOOKUP(E330,'Data Kyu'!$A$6:$I$471,7,0),"")</f>
        <v/>
      </c>
      <c r="R330" s="141"/>
      <c r="S330" s="139" t="s">
        <v>5</v>
      </c>
      <c r="T330" s="141" t="str">
        <f>_xlfn.IFNA(VLOOKUP(E330,'Data Kyu'!$A$6:$I$471,8,0),"")</f>
        <v/>
      </c>
      <c r="U330" s="142"/>
      <c r="V330" s="142" t="str">
        <f>_xlfn.IFNA(VLOOKUP(E330,'Data Kyu'!$A$6:$I$471,4,0),"")</f>
        <v/>
      </c>
      <c r="X330" s="214" t="str">
        <f>_xlfn.IFNA(VLOOKUP(F330,'Data Kyu'!$C$6:$N$997,12,0),"No Data")</f>
        <v>No Data</v>
      </c>
    </row>
    <row r="331" spans="2:24" ht="10.95" customHeight="1" x14ac:dyDescent="0.25">
      <c r="B331" s="52"/>
      <c r="C331" s="165" t="str">
        <f>IF(X330="LULUS","V","")</f>
        <v/>
      </c>
      <c r="D331" s="53"/>
      <c r="E331" s="155"/>
      <c r="F331" s="148"/>
      <c r="G331" s="144"/>
      <c r="H331" s="67"/>
      <c r="I331" s="67"/>
      <c r="J331" s="67"/>
      <c r="K331" s="67"/>
      <c r="L331" s="146"/>
      <c r="M331" s="147"/>
      <c r="N331" s="148"/>
      <c r="O331" s="143"/>
      <c r="P331" s="140"/>
      <c r="Q331" s="143"/>
      <c r="R331" s="143"/>
      <c r="S331" s="140"/>
      <c r="T331" s="143"/>
      <c r="U331" s="144"/>
      <c r="V331" s="147"/>
      <c r="X331" s="214"/>
    </row>
    <row r="332" spans="2:24" ht="10.95" customHeight="1" x14ac:dyDescent="0.25">
      <c r="B332" s="52"/>
      <c r="C332" s="166"/>
      <c r="D332" s="53"/>
      <c r="E332" s="155"/>
      <c r="F332" s="167" t="str">
        <f>_xlfn.IFNA(VLOOKUP(E330,'Data Kyu'!$A$6:$I$471,2,0),"")</f>
        <v/>
      </c>
      <c r="G332" s="168"/>
      <c r="H332" s="168"/>
      <c r="I332" s="168"/>
      <c r="J332" s="168"/>
      <c r="K332" s="169"/>
      <c r="L332" s="146"/>
      <c r="M332" s="147"/>
      <c r="N332" s="173" t="s">
        <v>6</v>
      </c>
      <c r="O332" s="159"/>
      <c r="P332" s="57"/>
      <c r="Q332" s="159" t="s">
        <v>7</v>
      </c>
      <c r="R332" s="159"/>
      <c r="S332" s="57"/>
      <c r="T332" s="159" t="s">
        <v>8</v>
      </c>
      <c r="U332" s="160"/>
      <c r="V332" s="175"/>
      <c r="X332" s="214"/>
    </row>
    <row r="333" spans="2:24" ht="10.95" customHeight="1" x14ac:dyDescent="0.25">
      <c r="B333" s="54"/>
      <c r="C333" s="76"/>
      <c r="D333" s="56"/>
      <c r="E333" s="156"/>
      <c r="F333" s="170"/>
      <c r="G333" s="171"/>
      <c r="H333" s="171"/>
      <c r="I333" s="171"/>
      <c r="J333" s="171"/>
      <c r="K333" s="172"/>
      <c r="L333" s="148"/>
      <c r="M333" s="144"/>
      <c r="N333" s="174"/>
      <c r="O333" s="161"/>
      <c r="P333" s="27"/>
      <c r="Q333" s="161"/>
      <c r="R333" s="161"/>
      <c r="S333" s="27"/>
      <c r="T333" s="161"/>
      <c r="U333" s="162"/>
      <c r="V333" s="176"/>
      <c r="X333" s="214"/>
    </row>
    <row r="334" spans="2:24" ht="10.95" customHeight="1" x14ac:dyDescent="0.25">
      <c r="B334" s="41"/>
      <c r="C334" s="77"/>
      <c r="D334" s="42"/>
      <c r="E334" s="154">
        <v>42</v>
      </c>
      <c r="F334" s="145" t="str">
        <f>_xlfn.IFNA(VLOOKUP(E334,'Data Kyu'!$A$6:$I$471,3,0),"")</f>
        <v/>
      </c>
      <c r="G334" s="142"/>
      <c r="H334" s="66"/>
      <c r="I334" s="66"/>
      <c r="J334" s="66"/>
      <c r="K334" s="66"/>
      <c r="L334" s="145" t="str">
        <f>_xlfn.IFNA(VLOOKUP(E334,'Data Kyu'!$A$6:$I$471,9,0),"")</f>
        <v/>
      </c>
      <c r="M334" s="142"/>
      <c r="N334" s="145" t="str">
        <f>_xlfn.IFNA(VLOOKUP(E334,'Data Kyu'!$A$6:$I$471,6,0),"")</f>
        <v/>
      </c>
      <c r="O334" s="141"/>
      <c r="P334" s="139" t="s">
        <v>5</v>
      </c>
      <c r="Q334" s="141" t="str">
        <f>_xlfn.IFNA(VLOOKUP(E334,'Data Kyu'!$A$6:$I$471,7,0),"")</f>
        <v/>
      </c>
      <c r="R334" s="141"/>
      <c r="S334" s="139" t="s">
        <v>5</v>
      </c>
      <c r="T334" s="141" t="str">
        <f>_xlfn.IFNA(VLOOKUP(E334,'Data Kyu'!$A$6:$I$471,8,0),"")</f>
        <v/>
      </c>
      <c r="U334" s="142"/>
      <c r="V334" s="142" t="str">
        <f>_xlfn.IFNA(VLOOKUP(E334,'Data Kyu'!$A$6:$I$471,4,0),"")</f>
        <v/>
      </c>
      <c r="X334" s="214" t="str">
        <f>_xlfn.IFNA(VLOOKUP(F334,'Data Kyu'!$C$6:$N$997,12,0),"No Data")</f>
        <v>No Data</v>
      </c>
    </row>
    <row r="335" spans="2:24" ht="10.95" customHeight="1" x14ac:dyDescent="0.25">
      <c r="B335" s="52"/>
      <c r="C335" s="165" t="str">
        <f>IF(X334="LULUS","V","")</f>
        <v/>
      </c>
      <c r="D335" s="53"/>
      <c r="E335" s="155"/>
      <c r="F335" s="148"/>
      <c r="G335" s="144"/>
      <c r="H335" s="67"/>
      <c r="I335" s="67"/>
      <c r="J335" s="67"/>
      <c r="K335" s="67"/>
      <c r="L335" s="146"/>
      <c r="M335" s="147"/>
      <c r="N335" s="148"/>
      <c r="O335" s="143"/>
      <c r="P335" s="140"/>
      <c r="Q335" s="143"/>
      <c r="R335" s="143"/>
      <c r="S335" s="140"/>
      <c r="T335" s="143"/>
      <c r="U335" s="144"/>
      <c r="V335" s="147"/>
      <c r="X335" s="214"/>
    </row>
    <row r="336" spans="2:24" ht="10.95" customHeight="1" x14ac:dyDescent="0.25">
      <c r="B336" s="52"/>
      <c r="C336" s="166"/>
      <c r="D336" s="53"/>
      <c r="E336" s="155"/>
      <c r="F336" s="167" t="str">
        <f>_xlfn.IFNA(VLOOKUP(E334,'Data Kyu'!$A$6:$I$471,2,0),"")</f>
        <v/>
      </c>
      <c r="G336" s="168"/>
      <c r="H336" s="168"/>
      <c r="I336" s="168"/>
      <c r="J336" s="168"/>
      <c r="K336" s="169"/>
      <c r="L336" s="146"/>
      <c r="M336" s="147"/>
      <c r="N336" s="173" t="s">
        <v>6</v>
      </c>
      <c r="O336" s="159"/>
      <c r="P336" s="57"/>
      <c r="Q336" s="159" t="s">
        <v>7</v>
      </c>
      <c r="R336" s="159"/>
      <c r="S336" s="57"/>
      <c r="T336" s="159" t="s">
        <v>8</v>
      </c>
      <c r="U336" s="160"/>
      <c r="V336" s="175"/>
      <c r="X336" s="214"/>
    </row>
    <row r="337" spans="2:24" ht="10.95" customHeight="1" x14ac:dyDescent="0.25">
      <c r="B337" s="54"/>
      <c r="C337" s="76"/>
      <c r="D337" s="56"/>
      <c r="E337" s="156"/>
      <c r="F337" s="170"/>
      <c r="G337" s="171"/>
      <c r="H337" s="171"/>
      <c r="I337" s="171"/>
      <c r="J337" s="171"/>
      <c r="K337" s="172"/>
      <c r="L337" s="148"/>
      <c r="M337" s="144"/>
      <c r="N337" s="174"/>
      <c r="O337" s="161"/>
      <c r="P337" s="27"/>
      <c r="Q337" s="161"/>
      <c r="R337" s="161"/>
      <c r="S337" s="27"/>
      <c r="T337" s="161"/>
      <c r="U337" s="162"/>
      <c r="V337" s="176"/>
      <c r="X337" s="214"/>
    </row>
    <row r="338" spans="2:24" ht="10.95" customHeight="1" x14ac:dyDescent="0.25">
      <c r="B338" s="41"/>
      <c r="C338" s="77"/>
      <c r="D338" s="42"/>
      <c r="E338" s="154">
        <v>43</v>
      </c>
      <c r="F338" s="145" t="str">
        <f>_xlfn.IFNA(VLOOKUP(E338,'Data Kyu'!$A$6:$I$471,3,0),"")</f>
        <v/>
      </c>
      <c r="G338" s="142"/>
      <c r="H338" s="66"/>
      <c r="I338" s="66"/>
      <c r="J338" s="66"/>
      <c r="K338" s="66"/>
      <c r="L338" s="145" t="str">
        <f>_xlfn.IFNA(VLOOKUP(E338,'Data Kyu'!$A$6:$I$471,9,0),"")</f>
        <v/>
      </c>
      <c r="M338" s="142"/>
      <c r="N338" s="145" t="str">
        <f>_xlfn.IFNA(VLOOKUP(E338,'Data Kyu'!$A$6:$I$471,6,0),"")</f>
        <v/>
      </c>
      <c r="O338" s="141"/>
      <c r="P338" s="139" t="s">
        <v>5</v>
      </c>
      <c r="Q338" s="141" t="str">
        <f>_xlfn.IFNA(VLOOKUP(E338,'Data Kyu'!$A$6:$I$471,7,0),"")</f>
        <v/>
      </c>
      <c r="R338" s="141"/>
      <c r="S338" s="139" t="s">
        <v>5</v>
      </c>
      <c r="T338" s="141" t="str">
        <f>_xlfn.IFNA(VLOOKUP(E338,'Data Kyu'!$A$6:$I$471,8,0),"")</f>
        <v/>
      </c>
      <c r="U338" s="142"/>
      <c r="V338" s="142" t="str">
        <f>_xlfn.IFNA(VLOOKUP(E338,'Data Kyu'!$A$6:$I$471,4,0),"")</f>
        <v/>
      </c>
      <c r="X338" s="214" t="str">
        <f>_xlfn.IFNA(VLOOKUP(F338,'Data Kyu'!$C$6:$N$997,12,0),"No Data")</f>
        <v>No Data</v>
      </c>
    </row>
    <row r="339" spans="2:24" ht="10.95" customHeight="1" x14ac:dyDescent="0.25">
      <c r="B339" s="52"/>
      <c r="C339" s="165" t="str">
        <f>IF(X338="LULUS","V","")</f>
        <v/>
      </c>
      <c r="D339" s="53"/>
      <c r="E339" s="155"/>
      <c r="F339" s="148"/>
      <c r="G339" s="144"/>
      <c r="H339" s="67"/>
      <c r="I339" s="67"/>
      <c r="J339" s="67"/>
      <c r="K339" s="67"/>
      <c r="L339" s="146"/>
      <c r="M339" s="147"/>
      <c r="N339" s="148"/>
      <c r="O339" s="143"/>
      <c r="P339" s="140"/>
      <c r="Q339" s="143"/>
      <c r="R339" s="143"/>
      <c r="S339" s="140"/>
      <c r="T339" s="143"/>
      <c r="U339" s="144"/>
      <c r="V339" s="147"/>
      <c r="X339" s="214"/>
    </row>
    <row r="340" spans="2:24" ht="10.95" customHeight="1" x14ac:dyDescent="0.25">
      <c r="B340" s="52"/>
      <c r="C340" s="166"/>
      <c r="D340" s="53"/>
      <c r="E340" s="155"/>
      <c r="F340" s="167" t="str">
        <f>_xlfn.IFNA(VLOOKUP(E338,'Data Kyu'!$A$6:$I$471,2,0),"")</f>
        <v/>
      </c>
      <c r="G340" s="168"/>
      <c r="H340" s="168"/>
      <c r="I340" s="168"/>
      <c r="J340" s="168"/>
      <c r="K340" s="169"/>
      <c r="L340" s="146"/>
      <c r="M340" s="147"/>
      <c r="N340" s="173" t="s">
        <v>6</v>
      </c>
      <c r="O340" s="159"/>
      <c r="P340" s="57"/>
      <c r="Q340" s="159" t="s">
        <v>7</v>
      </c>
      <c r="R340" s="159"/>
      <c r="S340" s="57"/>
      <c r="T340" s="159" t="s">
        <v>8</v>
      </c>
      <c r="U340" s="160"/>
      <c r="V340" s="175"/>
      <c r="X340" s="214"/>
    </row>
    <row r="341" spans="2:24" ht="10.95" customHeight="1" x14ac:dyDescent="0.25">
      <c r="B341" s="54"/>
      <c r="C341" s="76"/>
      <c r="D341" s="56"/>
      <c r="E341" s="156"/>
      <c r="F341" s="170"/>
      <c r="G341" s="171"/>
      <c r="H341" s="171"/>
      <c r="I341" s="171"/>
      <c r="J341" s="171"/>
      <c r="K341" s="172"/>
      <c r="L341" s="148"/>
      <c r="M341" s="144"/>
      <c r="N341" s="174"/>
      <c r="O341" s="161"/>
      <c r="P341" s="27"/>
      <c r="Q341" s="161"/>
      <c r="R341" s="161"/>
      <c r="S341" s="27"/>
      <c r="T341" s="161"/>
      <c r="U341" s="162"/>
      <c r="V341" s="176"/>
      <c r="X341" s="214"/>
    </row>
    <row r="342" spans="2:24" ht="10.95" customHeight="1" x14ac:dyDescent="0.25">
      <c r="B342" s="41"/>
      <c r="C342" s="77"/>
      <c r="D342" s="42"/>
      <c r="E342" s="154">
        <v>44</v>
      </c>
      <c r="F342" s="145" t="str">
        <f>_xlfn.IFNA(VLOOKUP(E342,'Data Kyu'!$A$6:$I$471,3,0),"")</f>
        <v/>
      </c>
      <c r="G342" s="142"/>
      <c r="H342" s="66"/>
      <c r="I342" s="66"/>
      <c r="J342" s="66"/>
      <c r="K342" s="66"/>
      <c r="L342" s="145" t="str">
        <f>_xlfn.IFNA(VLOOKUP(E342,'Data Kyu'!$A$6:$I$471,9,0),"")</f>
        <v/>
      </c>
      <c r="M342" s="142"/>
      <c r="N342" s="145" t="str">
        <f>_xlfn.IFNA(VLOOKUP(E342,'Data Kyu'!$A$6:$I$471,6,0),"")</f>
        <v/>
      </c>
      <c r="O342" s="141"/>
      <c r="P342" s="139" t="s">
        <v>5</v>
      </c>
      <c r="Q342" s="141" t="str">
        <f>_xlfn.IFNA(VLOOKUP(E342,'Data Kyu'!$A$6:$I$471,7,0),"")</f>
        <v/>
      </c>
      <c r="R342" s="141"/>
      <c r="S342" s="139" t="s">
        <v>5</v>
      </c>
      <c r="T342" s="141" t="str">
        <f>_xlfn.IFNA(VLOOKUP(E342,'Data Kyu'!$A$6:$I$471,8,0),"")</f>
        <v/>
      </c>
      <c r="U342" s="142"/>
      <c r="V342" s="142" t="str">
        <f>_xlfn.IFNA(VLOOKUP(E342,'Data Kyu'!$A$6:$I$471,4,0),"")</f>
        <v/>
      </c>
      <c r="X342" s="214" t="str">
        <f>_xlfn.IFNA(VLOOKUP(F342,'Data Kyu'!$C$6:$N$997,12,0),"No Data")</f>
        <v>No Data</v>
      </c>
    </row>
    <row r="343" spans="2:24" ht="10.95" customHeight="1" x14ac:dyDescent="0.25">
      <c r="B343" s="52"/>
      <c r="C343" s="165" t="str">
        <f>IF(X342="LULUS","V","")</f>
        <v/>
      </c>
      <c r="D343" s="53"/>
      <c r="E343" s="155"/>
      <c r="F343" s="148"/>
      <c r="G343" s="144"/>
      <c r="H343" s="67"/>
      <c r="I343" s="67"/>
      <c r="J343" s="67"/>
      <c r="K343" s="67"/>
      <c r="L343" s="146"/>
      <c r="M343" s="147"/>
      <c r="N343" s="148"/>
      <c r="O343" s="143"/>
      <c r="P343" s="140"/>
      <c r="Q343" s="143"/>
      <c r="R343" s="143"/>
      <c r="S343" s="140"/>
      <c r="T343" s="143"/>
      <c r="U343" s="144"/>
      <c r="V343" s="147"/>
      <c r="X343" s="214"/>
    </row>
    <row r="344" spans="2:24" ht="10.95" customHeight="1" x14ac:dyDescent="0.25">
      <c r="B344" s="52"/>
      <c r="C344" s="166"/>
      <c r="D344" s="53"/>
      <c r="E344" s="155"/>
      <c r="F344" s="167" t="str">
        <f>_xlfn.IFNA(VLOOKUP(E342,'Data Kyu'!$A$6:$I$471,2,0),"")</f>
        <v/>
      </c>
      <c r="G344" s="168"/>
      <c r="H344" s="168"/>
      <c r="I344" s="168"/>
      <c r="J344" s="168"/>
      <c r="K344" s="169"/>
      <c r="L344" s="146"/>
      <c r="M344" s="147"/>
      <c r="N344" s="173" t="s">
        <v>6</v>
      </c>
      <c r="O344" s="159"/>
      <c r="P344" s="57"/>
      <c r="Q344" s="159" t="s">
        <v>7</v>
      </c>
      <c r="R344" s="159"/>
      <c r="S344" s="57"/>
      <c r="T344" s="159" t="s">
        <v>8</v>
      </c>
      <c r="U344" s="160"/>
      <c r="V344" s="175"/>
      <c r="X344" s="214"/>
    </row>
    <row r="345" spans="2:24" ht="10.95" customHeight="1" x14ac:dyDescent="0.25">
      <c r="B345" s="54"/>
      <c r="C345" s="76"/>
      <c r="D345" s="56"/>
      <c r="E345" s="156"/>
      <c r="F345" s="170"/>
      <c r="G345" s="171"/>
      <c r="H345" s="171"/>
      <c r="I345" s="171"/>
      <c r="J345" s="171"/>
      <c r="K345" s="172"/>
      <c r="L345" s="148"/>
      <c r="M345" s="144"/>
      <c r="N345" s="174"/>
      <c r="O345" s="161"/>
      <c r="P345" s="27"/>
      <c r="Q345" s="161"/>
      <c r="R345" s="161"/>
      <c r="S345" s="27"/>
      <c r="T345" s="161"/>
      <c r="U345" s="162"/>
      <c r="V345" s="176"/>
      <c r="X345" s="214"/>
    </row>
    <row r="346" spans="2:24" ht="10.95" customHeight="1" x14ac:dyDescent="0.25">
      <c r="B346" s="41"/>
      <c r="C346" s="77"/>
      <c r="D346" s="42"/>
      <c r="E346" s="154">
        <v>45</v>
      </c>
      <c r="F346" s="145" t="str">
        <f>_xlfn.IFNA(VLOOKUP(E346,'Data Kyu'!$A$6:$I$471,3,0),"")</f>
        <v/>
      </c>
      <c r="G346" s="142"/>
      <c r="H346" s="66"/>
      <c r="I346" s="66"/>
      <c r="J346" s="66"/>
      <c r="K346" s="66"/>
      <c r="L346" s="145" t="str">
        <f>_xlfn.IFNA(VLOOKUP(E346,'Data Kyu'!$A$6:$I$471,9,0),"")</f>
        <v/>
      </c>
      <c r="M346" s="142"/>
      <c r="N346" s="145" t="str">
        <f>_xlfn.IFNA(VLOOKUP(E346,'Data Kyu'!$A$6:$I$471,6,0),"")</f>
        <v/>
      </c>
      <c r="O346" s="141"/>
      <c r="P346" s="139" t="s">
        <v>5</v>
      </c>
      <c r="Q346" s="141" t="str">
        <f>_xlfn.IFNA(VLOOKUP(E346,'Data Kyu'!$A$6:$I$471,7,0),"")</f>
        <v/>
      </c>
      <c r="R346" s="141"/>
      <c r="S346" s="139" t="s">
        <v>5</v>
      </c>
      <c r="T346" s="141" t="str">
        <f>_xlfn.IFNA(VLOOKUP(E346,'Data Kyu'!$A$6:$I$471,8,0),"")</f>
        <v/>
      </c>
      <c r="U346" s="142"/>
      <c r="V346" s="142" t="str">
        <f>_xlfn.IFNA(VLOOKUP(E346,'Data Kyu'!$A$6:$I$471,4,0),"")</f>
        <v/>
      </c>
      <c r="X346" s="214" t="str">
        <f>_xlfn.IFNA(VLOOKUP(F346,'Data Kyu'!$C$6:$N$997,12,0),"No Data")</f>
        <v>No Data</v>
      </c>
    </row>
    <row r="347" spans="2:24" ht="10.95" customHeight="1" x14ac:dyDescent="0.25">
      <c r="B347" s="52"/>
      <c r="C347" s="165" t="str">
        <f>IF(X346="LULUS","V","")</f>
        <v/>
      </c>
      <c r="D347" s="53"/>
      <c r="E347" s="155"/>
      <c r="F347" s="148"/>
      <c r="G347" s="144"/>
      <c r="H347" s="67"/>
      <c r="I347" s="67"/>
      <c r="J347" s="67"/>
      <c r="K347" s="67"/>
      <c r="L347" s="146"/>
      <c r="M347" s="147"/>
      <c r="N347" s="148"/>
      <c r="O347" s="143"/>
      <c r="P347" s="140"/>
      <c r="Q347" s="143"/>
      <c r="R347" s="143"/>
      <c r="S347" s="140"/>
      <c r="T347" s="143"/>
      <c r="U347" s="144"/>
      <c r="V347" s="147"/>
      <c r="X347" s="214"/>
    </row>
    <row r="348" spans="2:24" ht="10.95" customHeight="1" x14ac:dyDescent="0.25">
      <c r="B348" s="52"/>
      <c r="C348" s="166"/>
      <c r="D348" s="53"/>
      <c r="E348" s="155"/>
      <c r="F348" s="167" t="str">
        <f>_xlfn.IFNA(VLOOKUP(E346,'Data Kyu'!$A$6:$I$471,2,0),"")</f>
        <v/>
      </c>
      <c r="G348" s="168"/>
      <c r="H348" s="168"/>
      <c r="I348" s="168"/>
      <c r="J348" s="168"/>
      <c r="K348" s="169"/>
      <c r="L348" s="146"/>
      <c r="M348" s="147"/>
      <c r="N348" s="173" t="s">
        <v>6</v>
      </c>
      <c r="O348" s="159"/>
      <c r="P348" s="57"/>
      <c r="Q348" s="159" t="s">
        <v>7</v>
      </c>
      <c r="R348" s="159"/>
      <c r="S348" s="57"/>
      <c r="T348" s="159" t="s">
        <v>8</v>
      </c>
      <c r="U348" s="160"/>
      <c r="V348" s="175"/>
      <c r="X348" s="214"/>
    </row>
    <row r="349" spans="2:24" ht="10.95" customHeight="1" x14ac:dyDescent="0.25">
      <c r="B349" s="54"/>
      <c r="C349" s="76"/>
      <c r="D349" s="56"/>
      <c r="E349" s="156"/>
      <c r="F349" s="170"/>
      <c r="G349" s="171"/>
      <c r="H349" s="171"/>
      <c r="I349" s="171"/>
      <c r="J349" s="171"/>
      <c r="K349" s="172"/>
      <c r="L349" s="148"/>
      <c r="M349" s="144"/>
      <c r="N349" s="174"/>
      <c r="O349" s="161"/>
      <c r="P349" s="27"/>
      <c r="Q349" s="161"/>
      <c r="R349" s="161"/>
      <c r="S349" s="27"/>
      <c r="T349" s="161"/>
      <c r="U349" s="162"/>
      <c r="V349" s="176"/>
      <c r="X349" s="214"/>
    </row>
    <row r="350" spans="2:24" ht="10.95" customHeight="1" x14ac:dyDescent="0.25">
      <c r="B350" s="41"/>
      <c r="C350" s="77"/>
      <c r="D350" s="42"/>
      <c r="E350" s="154">
        <v>46</v>
      </c>
      <c r="F350" s="145" t="str">
        <f>_xlfn.IFNA(VLOOKUP(E350,'Data Kyu'!$A$6:$I$471,3,0),"")</f>
        <v/>
      </c>
      <c r="G350" s="142"/>
      <c r="H350" s="66"/>
      <c r="I350" s="66"/>
      <c r="J350" s="66"/>
      <c r="K350" s="66"/>
      <c r="L350" s="145" t="str">
        <f>_xlfn.IFNA(VLOOKUP(E350,'Data Kyu'!$A$6:$I$471,9,0),"")</f>
        <v/>
      </c>
      <c r="M350" s="142"/>
      <c r="N350" s="145" t="str">
        <f>_xlfn.IFNA(VLOOKUP(E350,'Data Kyu'!$A$6:$I$471,6,0),"")</f>
        <v/>
      </c>
      <c r="O350" s="141"/>
      <c r="P350" s="139" t="s">
        <v>5</v>
      </c>
      <c r="Q350" s="141" t="str">
        <f>_xlfn.IFNA(VLOOKUP(E350,'Data Kyu'!$A$6:$I$471,7,0),"")</f>
        <v/>
      </c>
      <c r="R350" s="141"/>
      <c r="S350" s="139" t="s">
        <v>5</v>
      </c>
      <c r="T350" s="141" t="str">
        <f>_xlfn.IFNA(VLOOKUP(E350,'Data Kyu'!$A$6:$I$471,8,0),"")</f>
        <v/>
      </c>
      <c r="U350" s="142"/>
      <c r="V350" s="142" t="str">
        <f>_xlfn.IFNA(VLOOKUP(E350,'Data Kyu'!$A$6:$I$471,4,0),"")</f>
        <v/>
      </c>
      <c r="X350" s="214" t="str">
        <f>_xlfn.IFNA(VLOOKUP(F350,'Data Kyu'!$C$6:$N$997,12,0),"No Data")</f>
        <v>No Data</v>
      </c>
    </row>
    <row r="351" spans="2:24" ht="10.95" customHeight="1" x14ac:dyDescent="0.25">
      <c r="B351" s="52"/>
      <c r="C351" s="165" t="str">
        <f>IF(X350="LULUS","V","")</f>
        <v/>
      </c>
      <c r="D351" s="53"/>
      <c r="E351" s="155"/>
      <c r="F351" s="148"/>
      <c r="G351" s="144"/>
      <c r="H351" s="67"/>
      <c r="I351" s="67"/>
      <c r="J351" s="67"/>
      <c r="K351" s="67"/>
      <c r="L351" s="146"/>
      <c r="M351" s="147"/>
      <c r="N351" s="148"/>
      <c r="O351" s="143"/>
      <c r="P351" s="140"/>
      <c r="Q351" s="143"/>
      <c r="R351" s="143"/>
      <c r="S351" s="140"/>
      <c r="T351" s="143"/>
      <c r="U351" s="144"/>
      <c r="V351" s="147"/>
      <c r="X351" s="214"/>
    </row>
    <row r="352" spans="2:24" ht="10.95" customHeight="1" x14ac:dyDescent="0.25">
      <c r="B352" s="52"/>
      <c r="C352" s="166"/>
      <c r="D352" s="53"/>
      <c r="E352" s="155"/>
      <c r="F352" s="167" t="str">
        <f>_xlfn.IFNA(VLOOKUP(E350,'Data Kyu'!$A$6:$I$471,2,0),"")</f>
        <v/>
      </c>
      <c r="G352" s="168"/>
      <c r="H352" s="168"/>
      <c r="I352" s="168"/>
      <c r="J352" s="168"/>
      <c r="K352" s="169"/>
      <c r="L352" s="146"/>
      <c r="M352" s="147"/>
      <c r="N352" s="173" t="s">
        <v>6</v>
      </c>
      <c r="O352" s="159"/>
      <c r="P352" s="57"/>
      <c r="Q352" s="159" t="s">
        <v>7</v>
      </c>
      <c r="R352" s="159"/>
      <c r="S352" s="57"/>
      <c r="T352" s="159" t="s">
        <v>8</v>
      </c>
      <c r="U352" s="160"/>
      <c r="V352" s="175"/>
      <c r="X352" s="214"/>
    </row>
    <row r="353" spans="2:24" ht="10.95" customHeight="1" x14ac:dyDescent="0.25">
      <c r="B353" s="54"/>
      <c r="C353" s="76"/>
      <c r="D353" s="56"/>
      <c r="E353" s="156"/>
      <c r="F353" s="170"/>
      <c r="G353" s="171"/>
      <c r="H353" s="171"/>
      <c r="I353" s="171"/>
      <c r="J353" s="171"/>
      <c r="K353" s="172"/>
      <c r="L353" s="148"/>
      <c r="M353" s="144"/>
      <c r="N353" s="174"/>
      <c r="O353" s="161"/>
      <c r="P353" s="27"/>
      <c r="Q353" s="161"/>
      <c r="R353" s="161"/>
      <c r="S353" s="27"/>
      <c r="T353" s="161"/>
      <c r="U353" s="162"/>
      <c r="V353" s="176"/>
      <c r="X353" s="214"/>
    </row>
    <row r="354" spans="2:24" ht="10.95" customHeight="1" x14ac:dyDescent="0.25">
      <c r="B354" s="41"/>
      <c r="C354" s="77"/>
      <c r="D354" s="42"/>
      <c r="E354" s="154">
        <v>47</v>
      </c>
      <c r="F354" s="145" t="str">
        <f>_xlfn.IFNA(VLOOKUP(E354,'Data Kyu'!$A$6:$I$471,3,0),"")</f>
        <v/>
      </c>
      <c r="G354" s="142"/>
      <c r="H354" s="66"/>
      <c r="I354" s="66"/>
      <c r="J354" s="66"/>
      <c r="K354" s="66"/>
      <c r="L354" s="145" t="str">
        <f>_xlfn.IFNA(VLOOKUP(E354,'Data Kyu'!$A$6:$I$471,9,0),"")</f>
        <v/>
      </c>
      <c r="M354" s="142"/>
      <c r="N354" s="145" t="str">
        <f>_xlfn.IFNA(VLOOKUP(E354,'Data Kyu'!$A$6:$I$471,6,0),"")</f>
        <v/>
      </c>
      <c r="O354" s="141"/>
      <c r="P354" s="139" t="s">
        <v>5</v>
      </c>
      <c r="Q354" s="141" t="str">
        <f>_xlfn.IFNA(VLOOKUP(E354,'Data Kyu'!$A$6:$I$471,7,0),"")</f>
        <v/>
      </c>
      <c r="R354" s="141"/>
      <c r="S354" s="139" t="s">
        <v>5</v>
      </c>
      <c r="T354" s="141" t="str">
        <f>_xlfn.IFNA(VLOOKUP(E354,'Data Kyu'!$A$6:$I$471,8,0),"")</f>
        <v/>
      </c>
      <c r="U354" s="142"/>
      <c r="V354" s="142" t="str">
        <f>_xlfn.IFNA(VLOOKUP(E354,'Data Kyu'!$A$6:$I$471,4,0),"")</f>
        <v/>
      </c>
      <c r="X354" s="214" t="str">
        <f>_xlfn.IFNA(VLOOKUP(F354,'Data Kyu'!$C$6:$N$997,12,0),"No Data")</f>
        <v>No Data</v>
      </c>
    </row>
    <row r="355" spans="2:24" ht="10.95" customHeight="1" x14ac:dyDescent="0.25">
      <c r="B355" s="52"/>
      <c r="C355" s="165" t="str">
        <f>IF(X354="LULUS","V","")</f>
        <v/>
      </c>
      <c r="D355" s="53"/>
      <c r="E355" s="155"/>
      <c r="F355" s="148"/>
      <c r="G355" s="144"/>
      <c r="H355" s="67"/>
      <c r="I355" s="67"/>
      <c r="J355" s="67"/>
      <c r="K355" s="67"/>
      <c r="L355" s="146"/>
      <c r="M355" s="147"/>
      <c r="N355" s="148"/>
      <c r="O355" s="143"/>
      <c r="P355" s="140"/>
      <c r="Q355" s="143"/>
      <c r="R355" s="143"/>
      <c r="S355" s="140"/>
      <c r="T355" s="143"/>
      <c r="U355" s="144"/>
      <c r="V355" s="147"/>
      <c r="X355" s="214"/>
    </row>
    <row r="356" spans="2:24" ht="10.95" customHeight="1" x14ac:dyDescent="0.25">
      <c r="B356" s="52"/>
      <c r="C356" s="166"/>
      <c r="D356" s="53"/>
      <c r="E356" s="155"/>
      <c r="F356" s="167" t="str">
        <f>_xlfn.IFNA(VLOOKUP(E354,'Data Kyu'!$A$6:$I$471,2,0),"")</f>
        <v/>
      </c>
      <c r="G356" s="168"/>
      <c r="H356" s="168"/>
      <c r="I356" s="168"/>
      <c r="J356" s="168"/>
      <c r="K356" s="169"/>
      <c r="L356" s="146"/>
      <c r="M356" s="147"/>
      <c r="N356" s="173" t="s">
        <v>6</v>
      </c>
      <c r="O356" s="159"/>
      <c r="P356" s="57"/>
      <c r="Q356" s="159" t="s">
        <v>7</v>
      </c>
      <c r="R356" s="159"/>
      <c r="S356" s="57"/>
      <c r="T356" s="159" t="s">
        <v>8</v>
      </c>
      <c r="U356" s="160"/>
      <c r="V356" s="175"/>
      <c r="X356" s="214"/>
    </row>
    <row r="357" spans="2:24" ht="10.95" customHeight="1" x14ac:dyDescent="0.25">
      <c r="B357" s="54"/>
      <c r="C357" s="76"/>
      <c r="D357" s="56"/>
      <c r="E357" s="156"/>
      <c r="F357" s="170"/>
      <c r="G357" s="171"/>
      <c r="H357" s="171"/>
      <c r="I357" s="171"/>
      <c r="J357" s="171"/>
      <c r="K357" s="172"/>
      <c r="L357" s="148"/>
      <c r="M357" s="144"/>
      <c r="N357" s="174"/>
      <c r="O357" s="161"/>
      <c r="P357" s="27"/>
      <c r="Q357" s="161"/>
      <c r="R357" s="161"/>
      <c r="S357" s="27"/>
      <c r="T357" s="161"/>
      <c r="U357" s="162"/>
      <c r="V357" s="176"/>
      <c r="X357" s="214"/>
    </row>
    <row r="358" spans="2:24" ht="10.95" customHeight="1" x14ac:dyDescent="0.25">
      <c r="B358" s="41"/>
      <c r="C358" s="77"/>
      <c r="D358" s="42"/>
      <c r="E358" s="154">
        <v>48</v>
      </c>
      <c r="F358" s="145" t="str">
        <f>_xlfn.IFNA(VLOOKUP(E358,'Data Kyu'!$A$6:$I$471,3,0),"")</f>
        <v/>
      </c>
      <c r="G358" s="142"/>
      <c r="H358" s="66"/>
      <c r="I358" s="66"/>
      <c r="J358" s="66"/>
      <c r="K358" s="66"/>
      <c r="L358" s="145" t="str">
        <f>_xlfn.IFNA(VLOOKUP(E358,'Data Kyu'!$A$6:$I$471,9,0),"")</f>
        <v/>
      </c>
      <c r="M358" s="142"/>
      <c r="N358" s="145" t="str">
        <f>_xlfn.IFNA(VLOOKUP(E358,'Data Kyu'!$A$6:$I$471,6,0),"")</f>
        <v/>
      </c>
      <c r="O358" s="141"/>
      <c r="P358" s="139" t="s">
        <v>5</v>
      </c>
      <c r="Q358" s="141" t="str">
        <f>_xlfn.IFNA(VLOOKUP(E358,'Data Kyu'!$A$6:$I$471,7,0),"")</f>
        <v/>
      </c>
      <c r="R358" s="141"/>
      <c r="S358" s="139" t="s">
        <v>5</v>
      </c>
      <c r="T358" s="141" t="str">
        <f>_xlfn.IFNA(VLOOKUP(E358,'Data Kyu'!$A$6:$I$471,8,0),"")</f>
        <v/>
      </c>
      <c r="U358" s="142"/>
      <c r="V358" s="142" t="str">
        <f>_xlfn.IFNA(VLOOKUP(E358,'Data Kyu'!$A$6:$I$471,4,0),"")</f>
        <v/>
      </c>
      <c r="X358" s="214" t="str">
        <f>_xlfn.IFNA(VLOOKUP(F358,'Data Kyu'!$C$6:$N$997,12,0),"No Data")</f>
        <v>No Data</v>
      </c>
    </row>
    <row r="359" spans="2:24" ht="10.95" customHeight="1" x14ac:dyDescent="0.25">
      <c r="B359" s="52"/>
      <c r="C359" s="165" t="str">
        <f>IF(X358="LULUS","V","")</f>
        <v/>
      </c>
      <c r="D359" s="53"/>
      <c r="E359" s="155"/>
      <c r="F359" s="148"/>
      <c r="G359" s="144"/>
      <c r="H359" s="67"/>
      <c r="I359" s="67"/>
      <c r="J359" s="67"/>
      <c r="K359" s="67"/>
      <c r="L359" s="146"/>
      <c r="M359" s="147"/>
      <c r="N359" s="148"/>
      <c r="O359" s="143"/>
      <c r="P359" s="140"/>
      <c r="Q359" s="143"/>
      <c r="R359" s="143"/>
      <c r="S359" s="140"/>
      <c r="T359" s="143"/>
      <c r="U359" s="144"/>
      <c r="V359" s="147"/>
      <c r="X359" s="214"/>
    </row>
    <row r="360" spans="2:24" ht="10.95" customHeight="1" x14ac:dyDescent="0.25">
      <c r="B360" s="52"/>
      <c r="C360" s="166"/>
      <c r="D360" s="53"/>
      <c r="E360" s="155"/>
      <c r="F360" s="167" t="str">
        <f>_xlfn.IFNA(VLOOKUP(E358,'Data Kyu'!$A$6:$I$471,2,0),"")</f>
        <v/>
      </c>
      <c r="G360" s="168"/>
      <c r="H360" s="168"/>
      <c r="I360" s="168"/>
      <c r="J360" s="168"/>
      <c r="K360" s="169"/>
      <c r="L360" s="146"/>
      <c r="M360" s="147"/>
      <c r="N360" s="173" t="s">
        <v>6</v>
      </c>
      <c r="O360" s="159"/>
      <c r="P360" s="57"/>
      <c r="Q360" s="159" t="s">
        <v>7</v>
      </c>
      <c r="R360" s="159"/>
      <c r="S360" s="57"/>
      <c r="T360" s="159" t="s">
        <v>8</v>
      </c>
      <c r="U360" s="160"/>
      <c r="V360" s="175"/>
      <c r="X360" s="214"/>
    </row>
    <row r="361" spans="2:24" ht="10.95" customHeight="1" x14ac:dyDescent="0.25">
      <c r="B361" s="54"/>
      <c r="C361" s="76"/>
      <c r="D361" s="56"/>
      <c r="E361" s="156"/>
      <c r="F361" s="170"/>
      <c r="G361" s="171"/>
      <c r="H361" s="171"/>
      <c r="I361" s="171"/>
      <c r="J361" s="171"/>
      <c r="K361" s="172"/>
      <c r="L361" s="148"/>
      <c r="M361" s="144"/>
      <c r="N361" s="174"/>
      <c r="O361" s="161"/>
      <c r="P361" s="27"/>
      <c r="Q361" s="161"/>
      <c r="R361" s="161"/>
      <c r="S361" s="27"/>
      <c r="T361" s="161"/>
      <c r="U361" s="162"/>
      <c r="V361" s="176"/>
      <c r="X361" s="214"/>
    </row>
    <row r="362" spans="2:24" ht="10.95" customHeight="1" x14ac:dyDescent="0.25">
      <c r="B362" s="41"/>
      <c r="C362" s="77"/>
      <c r="D362" s="42"/>
      <c r="E362" s="154">
        <v>49</v>
      </c>
      <c r="F362" s="145" t="str">
        <f>_xlfn.IFNA(VLOOKUP(E362,'Data Kyu'!$A$6:$I$471,3,0),"")</f>
        <v/>
      </c>
      <c r="G362" s="142"/>
      <c r="H362" s="66"/>
      <c r="I362" s="66"/>
      <c r="J362" s="66"/>
      <c r="K362" s="66"/>
      <c r="L362" s="145" t="str">
        <f>_xlfn.IFNA(VLOOKUP(E362,'Data Kyu'!$A$6:$I$471,9,0),"")</f>
        <v/>
      </c>
      <c r="M362" s="142"/>
      <c r="N362" s="145" t="str">
        <f>_xlfn.IFNA(VLOOKUP(E362,'Data Kyu'!$A$6:$I$471,6,0),"")</f>
        <v/>
      </c>
      <c r="O362" s="141"/>
      <c r="P362" s="139" t="s">
        <v>5</v>
      </c>
      <c r="Q362" s="141" t="str">
        <f>_xlfn.IFNA(VLOOKUP(E362,'Data Kyu'!$A$6:$I$471,7,0),"")</f>
        <v/>
      </c>
      <c r="R362" s="141"/>
      <c r="S362" s="139" t="s">
        <v>5</v>
      </c>
      <c r="T362" s="141" t="str">
        <f>_xlfn.IFNA(VLOOKUP(E362,'Data Kyu'!$A$6:$I$471,8,0),"")</f>
        <v/>
      </c>
      <c r="U362" s="142"/>
      <c r="V362" s="142" t="str">
        <f>_xlfn.IFNA(VLOOKUP(E362,'Data Kyu'!$A$6:$I$471,4,0),"")</f>
        <v/>
      </c>
      <c r="X362" s="214" t="str">
        <f>_xlfn.IFNA(VLOOKUP(F362,'Data Kyu'!$C$6:$N$997,12,0),"No Data")</f>
        <v>No Data</v>
      </c>
    </row>
    <row r="363" spans="2:24" ht="10.95" customHeight="1" x14ac:dyDescent="0.25">
      <c r="B363" s="52"/>
      <c r="C363" s="165" t="str">
        <f>IF(X362="LULUS","V","")</f>
        <v/>
      </c>
      <c r="D363" s="53"/>
      <c r="E363" s="155"/>
      <c r="F363" s="148"/>
      <c r="G363" s="144"/>
      <c r="H363" s="67"/>
      <c r="I363" s="67"/>
      <c r="J363" s="67"/>
      <c r="K363" s="67"/>
      <c r="L363" s="146"/>
      <c r="M363" s="147"/>
      <c r="N363" s="148"/>
      <c r="O363" s="143"/>
      <c r="P363" s="140"/>
      <c r="Q363" s="143"/>
      <c r="R363" s="143"/>
      <c r="S363" s="140"/>
      <c r="T363" s="143"/>
      <c r="U363" s="144"/>
      <c r="V363" s="147"/>
      <c r="X363" s="214"/>
    </row>
    <row r="364" spans="2:24" ht="10.95" customHeight="1" x14ac:dyDescent="0.25">
      <c r="B364" s="52"/>
      <c r="C364" s="166"/>
      <c r="D364" s="53"/>
      <c r="E364" s="155"/>
      <c r="F364" s="167" t="str">
        <f>_xlfn.IFNA(VLOOKUP(E362,'Data Kyu'!$A$6:$I$471,2,0),"")</f>
        <v/>
      </c>
      <c r="G364" s="168"/>
      <c r="H364" s="168"/>
      <c r="I364" s="168"/>
      <c r="J364" s="168"/>
      <c r="K364" s="169"/>
      <c r="L364" s="146"/>
      <c r="M364" s="147"/>
      <c r="N364" s="173" t="s">
        <v>6</v>
      </c>
      <c r="O364" s="159"/>
      <c r="P364" s="57"/>
      <c r="Q364" s="159" t="s">
        <v>7</v>
      </c>
      <c r="R364" s="159"/>
      <c r="S364" s="57"/>
      <c r="T364" s="159" t="s">
        <v>8</v>
      </c>
      <c r="U364" s="160"/>
      <c r="V364" s="175"/>
      <c r="X364" s="214"/>
    </row>
    <row r="365" spans="2:24" ht="10.95" customHeight="1" x14ac:dyDescent="0.25">
      <c r="B365" s="54"/>
      <c r="C365" s="76"/>
      <c r="D365" s="56"/>
      <c r="E365" s="156"/>
      <c r="F365" s="170"/>
      <c r="G365" s="171"/>
      <c r="H365" s="171"/>
      <c r="I365" s="171"/>
      <c r="J365" s="171"/>
      <c r="K365" s="172"/>
      <c r="L365" s="148"/>
      <c r="M365" s="144"/>
      <c r="N365" s="174"/>
      <c r="O365" s="161"/>
      <c r="P365" s="27"/>
      <c r="Q365" s="161"/>
      <c r="R365" s="161"/>
      <c r="S365" s="27"/>
      <c r="T365" s="161"/>
      <c r="U365" s="162"/>
      <c r="V365" s="176"/>
      <c r="X365" s="214"/>
    </row>
    <row r="366" spans="2:24" ht="10.95" customHeight="1" x14ac:dyDescent="0.25">
      <c r="B366" s="41"/>
      <c r="C366" s="77"/>
      <c r="D366" s="42"/>
      <c r="E366" s="154">
        <v>50</v>
      </c>
      <c r="F366" s="145" t="str">
        <f>_xlfn.IFNA(VLOOKUP(E366,'Data Kyu'!$A$6:$I$471,3,0),"")</f>
        <v/>
      </c>
      <c r="G366" s="142"/>
      <c r="H366" s="66"/>
      <c r="I366" s="66"/>
      <c r="J366" s="66"/>
      <c r="K366" s="66"/>
      <c r="L366" s="145" t="str">
        <f>_xlfn.IFNA(VLOOKUP(E366,'Data Kyu'!$A$6:$I$471,9,0),"")</f>
        <v/>
      </c>
      <c r="M366" s="142"/>
      <c r="N366" s="145" t="str">
        <f>_xlfn.IFNA(VLOOKUP(E366,'Data Kyu'!$A$6:$I$471,6,0),"")</f>
        <v/>
      </c>
      <c r="O366" s="141"/>
      <c r="P366" s="139" t="s">
        <v>5</v>
      </c>
      <c r="Q366" s="141" t="str">
        <f>_xlfn.IFNA(VLOOKUP(E366,'Data Kyu'!$A$6:$I$471,7,0),"")</f>
        <v/>
      </c>
      <c r="R366" s="141"/>
      <c r="S366" s="139" t="s">
        <v>5</v>
      </c>
      <c r="T366" s="141" t="str">
        <f>_xlfn.IFNA(VLOOKUP(E366,'Data Kyu'!$A$6:$I$471,8,0),"")</f>
        <v/>
      </c>
      <c r="U366" s="142"/>
      <c r="V366" s="142" t="str">
        <f>_xlfn.IFNA(VLOOKUP(E366,'Data Kyu'!$A$6:$I$471,4,0),"")</f>
        <v/>
      </c>
      <c r="X366" s="214" t="str">
        <f>_xlfn.IFNA(VLOOKUP(F366,'Data Kyu'!$C$6:$N$997,12,0),"No Data")</f>
        <v>No Data</v>
      </c>
    </row>
    <row r="367" spans="2:24" ht="10.95" customHeight="1" x14ac:dyDescent="0.25">
      <c r="B367" s="52"/>
      <c r="C367" s="165" t="str">
        <f>IF(X366="LULUS","V","")</f>
        <v/>
      </c>
      <c r="D367" s="53"/>
      <c r="E367" s="155"/>
      <c r="F367" s="148"/>
      <c r="G367" s="144"/>
      <c r="H367" s="67"/>
      <c r="I367" s="67"/>
      <c r="J367" s="67"/>
      <c r="K367" s="67"/>
      <c r="L367" s="146"/>
      <c r="M367" s="147"/>
      <c r="N367" s="148"/>
      <c r="O367" s="143"/>
      <c r="P367" s="140"/>
      <c r="Q367" s="143"/>
      <c r="R367" s="143"/>
      <c r="S367" s="140"/>
      <c r="T367" s="143"/>
      <c r="U367" s="144"/>
      <c r="V367" s="147"/>
      <c r="X367" s="214"/>
    </row>
    <row r="368" spans="2:24" ht="10.95" customHeight="1" x14ac:dyDescent="0.25">
      <c r="B368" s="52"/>
      <c r="C368" s="166"/>
      <c r="D368" s="53"/>
      <c r="E368" s="155"/>
      <c r="F368" s="167" t="str">
        <f>_xlfn.IFNA(VLOOKUP(E366,'Data Kyu'!$A$6:$I$471,2,0),"")</f>
        <v/>
      </c>
      <c r="G368" s="168"/>
      <c r="H368" s="168"/>
      <c r="I368" s="168"/>
      <c r="J368" s="168"/>
      <c r="K368" s="169"/>
      <c r="L368" s="146"/>
      <c r="M368" s="147"/>
      <c r="N368" s="173" t="s">
        <v>6</v>
      </c>
      <c r="O368" s="159"/>
      <c r="P368" s="57"/>
      <c r="Q368" s="159" t="s">
        <v>7</v>
      </c>
      <c r="R368" s="159"/>
      <c r="S368" s="57"/>
      <c r="T368" s="159" t="s">
        <v>8</v>
      </c>
      <c r="U368" s="160"/>
      <c r="V368" s="175"/>
      <c r="X368" s="214"/>
    </row>
    <row r="369" spans="2:24" ht="10.95" customHeight="1" x14ac:dyDescent="0.25">
      <c r="B369" s="54"/>
      <c r="C369" s="55"/>
      <c r="D369" s="56"/>
      <c r="E369" s="156"/>
      <c r="F369" s="170"/>
      <c r="G369" s="171"/>
      <c r="H369" s="171"/>
      <c r="I369" s="171"/>
      <c r="J369" s="171"/>
      <c r="K369" s="172"/>
      <c r="L369" s="148"/>
      <c r="M369" s="144"/>
      <c r="N369" s="174"/>
      <c r="O369" s="161"/>
      <c r="P369" s="27"/>
      <c r="Q369" s="161"/>
      <c r="R369" s="161"/>
      <c r="S369" s="27"/>
      <c r="T369" s="161"/>
      <c r="U369" s="162"/>
      <c r="V369" s="176"/>
      <c r="X369" s="214"/>
    </row>
    <row r="370" spans="2:24" ht="7.5" customHeight="1" x14ac:dyDescent="0.25"/>
    <row r="371" spans="2:24" s="34" customFormat="1" x14ac:dyDescent="0.25">
      <c r="E371" s="35" t="s">
        <v>30</v>
      </c>
      <c r="K371" s="35" t="s">
        <v>28</v>
      </c>
    </row>
    <row r="372" spans="2:24" x14ac:dyDescent="0.25">
      <c r="E372" s="33" t="s">
        <v>31</v>
      </c>
      <c r="F372" s="149"/>
      <c r="G372" s="149"/>
      <c r="H372" s="149"/>
      <c r="I372" s="149"/>
      <c r="J372" s="149"/>
      <c r="K372" s="33" t="s">
        <v>29</v>
      </c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</row>
    <row r="373" spans="2:24" ht="6.75" customHeight="1" x14ac:dyDescent="0.25">
      <c r="F373" s="34"/>
      <c r="G373" s="34"/>
      <c r="H373" s="34"/>
      <c r="I373" s="34"/>
      <c r="J373" s="34"/>
    </row>
    <row r="374" spans="2:24" s="34" customFormat="1" x14ac:dyDescent="0.25">
      <c r="E374" s="35" t="s">
        <v>32</v>
      </c>
      <c r="K374" s="35" t="s">
        <v>36</v>
      </c>
    </row>
    <row r="375" spans="2:24" x14ac:dyDescent="0.25">
      <c r="E375" s="33" t="s">
        <v>33</v>
      </c>
      <c r="F375" s="149"/>
      <c r="G375" s="149"/>
      <c r="H375" s="149"/>
      <c r="I375" s="149"/>
      <c r="J375" s="149"/>
      <c r="K375" s="33" t="s">
        <v>29</v>
      </c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</row>
    <row r="376" spans="2:24" ht="6.75" customHeight="1" x14ac:dyDescent="0.25">
      <c r="F376" s="34"/>
      <c r="G376" s="34"/>
      <c r="H376" s="34"/>
      <c r="I376" s="34"/>
      <c r="J376" s="34"/>
    </row>
    <row r="377" spans="2:24" s="34" customFormat="1" ht="13.8" customHeight="1" x14ac:dyDescent="0.25">
      <c r="E377" s="35" t="s">
        <v>34</v>
      </c>
      <c r="F377" s="177" t="str">
        <f>IF(F330&lt;&gt;"",$F$65,"")</f>
        <v/>
      </c>
      <c r="G377" s="177"/>
      <c r="H377" s="177"/>
      <c r="I377" s="177"/>
      <c r="J377" s="177"/>
      <c r="K377" s="35" t="s">
        <v>28</v>
      </c>
      <c r="X377" s="70" t="s">
        <v>107</v>
      </c>
    </row>
    <row r="378" spans="2:24" ht="13.2" customHeight="1" x14ac:dyDescent="0.25">
      <c r="E378" s="33" t="s">
        <v>35</v>
      </c>
      <c r="F378" s="178"/>
      <c r="G378" s="178"/>
      <c r="H378" s="178"/>
      <c r="I378" s="178"/>
      <c r="J378" s="178"/>
      <c r="K378" s="33" t="s">
        <v>29</v>
      </c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X378" s="70" t="s">
        <v>105</v>
      </c>
    </row>
    <row r="379" spans="2:24" ht="12.75" customHeight="1" thickBot="1" x14ac:dyDescent="0.3"/>
    <row r="380" spans="2:24" ht="13.8" thickTop="1" x14ac:dyDescent="0.25">
      <c r="B380" s="34" t="s">
        <v>37</v>
      </c>
      <c r="C380" s="34"/>
      <c r="D380" s="34"/>
      <c r="H380" s="150" t="s">
        <v>40</v>
      </c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</row>
    <row r="381" spans="2:24" x14ac:dyDescent="0.25">
      <c r="B381" s="34" t="s">
        <v>38</v>
      </c>
      <c r="C381" s="34"/>
      <c r="D381" s="34"/>
      <c r="H381" s="152"/>
      <c r="I381" s="153"/>
      <c r="J381" s="153"/>
      <c r="K381" s="153"/>
      <c r="L381" s="153"/>
      <c r="M381" s="153"/>
      <c r="N381" s="153"/>
      <c r="O381" s="153"/>
      <c r="P381" s="153"/>
      <c r="Q381" s="153"/>
      <c r="R381" s="153"/>
      <c r="S381" s="153"/>
      <c r="T381" s="153"/>
      <c r="U381" s="153"/>
      <c r="V381" s="153"/>
    </row>
    <row r="382" spans="2:24" ht="12.75" customHeight="1" x14ac:dyDescent="0.25">
      <c r="B382" s="163" t="s">
        <v>39</v>
      </c>
      <c r="C382" s="163"/>
      <c r="D382" s="163"/>
      <c r="E382" s="163"/>
      <c r="F382" s="163"/>
      <c r="H382" s="37" t="s">
        <v>41</v>
      </c>
    </row>
    <row r="383" spans="2:24" ht="13.8" x14ac:dyDescent="0.25">
      <c r="B383" s="163"/>
      <c r="C383" s="163"/>
      <c r="D383" s="163"/>
      <c r="E383" s="163"/>
      <c r="F383" s="163"/>
      <c r="H383" s="38" t="s">
        <v>42</v>
      </c>
    </row>
    <row r="384" spans="2:24" x14ac:dyDescent="0.25">
      <c r="B384" s="163"/>
      <c r="C384" s="163"/>
      <c r="D384" s="163"/>
      <c r="E384" s="163"/>
      <c r="F384" s="163"/>
      <c r="H384" s="36"/>
    </row>
    <row r="385" spans="2:24" x14ac:dyDescent="0.25">
      <c r="B385" s="163"/>
      <c r="C385" s="163"/>
      <c r="D385" s="163"/>
      <c r="E385" s="163"/>
      <c r="F385" s="163"/>
      <c r="H385" s="36"/>
    </row>
    <row r="386" spans="2:24" x14ac:dyDescent="0.25">
      <c r="H386" s="36"/>
    </row>
    <row r="387" spans="2:24" x14ac:dyDescent="0.25">
      <c r="H387" s="36"/>
    </row>
    <row r="388" spans="2:24" x14ac:dyDescent="0.25">
      <c r="H388" s="36"/>
    </row>
    <row r="389" spans="2:24" x14ac:dyDescent="0.25">
      <c r="H389" s="36"/>
    </row>
    <row r="390" spans="2:24" ht="13.8" x14ac:dyDescent="0.25">
      <c r="H390" s="157" t="str">
        <f>IF(F330&lt;&gt;"",$H$78,"")</f>
        <v/>
      </c>
      <c r="I390" s="158"/>
      <c r="J390" s="158"/>
      <c r="K390" s="158"/>
      <c r="L390" s="158"/>
      <c r="M390" s="158"/>
      <c r="N390" s="158"/>
      <c r="O390" s="158"/>
      <c r="P390" s="158"/>
      <c r="Q390" s="158"/>
      <c r="R390" s="158"/>
      <c r="S390" s="158"/>
      <c r="T390" s="158"/>
      <c r="U390" s="158"/>
      <c r="V390" s="158"/>
    </row>
    <row r="391" spans="2:24" x14ac:dyDescent="0.25">
      <c r="H391" s="36"/>
    </row>
    <row r="392" spans="2:24" ht="28.5" customHeight="1" x14ac:dyDescent="0.3">
      <c r="B392" s="193" t="s">
        <v>43</v>
      </c>
      <c r="C392" s="193"/>
      <c r="D392" s="193"/>
      <c r="E392" s="194"/>
      <c r="F392" s="194"/>
      <c r="G392" s="194"/>
      <c r="H392" s="194"/>
      <c r="I392" s="2"/>
      <c r="J392" s="2"/>
      <c r="K392" s="13" t="s">
        <v>25</v>
      </c>
      <c r="L392" s="195" t="s">
        <v>14</v>
      </c>
      <c r="M392" s="196"/>
      <c r="N392" s="196"/>
      <c r="O392" s="196"/>
      <c r="P392" s="196"/>
      <c r="Q392" s="196"/>
      <c r="R392" s="196"/>
      <c r="S392" s="196"/>
      <c r="T392" s="196"/>
      <c r="U392" s="196"/>
      <c r="V392" s="197"/>
      <c r="X392" s="1"/>
    </row>
    <row r="393" spans="2:24" ht="26.25" customHeight="1" x14ac:dyDescent="0.4">
      <c r="B393" s="39" t="s">
        <v>44</v>
      </c>
      <c r="C393" s="39"/>
      <c r="D393" s="39"/>
      <c r="E393" s="2"/>
      <c r="F393" s="2"/>
      <c r="G393" s="2"/>
      <c r="H393" s="2"/>
      <c r="I393" s="2"/>
      <c r="J393" s="2"/>
      <c r="K393" s="29" t="s">
        <v>13</v>
      </c>
      <c r="L393" s="15">
        <v>4</v>
      </c>
      <c r="M393" s="16">
        <v>1</v>
      </c>
      <c r="N393" s="15">
        <v>0</v>
      </c>
      <c r="O393" s="198">
        <v>0</v>
      </c>
      <c r="P393" s="199"/>
      <c r="Q393" s="14">
        <v>0</v>
      </c>
      <c r="R393" s="200">
        <v>1</v>
      </c>
      <c r="S393" s="201"/>
      <c r="T393" s="6"/>
      <c r="U393" s="6"/>
      <c r="V393" s="7"/>
      <c r="X393" s="1"/>
    </row>
    <row r="394" spans="2:24" ht="21" customHeight="1" x14ac:dyDescent="0.25">
      <c r="B394" s="26" t="s">
        <v>45</v>
      </c>
      <c r="C394" s="26"/>
      <c r="D394" s="26"/>
      <c r="E394" s="25"/>
      <c r="F394" s="25"/>
      <c r="G394" s="25"/>
      <c r="H394" s="25"/>
      <c r="I394" s="25"/>
      <c r="J394" s="25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X394" s="1"/>
    </row>
    <row r="395" spans="2:24" ht="13.5" customHeight="1" x14ac:dyDescent="0.25">
      <c r="B395" s="40" t="s">
        <v>24</v>
      </c>
      <c r="C395" s="40"/>
      <c r="D395" s="40"/>
      <c r="E395" s="25"/>
      <c r="F395" s="25"/>
      <c r="G395" s="25"/>
      <c r="H395" s="25"/>
      <c r="I395" s="25"/>
      <c r="J395" s="25"/>
      <c r="K395" s="28" t="s">
        <v>6</v>
      </c>
      <c r="L395" s="202" t="str">
        <f>IF(F408&lt;&gt;"",$L$5,"")</f>
        <v/>
      </c>
      <c r="M395" s="203"/>
      <c r="N395" s="204" t="s">
        <v>15</v>
      </c>
      <c r="O395" s="204"/>
      <c r="P395" s="204"/>
      <c r="Q395" s="205" t="str">
        <f>IF(F408&lt;&gt;"",$Q$5,"")</f>
        <v/>
      </c>
      <c r="R395" s="206"/>
      <c r="S395" s="207" t="s">
        <v>16</v>
      </c>
      <c r="T395" s="204"/>
      <c r="U395" s="82" t="str">
        <f>IF(F408&lt;&gt;"",$U$5,"")</f>
        <v/>
      </c>
      <c r="V395" s="63"/>
      <c r="X395" s="1"/>
    </row>
    <row r="396" spans="2:24" ht="8.25" customHeight="1" x14ac:dyDescent="0.25"/>
    <row r="397" spans="2:24" ht="11.25" customHeight="1" x14ac:dyDescent="0.25">
      <c r="B397" s="24" t="s">
        <v>17</v>
      </c>
      <c r="C397" s="24"/>
      <c r="D397" s="24"/>
    </row>
    <row r="398" spans="2:24" ht="11.25" customHeight="1" x14ac:dyDescent="0.25">
      <c r="B398" s="8" t="s">
        <v>18</v>
      </c>
      <c r="C398" s="8"/>
      <c r="D398" s="8"/>
    </row>
    <row r="399" spans="2:24" ht="5.25" customHeight="1" x14ac:dyDescent="0.25">
      <c r="B399" s="8"/>
      <c r="C399" s="8"/>
      <c r="D399" s="8"/>
    </row>
    <row r="400" spans="2:24" x14ac:dyDescent="0.25">
      <c r="B400" s="179" t="s">
        <v>19</v>
      </c>
      <c r="C400" s="179"/>
      <c r="D400" s="179"/>
      <c r="E400" s="179"/>
      <c r="F400" s="179"/>
      <c r="G400" s="18" t="s">
        <v>6</v>
      </c>
      <c r="H400" s="64" t="str">
        <f>IF(F408&lt;&gt;"",$H$10,"")</f>
        <v/>
      </c>
      <c r="I400" s="9" t="s">
        <v>15</v>
      </c>
      <c r="J400" s="83" t="str">
        <f>IF(F408&lt;&gt;"",$J$10,"")</f>
        <v/>
      </c>
      <c r="K400" s="9" t="s">
        <v>16</v>
      </c>
      <c r="L400" s="180" t="str">
        <f>IF(F408&lt;&gt;"",$L$10,"")</f>
        <v/>
      </c>
      <c r="M400" s="181"/>
      <c r="X400" s="32"/>
    </row>
    <row r="401" spans="2:24" ht="5.25" customHeight="1" x14ac:dyDescent="0.25">
      <c r="B401" s="8"/>
      <c r="C401" s="8"/>
      <c r="D401" s="8"/>
      <c r="E401" s="8"/>
      <c r="F401" s="8"/>
      <c r="G401" s="19"/>
      <c r="H401" s="20"/>
      <c r="I401" s="21"/>
      <c r="J401" s="20"/>
      <c r="K401" s="10"/>
      <c r="L401" s="22"/>
      <c r="X401" s="32"/>
    </row>
    <row r="402" spans="2:24" s="73" customFormat="1" ht="14.4" customHeight="1" x14ac:dyDescent="0.25">
      <c r="B402" s="72" t="s">
        <v>20</v>
      </c>
      <c r="C402" s="72"/>
      <c r="D402" s="72"/>
      <c r="X402" s="74"/>
    </row>
    <row r="403" spans="2:24" s="73" customFormat="1" ht="14.4" customHeight="1" x14ac:dyDescent="0.25">
      <c r="B403" s="75" t="s">
        <v>21</v>
      </c>
      <c r="C403" s="10"/>
      <c r="D403" s="10"/>
      <c r="E403" s="22" t="s">
        <v>22</v>
      </c>
      <c r="X403" s="74"/>
    </row>
    <row r="404" spans="2:24" s="73" customFormat="1" ht="14.4" customHeight="1" x14ac:dyDescent="0.25">
      <c r="B404" s="22"/>
      <c r="C404" s="22"/>
      <c r="D404" s="22"/>
      <c r="E404" s="22" t="s">
        <v>23</v>
      </c>
      <c r="X404" s="164" t="s">
        <v>102</v>
      </c>
    </row>
    <row r="405" spans="2:24" ht="7.5" customHeight="1" x14ac:dyDescent="0.25">
      <c r="B405" s="8"/>
      <c r="C405" s="8"/>
      <c r="D405" s="8"/>
      <c r="X405" s="164"/>
    </row>
    <row r="406" spans="2:24" ht="17.25" customHeight="1" x14ac:dyDescent="0.25">
      <c r="B406" s="182"/>
      <c r="C406" s="59"/>
      <c r="D406" s="60"/>
      <c r="E406" s="184" t="s">
        <v>0</v>
      </c>
      <c r="F406" s="186" t="s">
        <v>1</v>
      </c>
      <c r="G406" s="187"/>
      <c r="H406" s="4"/>
      <c r="I406" s="4"/>
      <c r="J406" s="4"/>
      <c r="K406" s="5"/>
      <c r="L406" s="145" t="s">
        <v>3</v>
      </c>
      <c r="M406" s="142"/>
      <c r="N406" s="188" t="s">
        <v>10</v>
      </c>
      <c r="O406" s="188"/>
      <c r="P406" s="188"/>
      <c r="Q406" s="188"/>
      <c r="R406" s="188"/>
      <c r="S406" s="188"/>
      <c r="T406" s="188"/>
      <c r="U406" s="189"/>
      <c r="V406" s="3" t="s">
        <v>12</v>
      </c>
      <c r="X406" s="68" t="s">
        <v>200</v>
      </c>
    </row>
    <row r="407" spans="2:24" ht="17.25" customHeight="1" x14ac:dyDescent="0.25">
      <c r="B407" s="183"/>
      <c r="C407" s="61"/>
      <c r="D407" s="62"/>
      <c r="E407" s="185"/>
      <c r="F407" s="30" t="s">
        <v>2</v>
      </c>
      <c r="G407" s="17"/>
      <c r="H407" s="6"/>
      <c r="I407" s="6"/>
      <c r="J407" s="6"/>
      <c r="K407" s="7"/>
      <c r="L407" s="190" t="s">
        <v>4</v>
      </c>
      <c r="M407" s="191"/>
      <c r="N407" s="192" t="s">
        <v>9</v>
      </c>
      <c r="O407" s="192"/>
      <c r="P407" s="192"/>
      <c r="Q407" s="192"/>
      <c r="R407" s="192"/>
      <c r="S407" s="192"/>
      <c r="T407" s="192"/>
      <c r="U407" s="191"/>
      <c r="V407" s="31" t="s">
        <v>11</v>
      </c>
      <c r="X407" s="69"/>
    </row>
    <row r="408" spans="2:24" ht="10.95" customHeight="1" x14ac:dyDescent="0.25">
      <c r="B408" s="41"/>
      <c r="C408" s="51"/>
      <c r="D408" s="42"/>
      <c r="E408" s="154">
        <v>51</v>
      </c>
      <c r="F408" s="145" t="str">
        <f>_xlfn.IFNA(VLOOKUP(E408,'Data Kyu'!$A$6:$I$471,3,0),"")</f>
        <v/>
      </c>
      <c r="G408" s="142"/>
      <c r="H408" s="66"/>
      <c r="I408" s="66"/>
      <c r="J408" s="66"/>
      <c r="K408" s="66"/>
      <c r="L408" s="145" t="str">
        <f>_xlfn.IFNA(VLOOKUP(E408,'Data Kyu'!$A$6:$I$471,9,0),"")</f>
        <v/>
      </c>
      <c r="M408" s="142"/>
      <c r="N408" s="145" t="str">
        <f>_xlfn.IFNA(VLOOKUP(E408,'Data Kyu'!$A$6:$I$471,6,0),"")</f>
        <v/>
      </c>
      <c r="O408" s="141"/>
      <c r="P408" s="139" t="s">
        <v>5</v>
      </c>
      <c r="Q408" s="141" t="str">
        <f>_xlfn.IFNA(VLOOKUP(E408,'Data Kyu'!$A$6:$I$471,7,0),"")</f>
        <v/>
      </c>
      <c r="R408" s="141"/>
      <c r="S408" s="139" t="s">
        <v>5</v>
      </c>
      <c r="T408" s="141" t="str">
        <f>_xlfn.IFNA(VLOOKUP(E408,'Data Kyu'!$A$6:$I$471,8,0),"")</f>
        <v/>
      </c>
      <c r="U408" s="142"/>
      <c r="V408" s="142" t="str">
        <f>_xlfn.IFNA(VLOOKUP(E408,'Data Kyu'!$A$6:$I$471,4,0),"")</f>
        <v/>
      </c>
      <c r="X408" s="214" t="str">
        <f>_xlfn.IFNA(VLOOKUP(F408,'Data Kyu'!$C$6:$N$997,12,0),"No Data")</f>
        <v>No Data</v>
      </c>
    </row>
    <row r="409" spans="2:24" ht="10.95" customHeight="1" x14ac:dyDescent="0.25">
      <c r="B409" s="52"/>
      <c r="C409" s="165" t="str">
        <f>IF(X408="LULUS","V","")</f>
        <v/>
      </c>
      <c r="D409" s="53"/>
      <c r="E409" s="155"/>
      <c r="F409" s="148"/>
      <c r="G409" s="144"/>
      <c r="H409" s="67"/>
      <c r="I409" s="67"/>
      <c r="J409" s="67"/>
      <c r="K409" s="67"/>
      <c r="L409" s="146"/>
      <c r="M409" s="147"/>
      <c r="N409" s="148"/>
      <c r="O409" s="143"/>
      <c r="P409" s="140"/>
      <c r="Q409" s="143"/>
      <c r="R409" s="143"/>
      <c r="S409" s="140"/>
      <c r="T409" s="143"/>
      <c r="U409" s="144"/>
      <c r="V409" s="147"/>
      <c r="X409" s="214"/>
    </row>
    <row r="410" spans="2:24" ht="10.95" customHeight="1" x14ac:dyDescent="0.25">
      <c r="B410" s="52"/>
      <c r="C410" s="166"/>
      <c r="D410" s="53"/>
      <c r="E410" s="155"/>
      <c r="F410" s="167" t="str">
        <f>_xlfn.IFNA(VLOOKUP(E408,'Data Kyu'!$A$6:$I$471,2,0),"")</f>
        <v/>
      </c>
      <c r="G410" s="168"/>
      <c r="H410" s="168"/>
      <c r="I410" s="168"/>
      <c r="J410" s="168"/>
      <c r="K410" s="169"/>
      <c r="L410" s="146"/>
      <c r="M410" s="147"/>
      <c r="N410" s="173" t="s">
        <v>6</v>
      </c>
      <c r="O410" s="159"/>
      <c r="P410" s="57"/>
      <c r="Q410" s="159" t="s">
        <v>7</v>
      </c>
      <c r="R410" s="159"/>
      <c r="S410" s="57"/>
      <c r="T410" s="159" t="s">
        <v>8</v>
      </c>
      <c r="U410" s="160"/>
      <c r="V410" s="175"/>
      <c r="X410" s="214"/>
    </row>
    <row r="411" spans="2:24" ht="10.95" customHeight="1" x14ac:dyDescent="0.25">
      <c r="B411" s="54"/>
      <c r="C411" s="76"/>
      <c r="D411" s="56"/>
      <c r="E411" s="156"/>
      <c r="F411" s="170"/>
      <c r="G411" s="171"/>
      <c r="H411" s="171"/>
      <c r="I411" s="171"/>
      <c r="J411" s="171"/>
      <c r="K411" s="172"/>
      <c r="L411" s="148"/>
      <c r="M411" s="144"/>
      <c r="N411" s="174"/>
      <c r="O411" s="161"/>
      <c r="P411" s="27"/>
      <c r="Q411" s="161"/>
      <c r="R411" s="161"/>
      <c r="S411" s="27"/>
      <c r="T411" s="161"/>
      <c r="U411" s="162"/>
      <c r="V411" s="176"/>
      <c r="X411" s="214"/>
    </row>
    <row r="412" spans="2:24" ht="10.95" customHeight="1" x14ac:dyDescent="0.25">
      <c r="B412" s="41"/>
      <c r="C412" s="77"/>
      <c r="D412" s="42"/>
      <c r="E412" s="154">
        <v>52</v>
      </c>
      <c r="F412" s="145" t="str">
        <f>_xlfn.IFNA(VLOOKUP(E412,'Data Kyu'!$A$6:$I$471,3,0),"")</f>
        <v/>
      </c>
      <c r="G412" s="142"/>
      <c r="H412" s="66"/>
      <c r="I412" s="66"/>
      <c r="J412" s="66"/>
      <c r="K412" s="66"/>
      <c r="L412" s="145" t="str">
        <f>_xlfn.IFNA(VLOOKUP(E412,'Data Kyu'!$A$6:$I$471,9,0),"")</f>
        <v/>
      </c>
      <c r="M412" s="142"/>
      <c r="N412" s="145" t="str">
        <f>_xlfn.IFNA(VLOOKUP(E412,'Data Kyu'!$A$6:$I$471,6,0),"")</f>
        <v/>
      </c>
      <c r="O412" s="141"/>
      <c r="P412" s="139" t="s">
        <v>5</v>
      </c>
      <c r="Q412" s="141" t="str">
        <f>_xlfn.IFNA(VLOOKUP(E412,'Data Kyu'!$A$6:$I$471,7,0),"")</f>
        <v/>
      </c>
      <c r="R412" s="141"/>
      <c r="S412" s="139" t="s">
        <v>5</v>
      </c>
      <c r="T412" s="141" t="str">
        <f>_xlfn.IFNA(VLOOKUP(E412,'Data Kyu'!$A$6:$I$471,8,0),"")</f>
        <v/>
      </c>
      <c r="U412" s="142"/>
      <c r="V412" s="142" t="str">
        <f>_xlfn.IFNA(VLOOKUP(E412,'Data Kyu'!$A$6:$I$471,4,0),"")</f>
        <v/>
      </c>
      <c r="X412" s="214" t="str">
        <f>_xlfn.IFNA(VLOOKUP(F412,'Data Kyu'!$C$6:$N$997,12,0),"No Data")</f>
        <v>No Data</v>
      </c>
    </row>
    <row r="413" spans="2:24" ht="10.95" customHeight="1" x14ac:dyDescent="0.25">
      <c r="B413" s="52"/>
      <c r="C413" s="165" t="str">
        <f>IF(X412="LULUS","V","")</f>
        <v/>
      </c>
      <c r="D413" s="53"/>
      <c r="E413" s="155"/>
      <c r="F413" s="148"/>
      <c r="G413" s="144"/>
      <c r="H413" s="67"/>
      <c r="I413" s="67"/>
      <c r="J413" s="67"/>
      <c r="K413" s="67"/>
      <c r="L413" s="146"/>
      <c r="M413" s="147"/>
      <c r="N413" s="148"/>
      <c r="O413" s="143"/>
      <c r="P413" s="140"/>
      <c r="Q413" s="143"/>
      <c r="R413" s="143"/>
      <c r="S413" s="140"/>
      <c r="T413" s="143"/>
      <c r="U413" s="144"/>
      <c r="V413" s="147"/>
      <c r="X413" s="214"/>
    </row>
    <row r="414" spans="2:24" ht="10.95" customHeight="1" x14ac:dyDescent="0.25">
      <c r="B414" s="52"/>
      <c r="C414" s="166"/>
      <c r="D414" s="53"/>
      <c r="E414" s="155"/>
      <c r="F414" s="167" t="str">
        <f>_xlfn.IFNA(VLOOKUP(E412,'Data Kyu'!$A$6:$I$471,2,0),"")</f>
        <v/>
      </c>
      <c r="G414" s="168"/>
      <c r="H414" s="168"/>
      <c r="I414" s="168"/>
      <c r="J414" s="168"/>
      <c r="K414" s="169"/>
      <c r="L414" s="146"/>
      <c r="M414" s="147"/>
      <c r="N414" s="173" t="s">
        <v>6</v>
      </c>
      <c r="O414" s="159"/>
      <c r="P414" s="57"/>
      <c r="Q414" s="159" t="s">
        <v>7</v>
      </c>
      <c r="R414" s="159"/>
      <c r="S414" s="57"/>
      <c r="T414" s="159" t="s">
        <v>8</v>
      </c>
      <c r="U414" s="160"/>
      <c r="V414" s="175"/>
      <c r="X414" s="214"/>
    </row>
    <row r="415" spans="2:24" ht="10.95" customHeight="1" x14ac:dyDescent="0.25">
      <c r="B415" s="54"/>
      <c r="C415" s="76"/>
      <c r="D415" s="56"/>
      <c r="E415" s="156"/>
      <c r="F415" s="170"/>
      <c r="G415" s="171"/>
      <c r="H415" s="171"/>
      <c r="I415" s="171"/>
      <c r="J415" s="171"/>
      <c r="K415" s="172"/>
      <c r="L415" s="148"/>
      <c r="M415" s="144"/>
      <c r="N415" s="174"/>
      <c r="O415" s="161"/>
      <c r="P415" s="27"/>
      <c r="Q415" s="161"/>
      <c r="R415" s="161"/>
      <c r="S415" s="27"/>
      <c r="T415" s="161"/>
      <c r="U415" s="162"/>
      <c r="V415" s="176"/>
      <c r="X415" s="214"/>
    </row>
    <row r="416" spans="2:24" ht="10.95" customHeight="1" x14ac:dyDescent="0.25">
      <c r="B416" s="41"/>
      <c r="C416" s="77"/>
      <c r="D416" s="42"/>
      <c r="E416" s="154">
        <v>53</v>
      </c>
      <c r="F416" s="145" t="str">
        <f>_xlfn.IFNA(VLOOKUP(E416,'Data Kyu'!$A$6:$I$471,3,0),"")</f>
        <v/>
      </c>
      <c r="G416" s="142"/>
      <c r="H416" s="66"/>
      <c r="I416" s="66"/>
      <c r="J416" s="66"/>
      <c r="K416" s="66"/>
      <c r="L416" s="145" t="str">
        <f>_xlfn.IFNA(VLOOKUP(E416,'Data Kyu'!$A$6:$I$471,9,0),"")</f>
        <v/>
      </c>
      <c r="M416" s="142"/>
      <c r="N416" s="145" t="str">
        <f>_xlfn.IFNA(VLOOKUP(E416,'Data Kyu'!$A$6:$I$471,6,0),"")</f>
        <v/>
      </c>
      <c r="O416" s="141"/>
      <c r="P416" s="139" t="s">
        <v>5</v>
      </c>
      <c r="Q416" s="141" t="str">
        <f>_xlfn.IFNA(VLOOKUP(E416,'Data Kyu'!$A$6:$I$471,7,0),"")</f>
        <v/>
      </c>
      <c r="R416" s="141"/>
      <c r="S416" s="139" t="s">
        <v>5</v>
      </c>
      <c r="T416" s="141" t="str">
        <f>_xlfn.IFNA(VLOOKUP(E416,'Data Kyu'!$A$6:$I$471,8,0),"")</f>
        <v/>
      </c>
      <c r="U416" s="142"/>
      <c r="V416" s="142" t="str">
        <f>_xlfn.IFNA(VLOOKUP(E416,'Data Kyu'!$A$6:$I$471,4,0),"")</f>
        <v/>
      </c>
      <c r="X416" s="214" t="str">
        <f>_xlfn.IFNA(VLOOKUP(F416,'Data Kyu'!$C$6:$N$997,12,0),"No Data")</f>
        <v>No Data</v>
      </c>
    </row>
    <row r="417" spans="2:24" ht="10.95" customHeight="1" x14ac:dyDescent="0.25">
      <c r="B417" s="52"/>
      <c r="C417" s="165" t="str">
        <f>IF(X416="LULUS","V","")</f>
        <v/>
      </c>
      <c r="D417" s="53"/>
      <c r="E417" s="155"/>
      <c r="F417" s="148"/>
      <c r="G417" s="144"/>
      <c r="H417" s="67"/>
      <c r="I417" s="67"/>
      <c r="J417" s="67"/>
      <c r="K417" s="67"/>
      <c r="L417" s="146"/>
      <c r="M417" s="147"/>
      <c r="N417" s="148"/>
      <c r="O417" s="143"/>
      <c r="P417" s="140"/>
      <c r="Q417" s="143"/>
      <c r="R417" s="143"/>
      <c r="S417" s="140"/>
      <c r="T417" s="143"/>
      <c r="U417" s="144"/>
      <c r="V417" s="147"/>
      <c r="X417" s="214"/>
    </row>
    <row r="418" spans="2:24" ht="10.95" customHeight="1" x14ac:dyDescent="0.25">
      <c r="B418" s="52"/>
      <c r="C418" s="166"/>
      <c r="D418" s="53"/>
      <c r="E418" s="155"/>
      <c r="F418" s="167" t="str">
        <f>_xlfn.IFNA(VLOOKUP(E416,'Data Kyu'!$A$6:$I$471,2,0),"")</f>
        <v/>
      </c>
      <c r="G418" s="168"/>
      <c r="H418" s="168"/>
      <c r="I418" s="168"/>
      <c r="J418" s="168"/>
      <c r="K418" s="169"/>
      <c r="L418" s="146"/>
      <c r="M418" s="147"/>
      <c r="N418" s="173" t="s">
        <v>6</v>
      </c>
      <c r="O418" s="159"/>
      <c r="P418" s="57"/>
      <c r="Q418" s="159" t="s">
        <v>7</v>
      </c>
      <c r="R418" s="159"/>
      <c r="S418" s="57"/>
      <c r="T418" s="159" t="s">
        <v>8</v>
      </c>
      <c r="U418" s="160"/>
      <c r="V418" s="175"/>
      <c r="X418" s="214"/>
    </row>
    <row r="419" spans="2:24" ht="10.95" customHeight="1" x14ac:dyDescent="0.25">
      <c r="B419" s="54"/>
      <c r="C419" s="76"/>
      <c r="D419" s="56"/>
      <c r="E419" s="156"/>
      <c r="F419" s="170"/>
      <c r="G419" s="171"/>
      <c r="H419" s="171"/>
      <c r="I419" s="171"/>
      <c r="J419" s="171"/>
      <c r="K419" s="172"/>
      <c r="L419" s="148"/>
      <c r="M419" s="144"/>
      <c r="N419" s="174"/>
      <c r="O419" s="161"/>
      <c r="P419" s="27"/>
      <c r="Q419" s="161"/>
      <c r="R419" s="161"/>
      <c r="S419" s="27"/>
      <c r="T419" s="161"/>
      <c r="U419" s="162"/>
      <c r="V419" s="176"/>
      <c r="X419" s="214"/>
    </row>
    <row r="420" spans="2:24" ht="10.95" customHeight="1" x14ac:dyDescent="0.25">
      <c r="B420" s="41"/>
      <c r="C420" s="77"/>
      <c r="D420" s="42"/>
      <c r="E420" s="154">
        <v>54</v>
      </c>
      <c r="F420" s="145" t="str">
        <f>_xlfn.IFNA(VLOOKUP(E420,'Data Kyu'!$A$6:$I$471,3,0),"")</f>
        <v/>
      </c>
      <c r="G420" s="142"/>
      <c r="H420" s="66"/>
      <c r="I420" s="66"/>
      <c r="J420" s="66"/>
      <c r="K420" s="66"/>
      <c r="L420" s="145" t="str">
        <f>_xlfn.IFNA(VLOOKUP(E420,'Data Kyu'!$A$6:$I$471,9,0),"")</f>
        <v/>
      </c>
      <c r="M420" s="142"/>
      <c r="N420" s="145" t="str">
        <f>_xlfn.IFNA(VLOOKUP(E420,'Data Kyu'!$A$6:$I$471,6,0),"")</f>
        <v/>
      </c>
      <c r="O420" s="141"/>
      <c r="P420" s="139" t="s">
        <v>5</v>
      </c>
      <c r="Q420" s="141" t="str">
        <f>_xlfn.IFNA(VLOOKUP(E420,'Data Kyu'!$A$6:$I$471,7,0),"")</f>
        <v/>
      </c>
      <c r="R420" s="141"/>
      <c r="S420" s="139" t="s">
        <v>5</v>
      </c>
      <c r="T420" s="141" t="str">
        <f>_xlfn.IFNA(VLOOKUP(E420,'Data Kyu'!$A$6:$I$471,8,0),"")</f>
        <v/>
      </c>
      <c r="U420" s="142"/>
      <c r="V420" s="142" t="str">
        <f>_xlfn.IFNA(VLOOKUP(E420,'Data Kyu'!$A$6:$I$471,4,0),"")</f>
        <v/>
      </c>
      <c r="X420" s="214" t="str">
        <f>_xlfn.IFNA(VLOOKUP(F420,'Data Kyu'!$C$6:$N$997,12,0),"No Data")</f>
        <v>No Data</v>
      </c>
    </row>
    <row r="421" spans="2:24" ht="10.95" customHeight="1" x14ac:dyDescent="0.25">
      <c r="B421" s="52"/>
      <c r="C421" s="165" t="str">
        <f>IF(X420="LULUS","V","")</f>
        <v/>
      </c>
      <c r="D421" s="53"/>
      <c r="E421" s="155"/>
      <c r="F421" s="148"/>
      <c r="G421" s="144"/>
      <c r="H421" s="67"/>
      <c r="I421" s="67"/>
      <c r="J421" s="67"/>
      <c r="K421" s="67"/>
      <c r="L421" s="146"/>
      <c r="M421" s="147"/>
      <c r="N421" s="148"/>
      <c r="O421" s="143"/>
      <c r="P421" s="140"/>
      <c r="Q421" s="143"/>
      <c r="R421" s="143"/>
      <c r="S421" s="140"/>
      <c r="T421" s="143"/>
      <c r="U421" s="144"/>
      <c r="V421" s="147"/>
      <c r="X421" s="214"/>
    </row>
    <row r="422" spans="2:24" ht="10.95" customHeight="1" x14ac:dyDescent="0.25">
      <c r="B422" s="52"/>
      <c r="C422" s="166"/>
      <c r="D422" s="53"/>
      <c r="E422" s="155"/>
      <c r="F422" s="167" t="str">
        <f>_xlfn.IFNA(VLOOKUP(E420,'Data Kyu'!$A$6:$I$471,2,0),"")</f>
        <v/>
      </c>
      <c r="G422" s="168"/>
      <c r="H422" s="168"/>
      <c r="I422" s="168"/>
      <c r="J422" s="168"/>
      <c r="K422" s="169"/>
      <c r="L422" s="146"/>
      <c r="M422" s="147"/>
      <c r="N422" s="173" t="s">
        <v>6</v>
      </c>
      <c r="O422" s="159"/>
      <c r="P422" s="57"/>
      <c r="Q422" s="159" t="s">
        <v>7</v>
      </c>
      <c r="R422" s="159"/>
      <c r="S422" s="57"/>
      <c r="T422" s="159" t="s">
        <v>8</v>
      </c>
      <c r="U422" s="160"/>
      <c r="V422" s="175"/>
      <c r="X422" s="214"/>
    </row>
    <row r="423" spans="2:24" ht="10.95" customHeight="1" x14ac:dyDescent="0.25">
      <c r="B423" s="54"/>
      <c r="C423" s="76"/>
      <c r="D423" s="56"/>
      <c r="E423" s="156"/>
      <c r="F423" s="170"/>
      <c r="G423" s="171"/>
      <c r="H423" s="171"/>
      <c r="I423" s="171"/>
      <c r="J423" s="171"/>
      <c r="K423" s="172"/>
      <c r="L423" s="148"/>
      <c r="M423" s="144"/>
      <c r="N423" s="174"/>
      <c r="O423" s="161"/>
      <c r="P423" s="27"/>
      <c r="Q423" s="161"/>
      <c r="R423" s="161"/>
      <c r="S423" s="27"/>
      <c r="T423" s="161"/>
      <c r="U423" s="162"/>
      <c r="V423" s="176"/>
      <c r="X423" s="214"/>
    </row>
    <row r="424" spans="2:24" ht="10.95" customHeight="1" x14ac:dyDescent="0.25">
      <c r="B424" s="41"/>
      <c r="C424" s="77"/>
      <c r="D424" s="42"/>
      <c r="E424" s="154">
        <v>55</v>
      </c>
      <c r="F424" s="145" t="str">
        <f>_xlfn.IFNA(VLOOKUP(E424,'Data Kyu'!$A$6:$I$471,3,0),"")</f>
        <v/>
      </c>
      <c r="G424" s="142"/>
      <c r="H424" s="66"/>
      <c r="I424" s="66"/>
      <c r="J424" s="66"/>
      <c r="K424" s="66"/>
      <c r="L424" s="145" t="str">
        <f>_xlfn.IFNA(VLOOKUP(E424,'Data Kyu'!$A$6:$I$471,9,0),"")</f>
        <v/>
      </c>
      <c r="M424" s="142"/>
      <c r="N424" s="145" t="str">
        <f>_xlfn.IFNA(VLOOKUP(E424,'Data Kyu'!$A$6:$I$471,6,0),"")</f>
        <v/>
      </c>
      <c r="O424" s="141"/>
      <c r="P424" s="139" t="s">
        <v>5</v>
      </c>
      <c r="Q424" s="141" t="str">
        <f>_xlfn.IFNA(VLOOKUP(E424,'Data Kyu'!$A$6:$I$471,7,0),"")</f>
        <v/>
      </c>
      <c r="R424" s="141"/>
      <c r="S424" s="139" t="s">
        <v>5</v>
      </c>
      <c r="T424" s="141" t="str">
        <f>_xlfn.IFNA(VLOOKUP(E424,'Data Kyu'!$A$6:$I$471,8,0),"")</f>
        <v/>
      </c>
      <c r="U424" s="142"/>
      <c r="V424" s="142" t="str">
        <f>_xlfn.IFNA(VLOOKUP(E424,'Data Kyu'!$A$6:$I$471,4,0),"")</f>
        <v/>
      </c>
      <c r="X424" s="214" t="str">
        <f>_xlfn.IFNA(VLOOKUP(F424,'Data Kyu'!$C$6:$N$997,12,0),"No Data")</f>
        <v>No Data</v>
      </c>
    </row>
    <row r="425" spans="2:24" ht="10.95" customHeight="1" x14ac:dyDescent="0.25">
      <c r="B425" s="52"/>
      <c r="C425" s="165" t="str">
        <f>IF(X424="LULUS","V","")</f>
        <v/>
      </c>
      <c r="D425" s="53"/>
      <c r="E425" s="155"/>
      <c r="F425" s="148"/>
      <c r="G425" s="144"/>
      <c r="H425" s="67"/>
      <c r="I425" s="67"/>
      <c r="J425" s="67"/>
      <c r="K425" s="67"/>
      <c r="L425" s="146"/>
      <c r="M425" s="147"/>
      <c r="N425" s="148"/>
      <c r="O425" s="143"/>
      <c r="P425" s="140"/>
      <c r="Q425" s="143"/>
      <c r="R425" s="143"/>
      <c r="S425" s="140"/>
      <c r="T425" s="143"/>
      <c r="U425" s="144"/>
      <c r="V425" s="147"/>
      <c r="X425" s="214"/>
    </row>
    <row r="426" spans="2:24" ht="10.95" customHeight="1" x14ac:dyDescent="0.25">
      <c r="B426" s="52"/>
      <c r="C426" s="166"/>
      <c r="D426" s="53"/>
      <c r="E426" s="155"/>
      <c r="F426" s="167" t="str">
        <f>_xlfn.IFNA(VLOOKUP(E424,'Data Kyu'!$A$6:$I$471,2,0),"")</f>
        <v/>
      </c>
      <c r="G426" s="168"/>
      <c r="H426" s="168"/>
      <c r="I426" s="168"/>
      <c r="J426" s="168"/>
      <c r="K426" s="169"/>
      <c r="L426" s="146"/>
      <c r="M426" s="147"/>
      <c r="N426" s="173" t="s">
        <v>6</v>
      </c>
      <c r="O426" s="159"/>
      <c r="P426" s="57"/>
      <c r="Q426" s="159" t="s">
        <v>7</v>
      </c>
      <c r="R426" s="159"/>
      <c r="S426" s="57"/>
      <c r="T426" s="159" t="s">
        <v>8</v>
      </c>
      <c r="U426" s="160"/>
      <c r="V426" s="175"/>
      <c r="X426" s="214"/>
    </row>
    <row r="427" spans="2:24" ht="10.95" customHeight="1" x14ac:dyDescent="0.25">
      <c r="B427" s="54"/>
      <c r="C427" s="76"/>
      <c r="D427" s="56"/>
      <c r="E427" s="156"/>
      <c r="F427" s="170"/>
      <c r="G427" s="171"/>
      <c r="H427" s="171"/>
      <c r="I427" s="171"/>
      <c r="J427" s="171"/>
      <c r="K427" s="172"/>
      <c r="L427" s="148"/>
      <c r="M427" s="144"/>
      <c r="N427" s="174"/>
      <c r="O427" s="161"/>
      <c r="P427" s="27"/>
      <c r="Q427" s="161"/>
      <c r="R427" s="161"/>
      <c r="S427" s="27"/>
      <c r="T427" s="161"/>
      <c r="U427" s="162"/>
      <c r="V427" s="176"/>
      <c r="X427" s="214"/>
    </row>
    <row r="428" spans="2:24" ht="10.95" customHeight="1" x14ac:dyDescent="0.25">
      <c r="B428" s="41"/>
      <c r="C428" s="77"/>
      <c r="D428" s="42"/>
      <c r="E428" s="154">
        <v>56</v>
      </c>
      <c r="F428" s="145" t="str">
        <f>_xlfn.IFNA(VLOOKUP(E428,'Data Kyu'!$A$6:$I$471,3,0),"")</f>
        <v/>
      </c>
      <c r="G428" s="142"/>
      <c r="H428" s="66"/>
      <c r="I428" s="66"/>
      <c r="J428" s="66"/>
      <c r="K428" s="66"/>
      <c r="L428" s="145" t="str">
        <f>_xlfn.IFNA(VLOOKUP(E428,'Data Kyu'!$A$6:$I$471,9,0),"")</f>
        <v/>
      </c>
      <c r="M428" s="142"/>
      <c r="N428" s="145" t="str">
        <f>_xlfn.IFNA(VLOOKUP(E428,'Data Kyu'!$A$6:$I$471,6,0),"")</f>
        <v/>
      </c>
      <c r="O428" s="141"/>
      <c r="P428" s="139" t="s">
        <v>5</v>
      </c>
      <c r="Q428" s="141" t="str">
        <f>_xlfn.IFNA(VLOOKUP(E428,'Data Kyu'!$A$6:$I$471,7,0),"")</f>
        <v/>
      </c>
      <c r="R428" s="141"/>
      <c r="S428" s="139" t="s">
        <v>5</v>
      </c>
      <c r="T428" s="141" t="str">
        <f>_xlfn.IFNA(VLOOKUP(E428,'Data Kyu'!$A$6:$I$471,8,0),"")</f>
        <v/>
      </c>
      <c r="U428" s="142"/>
      <c r="V428" s="142" t="str">
        <f>_xlfn.IFNA(VLOOKUP(E428,'Data Kyu'!$A$6:$I$471,4,0),"")</f>
        <v/>
      </c>
      <c r="X428" s="214" t="str">
        <f>_xlfn.IFNA(VLOOKUP(F428,'Data Kyu'!$C$6:$N$997,12,0),"No Data")</f>
        <v>No Data</v>
      </c>
    </row>
    <row r="429" spans="2:24" ht="10.95" customHeight="1" x14ac:dyDescent="0.25">
      <c r="B429" s="52"/>
      <c r="C429" s="165" t="str">
        <f>IF(X428="LULUS","V","")</f>
        <v/>
      </c>
      <c r="D429" s="53"/>
      <c r="E429" s="155"/>
      <c r="F429" s="148"/>
      <c r="G429" s="144"/>
      <c r="H429" s="67"/>
      <c r="I429" s="67"/>
      <c r="J429" s="67"/>
      <c r="K429" s="67"/>
      <c r="L429" s="146"/>
      <c r="M429" s="147"/>
      <c r="N429" s="148"/>
      <c r="O429" s="143"/>
      <c r="P429" s="140"/>
      <c r="Q429" s="143"/>
      <c r="R429" s="143"/>
      <c r="S429" s="140"/>
      <c r="T429" s="143"/>
      <c r="U429" s="144"/>
      <c r="V429" s="147"/>
      <c r="X429" s="214"/>
    </row>
    <row r="430" spans="2:24" ht="10.95" customHeight="1" x14ac:dyDescent="0.25">
      <c r="B430" s="52"/>
      <c r="C430" s="166"/>
      <c r="D430" s="53"/>
      <c r="E430" s="155"/>
      <c r="F430" s="167" t="str">
        <f>_xlfn.IFNA(VLOOKUP(E428,'Data Kyu'!$A$6:$I$471,2,0),"")</f>
        <v/>
      </c>
      <c r="G430" s="168"/>
      <c r="H430" s="168"/>
      <c r="I430" s="168"/>
      <c r="J430" s="168"/>
      <c r="K430" s="169"/>
      <c r="L430" s="146"/>
      <c r="M430" s="147"/>
      <c r="N430" s="173" t="s">
        <v>6</v>
      </c>
      <c r="O430" s="159"/>
      <c r="P430" s="57"/>
      <c r="Q430" s="159" t="s">
        <v>7</v>
      </c>
      <c r="R430" s="159"/>
      <c r="S430" s="57"/>
      <c r="T430" s="159" t="s">
        <v>8</v>
      </c>
      <c r="U430" s="160"/>
      <c r="V430" s="175"/>
      <c r="X430" s="214"/>
    </row>
    <row r="431" spans="2:24" ht="10.95" customHeight="1" x14ac:dyDescent="0.25">
      <c r="B431" s="54"/>
      <c r="C431" s="76"/>
      <c r="D431" s="56"/>
      <c r="E431" s="156"/>
      <c r="F431" s="170"/>
      <c r="G431" s="171"/>
      <c r="H431" s="171"/>
      <c r="I431" s="171"/>
      <c r="J431" s="171"/>
      <c r="K431" s="172"/>
      <c r="L431" s="148"/>
      <c r="M431" s="144"/>
      <c r="N431" s="174"/>
      <c r="O431" s="161"/>
      <c r="P431" s="27"/>
      <c r="Q431" s="161"/>
      <c r="R431" s="161"/>
      <c r="S431" s="27"/>
      <c r="T431" s="161"/>
      <c r="U431" s="162"/>
      <c r="V431" s="176"/>
      <c r="X431" s="214"/>
    </row>
    <row r="432" spans="2:24" ht="10.95" customHeight="1" x14ac:dyDescent="0.25">
      <c r="B432" s="41"/>
      <c r="C432" s="77"/>
      <c r="D432" s="42"/>
      <c r="E432" s="154">
        <v>57</v>
      </c>
      <c r="F432" s="145" t="str">
        <f>_xlfn.IFNA(VLOOKUP(E432,'Data Kyu'!$A$6:$I$471,3,0),"")</f>
        <v/>
      </c>
      <c r="G432" s="142"/>
      <c r="H432" s="66"/>
      <c r="I432" s="66"/>
      <c r="J432" s="66"/>
      <c r="K432" s="66"/>
      <c r="L432" s="145" t="str">
        <f>_xlfn.IFNA(VLOOKUP(E432,'Data Kyu'!$A$6:$I$471,9,0),"")</f>
        <v/>
      </c>
      <c r="M432" s="142"/>
      <c r="N432" s="145" t="str">
        <f>_xlfn.IFNA(VLOOKUP(E432,'Data Kyu'!$A$6:$I$471,6,0),"")</f>
        <v/>
      </c>
      <c r="O432" s="141"/>
      <c r="P432" s="139" t="s">
        <v>5</v>
      </c>
      <c r="Q432" s="141" t="str">
        <f>_xlfn.IFNA(VLOOKUP(E432,'Data Kyu'!$A$6:$I$471,7,0),"")</f>
        <v/>
      </c>
      <c r="R432" s="141"/>
      <c r="S432" s="139" t="s">
        <v>5</v>
      </c>
      <c r="T432" s="141" t="str">
        <f>_xlfn.IFNA(VLOOKUP(E432,'Data Kyu'!$A$6:$I$471,8,0),"")</f>
        <v/>
      </c>
      <c r="U432" s="142"/>
      <c r="V432" s="142" t="str">
        <f>_xlfn.IFNA(VLOOKUP(E432,'Data Kyu'!$A$6:$I$471,4,0),"")</f>
        <v/>
      </c>
      <c r="X432" s="214" t="str">
        <f>_xlfn.IFNA(VLOOKUP(F432,'Data Kyu'!$C$6:$N$997,12,0),"No Data")</f>
        <v>No Data</v>
      </c>
    </row>
    <row r="433" spans="2:24" ht="10.95" customHeight="1" x14ac:dyDescent="0.25">
      <c r="B433" s="52"/>
      <c r="C433" s="165" t="str">
        <f>IF(X432="LULUS","V","")</f>
        <v/>
      </c>
      <c r="D433" s="53"/>
      <c r="E433" s="155"/>
      <c r="F433" s="148"/>
      <c r="G433" s="144"/>
      <c r="H433" s="67"/>
      <c r="I433" s="67"/>
      <c r="J433" s="67"/>
      <c r="K433" s="67"/>
      <c r="L433" s="146"/>
      <c r="M433" s="147"/>
      <c r="N433" s="148"/>
      <c r="O433" s="143"/>
      <c r="P433" s="140"/>
      <c r="Q433" s="143"/>
      <c r="R433" s="143"/>
      <c r="S433" s="140"/>
      <c r="T433" s="143"/>
      <c r="U433" s="144"/>
      <c r="V433" s="147"/>
      <c r="X433" s="214"/>
    </row>
    <row r="434" spans="2:24" ht="10.95" customHeight="1" x14ac:dyDescent="0.25">
      <c r="B434" s="52"/>
      <c r="C434" s="166"/>
      <c r="D434" s="53"/>
      <c r="E434" s="155"/>
      <c r="F434" s="167" t="str">
        <f>_xlfn.IFNA(VLOOKUP(E432,'Data Kyu'!$A$6:$I$471,2,0),"")</f>
        <v/>
      </c>
      <c r="G434" s="168"/>
      <c r="H434" s="168"/>
      <c r="I434" s="168"/>
      <c r="J434" s="168"/>
      <c r="K434" s="169"/>
      <c r="L434" s="146"/>
      <c r="M434" s="147"/>
      <c r="N434" s="173" t="s">
        <v>6</v>
      </c>
      <c r="O434" s="159"/>
      <c r="P434" s="57"/>
      <c r="Q434" s="159" t="s">
        <v>7</v>
      </c>
      <c r="R434" s="159"/>
      <c r="S434" s="57"/>
      <c r="T434" s="159" t="s">
        <v>8</v>
      </c>
      <c r="U434" s="160"/>
      <c r="V434" s="175"/>
      <c r="X434" s="214"/>
    </row>
    <row r="435" spans="2:24" ht="10.95" customHeight="1" x14ac:dyDescent="0.25">
      <c r="B435" s="54"/>
      <c r="C435" s="76"/>
      <c r="D435" s="56"/>
      <c r="E435" s="156"/>
      <c r="F435" s="170"/>
      <c r="G435" s="171"/>
      <c r="H435" s="171"/>
      <c r="I435" s="171"/>
      <c r="J435" s="171"/>
      <c r="K435" s="172"/>
      <c r="L435" s="148"/>
      <c r="M435" s="144"/>
      <c r="N435" s="174"/>
      <c r="O435" s="161"/>
      <c r="P435" s="27"/>
      <c r="Q435" s="161"/>
      <c r="R435" s="161"/>
      <c r="S435" s="27"/>
      <c r="T435" s="161"/>
      <c r="U435" s="162"/>
      <c r="V435" s="176"/>
      <c r="X435" s="214"/>
    </row>
    <row r="436" spans="2:24" ht="10.95" customHeight="1" x14ac:dyDescent="0.25">
      <c r="B436" s="41"/>
      <c r="C436" s="77"/>
      <c r="D436" s="42"/>
      <c r="E436" s="154">
        <v>58</v>
      </c>
      <c r="F436" s="145" t="str">
        <f>_xlfn.IFNA(VLOOKUP(E436,'Data Kyu'!$A$6:$I$471,3,0),"")</f>
        <v/>
      </c>
      <c r="G436" s="142"/>
      <c r="H436" s="66"/>
      <c r="I436" s="66"/>
      <c r="J436" s="66"/>
      <c r="K436" s="66"/>
      <c r="L436" s="145" t="str">
        <f>_xlfn.IFNA(VLOOKUP(E436,'Data Kyu'!$A$6:$I$471,9,0),"")</f>
        <v/>
      </c>
      <c r="M436" s="142"/>
      <c r="N436" s="145" t="str">
        <f>_xlfn.IFNA(VLOOKUP(E436,'Data Kyu'!$A$6:$I$471,6,0),"")</f>
        <v/>
      </c>
      <c r="O436" s="141"/>
      <c r="P436" s="139" t="s">
        <v>5</v>
      </c>
      <c r="Q436" s="141" t="str">
        <f>_xlfn.IFNA(VLOOKUP(E436,'Data Kyu'!$A$6:$I$471,7,0),"")</f>
        <v/>
      </c>
      <c r="R436" s="141"/>
      <c r="S436" s="139" t="s">
        <v>5</v>
      </c>
      <c r="T436" s="141" t="str">
        <f>_xlfn.IFNA(VLOOKUP(E436,'Data Kyu'!$A$6:$I$471,8,0),"")</f>
        <v/>
      </c>
      <c r="U436" s="142"/>
      <c r="V436" s="142" t="str">
        <f>_xlfn.IFNA(VLOOKUP(E436,'Data Kyu'!$A$6:$I$471,4,0),"")</f>
        <v/>
      </c>
      <c r="X436" s="214" t="str">
        <f>_xlfn.IFNA(VLOOKUP(F436,'Data Kyu'!$C$6:$N$997,12,0),"No Data")</f>
        <v>No Data</v>
      </c>
    </row>
    <row r="437" spans="2:24" ht="10.95" customHeight="1" x14ac:dyDescent="0.25">
      <c r="B437" s="52"/>
      <c r="C437" s="165" t="str">
        <f>IF(X436="LULUS","V","")</f>
        <v/>
      </c>
      <c r="D437" s="53"/>
      <c r="E437" s="155"/>
      <c r="F437" s="148"/>
      <c r="G437" s="144"/>
      <c r="H437" s="67"/>
      <c r="I437" s="67"/>
      <c r="J437" s="67"/>
      <c r="K437" s="67"/>
      <c r="L437" s="146"/>
      <c r="M437" s="147"/>
      <c r="N437" s="148"/>
      <c r="O437" s="143"/>
      <c r="P437" s="140"/>
      <c r="Q437" s="143"/>
      <c r="R437" s="143"/>
      <c r="S437" s="140"/>
      <c r="T437" s="143"/>
      <c r="U437" s="144"/>
      <c r="V437" s="147"/>
      <c r="X437" s="214"/>
    </row>
    <row r="438" spans="2:24" ht="10.95" customHeight="1" x14ac:dyDescent="0.25">
      <c r="B438" s="52"/>
      <c r="C438" s="166"/>
      <c r="D438" s="53"/>
      <c r="E438" s="155"/>
      <c r="F438" s="167" t="str">
        <f>_xlfn.IFNA(VLOOKUP(E436,'Data Kyu'!$A$6:$I$471,2,0),"")</f>
        <v/>
      </c>
      <c r="G438" s="168"/>
      <c r="H438" s="168"/>
      <c r="I438" s="168"/>
      <c r="J438" s="168"/>
      <c r="K438" s="169"/>
      <c r="L438" s="146"/>
      <c r="M438" s="147"/>
      <c r="N438" s="173" t="s">
        <v>6</v>
      </c>
      <c r="O438" s="159"/>
      <c r="P438" s="57"/>
      <c r="Q438" s="159" t="s">
        <v>7</v>
      </c>
      <c r="R438" s="159"/>
      <c r="S438" s="57"/>
      <c r="T438" s="159" t="s">
        <v>8</v>
      </c>
      <c r="U438" s="160"/>
      <c r="V438" s="175"/>
      <c r="X438" s="214"/>
    </row>
    <row r="439" spans="2:24" ht="10.95" customHeight="1" x14ac:dyDescent="0.25">
      <c r="B439" s="54"/>
      <c r="C439" s="76"/>
      <c r="D439" s="56"/>
      <c r="E439" s="156"/>
      <c r="F439" s="170"/>
      <c r="G439" s="171"/>
      <c r="H439" s="171"/>
      <c r="I439" s="171"/>
      <c r="J439" s="171"/>
      <c r="K439" s="172"/>
      <c r="L439" s="148"/>
      <c r="M439" s="144"/>
      <c r="N439" s="174"/>
      <c r="O439" s="161"/>
      <c r="P439" s="27"/>
      <c r="Q439" s="161"/>
      <c r="R439" s="161"/>
      <c r="S439" s="27"/>
      <c r="T439" s="161"/>
      <c r="U439" s="162"/>
      <c r="V439" s="176"/>
      <c r="X439" s="214"/>
    </row>
    <row r="440" spans="2:24" ht="10.95" customHeight="1" x14ac:dyDescent="0.25">
      <c r="B440" s="41"/>
      <c r="C440" s="77"/>
      <c r="D440" s="42"/>
      <c r="E440" s="154">
        <v>59</v>
      </c>
      <c r="F440" s="145" t="str">
        <f>_xlfn.IFNA(VLOOKUP(E440,'Data Kyu'!$A$6:$I$471,3,0),"")</f>
        <v/>
      </c>
      <c r="G440" s="142"/>
      <c r="H440" s="66"/>
      <c r="I440" s="66"/>
      <c r="J440" s="66"/>
      <c r="K440" s="66"/>
      <c r="L440" s="145" t="str">
        <f>_xlfn.IFNA(VLOOKUP(E440,'Data Kyu'!$A$6:$I$471,9,0),"")</f>
        <v/>
      </c>
      <c r="M440" s="142"/>
      <c r="N440" s="145" t="str">
        <f>_xlfn.IFNA(VLOOKUP(E440,'Data Kyu'!$A$6:$I$471,6,0),"")</f>
        <v/>
      </c>
      <c r="O440" s="141"/>
      <c r="P440" s="139" t="s">
        <v>5</v>
      </c>
      <c r="Q440" s="141" t="str">
        <f>_xlfn.IFNA(VLOOKUP(E440,'Data Kyu'!$A$6:$I$471,7,0),"")</f>
        <v/>
      </c>
      <c r="R440" s="141"/>
      <c r="S440" s="139" t="s">
        <v>5</v>
      </c>
      <c r="T440" s="141" t="str">
        <f>_xlfn.IFNA(VLOOKUP(E440,'Data Kyu'!$A$6:$I$471,8,0),"")</f>
        <v/>
      </c>
      <c r="U440" s="142"/>
      <c r="V440" s="142" t="str">
        <f>_xlfn.IFNA(VLOOKUP(E440,'Data Kyu'!$A$6:$I$471,4,0),"")</f>
        <v/>
      </c>
      <c r="X440" s="214" t="str">
        <f>_xlfn.IFNA(VLOOKUP(F440,'Data Kyu'!$C$6:$N$997,12,0),"No Data")</f>
        <v>No Data</v>
      </c>
    </row>
    <row r="441" spans="2:24" ht="10.95" customHeight="1" x14ac:dyDescent="0.25">
      <c r="B441" s="52"/>
      <c r="C441" s="165" t="str">
        <f>IF(X440="LULUS","V","")</f>
        <v/>
      </c>
      <c r="D441" s="53"/>
      <c r="E441" s="155"/>
      <c r="F441" s="148"/>
      <c r="G441" s="144"/>
      <c r="H441" s="67"/>
      <c r="I441" s="67"/>
      <c r="J441" s="67"/>
      <c r="K441" s="67"/>
      <c r="L441" s="146"/>
      <c r="M441" s="147"/>
      <c r="N441" s="148"/>
      <c r="O441" s="143"/>
      <c r="P441" s="140"/>
      <c r="Q441" s="143"/>
      <c r="R441" s="143"/>
      <c r="S441" s="140"/>
      <c r="T441" s="143"/>
      <c r="U441" s="144"/>
      <c r="V441" s="147"/>
      <c r="X441" s="214"/>
    </row>
    <row r="442" spans="2:24" ht="10.95" customHeight="1" x14ac:dyDescent="0.25">
      <c r="B442" s="52"/>
      <c r="C442" s="166"/>
      <c r="D442" s="53"/>
      <c r="E442" s="155"/>
      <c r="F442" s="167" t="str">
        <f>_xlfn.IFNA(VLOOKUP(E440,'Data Kyu'!$A$6:$I$471,2,0),"")</f>
        <v/>
      </c>
      <c r="G442" s="168"/>
      <c r="H442" s="168"/>
      <c r="I442" s="168"/>
      <c r="J442" s="168"/>
      <c r="K442" s="169"/>
      <c r="L442" s="146"/>
      <c r="M442" s="147"/>
      <c r="N442" s="173" t="s">
        <v>6</v>
      </c>
      <c r="O442" s="159"/>
      <c r="P442" s="57"/>
      <c r="Q442" s="159" t="s">
        <v>7</v>
      </c>
      <c r="R442" s="159"/>
      <c r="S442" s="57"/>
      <c r="T442" s="159" t="s">
        <v>8</v>
      </c>
      <c r="U442" s="160"/>
      <c r="V442" s="175"/>
      <c r="X442" s="214"/>
    </row>
    <row r="443" spans="2:24" ht="10.95" customHeight="1" x14ac:dyDescent="0.25">
      <c r="B443" s="54"/>
      <c r="C443" s="76"/>
      <c r="D443" s="56"/>
      <c r="E443" s="156"/>
      <c r="F443" s="170"/>
      <c r="G443" s="171"/>
      <c r="H443" s="171"/>
      <c r="I443" s="171"/>
      <c r="J443" s="171"/>
      <c r="K443" s="172"/>
      <c r="L443" s="148"/>
      <c r="M443" s="144"/>
      <c r="N443" s="174"/>
      <c r="O443" s="161"/>
      <c r="P443" s="27"/>
      <c r="Q443" s="161"/>
      <c r="R443" s="161"/>
      <c r="S443" s="27"/>
      <c r="T443" s="161"/>
      <c r="U443" s="162"/>
      <c r="V443" s="176"/>
      <c r="X443" s="214"/>
    </row>
    <row r="444" spans="2:24" ht="10.95" customHeight="1" x14ac:dyDescent="0.25">
      <c r="B444" s="41"/>
      <c r="C444" s="77"/>
      <c r="D444" s="42"/>
      <c r="E444" s="154">
        <v>60</v>
      </c>
      <c r="F444" s="145" t="str">
        <f>_xlfn.IFNA(VLOOKUP(E444,'Data Kyu'!$A$6:$I$471,3,0),"")</f>
        <v/>
      </c>
      <c r="G444" s="142"/>
      <c r="H444" s="66"/>
      <c r="I444" s="66"/>
      <c r="J444" s="66"/>
      <c r="K444" s="66"/>
      <c r="L444" s="145" t="str">
        <f>_xlfn.IFNA(VLOOKUP(E444,'Data Kyu'!$A$6:$I$471,9,0),"")</f>
        <v/>
      </c>
      <c r="M444" s="142"/>
      <c r="N444" s="145" t="str">
        <f>_xlfn.IFNA(VLOOKUP(E444,'Data Kyu'!$A$6:$I$471,6,0),"")</f>
        <v/>
      </c>
      <c r="O444" s="141"/>
      <c r="P444" s="139" t="s">
        <v>5</v>
      </c>
      <c r="Q444" s="141" t="str">
        <f>_xlfn.IFNA(VLOOKUP(E444,'Data Kyu'!$A$6:$I$471,7,0),"")</f>
        <v/>
      </c>
      <c r="R444" s="141"/>
      <c r="S444" s="139" t="s">
        <v>5</v>
      </c>
      <c r="T444" s="141" t="str">
        <f>_xlfn.IFNA(VLOOKUP(E444,'Data Kyu'!$A$6:$I$471,8,0),"")</f>
        <v/>
      </c>
      <c r="U444" s="142"/>
      <c r="V444" s="142" t="str">
        <f>_xlfn.IFNA(VLOOKUP(E444,'Data Kyu'!$A$6:$I$471,4,0),"")</f>
        <v/>
      </c>
      <c r="X444" s="214" t="str">
        <f>_xlfn.IFNA(VLOOKUP(F444,'Data Kyu'!$C$6:$N$997,12,0),"No Data")</f>
        <v>No Data</v>
      </c>
    </row>
    <row r="445" spans="2:24" ht="10.95" customHeight="1" x14ac:dyDescent="0.25">
      <c r="B445" s="52"/>
      <c r="C445" s="165" t="str">
        <f>IF(X444="LULUS","V","")</f>
        <v/>
      </c>
      <c r="D445" s="53"/>
      <c r="E445" s="155"/>
      <c r="F445" s="148"/>
      <c r="G445" s="144"/>
      <c r="H445" s="67"/>
      <c r="I445" s="67"/>
      <c r="J445" s="67"/>
      <c r="K445" s="67"/>
      <c r="L445" s="146"/>
      <c r="M445" s="147"/>
      <c r="N445" s="148"/>
      <c r="O445" s="143"/>
      <c r="P445" s="140"/>
      <c r="Q445" s="143"/>
      <c r="R445" s="143"/>
      <c r="S445" s="140"/>
      <c r="T445" s="143"/>
      <c r="U445" s="144"/>
      <c r="V445" s="147"/>
      <c r="X445" s="214"/>
    </row>
    <row r="446" spans="2:24" ht="10.95" customHeight="1" x14ac:dyDescent="0.25">
      <c r="B446" s="52"/>
      <c r="C446" s="166"/>
      <c r="D446" s="53"/>
      <c r="E446" s="155"/>
      <c r="F446" s="167" t="str">
        <f>_xlfn.IFNA(VLOOKUP(E444,'Data Kyu'!$A$6:$I$471,2,0),"")</f>
        <v/>
      </c>
      <c r="G446" s="168"/>
      <c r="H446" s="168"/>
      <c r="I446" s="168"/>
      <c r="J446" s="168"/>
      <c r="K446" s="169"/>
      <c r="L446" s="146"/>
      <c r="M446" s="147"/>
      <c r="N446" s="173" t="s">
        <v>6</v>
      </c>
      <c r="O446" s="159"/>
      <c r="P446" s="57"/>
      <c r="Q446" s="159" t="s">
        <v>7</v>
      </c>
      <c r="R446" s="159"/>
      <c r="S446" s="57"/>
      <c r="T446" s="159" t="s">
        <v>8</v>
      </c>
      <c r="U446" s="160"/>
      <c r="V446" s="175"/>
      <c r="X446" s="214"/>
    </row>
    <row r="447" spans="2:24" ht="10.95" customHeight="1" x14ac:dyDescent="0.25">
      <c r="B447" s="54"/>
      <c r="C447" s="55"/>
      <c r="D447" s="56"/>
      <c r="E447" s="156"/>
      <c r="F447" s="170"/>
      <c r="G447" s="171"/>
      <c r="H447" s="171"/>
      <c r="I447" s="171"/>
      <c r="J447" s="171"/>
      <c r="K447" s="172"/>
      <c r="L447" s="148"/>
      <c r="M447" s="144"/>
      <c r="N447" s="174"/>
      <c r="O447" s="161"/>
      <c r="P447" s="27"/>
      <c r="Q447" s="161"/>
      <c r="R447" s="161"/>
      <c r="S447" s="27"/>
      <c r="T447" s="161"/>
      <c r="U447" s="162"/>
      <c r="V447" s="176"/>
      <c r="X447" s="214"/>
    </row>
    <row r="448" spans="2:24" ht="7.5" customHeight="1" x14ac:dyDescent="0.25"/>
    <row r="449" spans="2:24" s="34" customFormat="1" x14ac:dyDescent="0.25">
      <c r="E449" s="35" t="s">
        <v>30</v>
      </c>
      <c r="K449" s="35" t="s">
        <v>28</v>
      </c>
    </row>
    <row r="450" spans="2:24" x14ac:dyDescent="0.25">
      <c r="E450" s="33" t="s">
        <v>31</v>
      </c>
      <c r="F450" s="149"/>
      <c r="G450" s="149"/>
      <c r="H450" s="149"/>
      <c r="I450" s="149"/>
      <c r="J450" s="149"/>
      <c r="K450" s="33" t="s">
        <v>29</v>
      </c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</row>
    <row r="451" spans="2:24" ht="6.75" customHeight="1" x14ac:dyDescent="0.25">
      <c r="F451" s="34"/>
      <c r="G451" s="34"/>
      <c r="H451" s="34"/>
      <c r="I451" s="34"/>
      <c r="J451" s="34"/>
    </row>
    <row r="452" spans="2:24" s="34" customFormat="1" x14ac:dyDescent="0.25">
      <c r="E452" s="35" t="s">
        <v>32</v>
      </c>
      <c r="K452" s="35" t="s">
        <v>36</v>
      </c>
    </row>
    <row r="453" spans="2:24" x14ac:dyDescent="0.25">
      <c r="E453" s="33" t="s">
        <v>33</v>
      </c>
      <c r="F453" s="149"/>
      <c r="G453" s="149"/>
      <c r="H453" s="149"/>
      <c r="I453" s="149"/>
      <c r="J453" s="149"/>
      <c r="K453" s="33" t="s">
        <v>29</v>
      </c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</row>
    <row r="454" spans="2:24" ht="6.75" customHeight="1" x14ac:dyDescent="0.25">
      <c r="F454" s="34"/>
      <c r="G454" s="34"/>
      <c r="H454" s="34"/>
      <c r="I454" s="34"/>
      <c r="J454" s="34"/>
    </row>
    <row r="455" spans="2:24" s="34" customFormat="1" ht="13.8" customHeight="1" x14ac:dyDescent="0.25">
      <c r="E455" s="35" t="s">
        <v>34</v>
      </c>
      <c r="F455" s="177" t="str">
        <f>IF(F408&lt;&gt;"",$F$65,"")</f>
        <v/>
      </c>
      <c r="G455" s="177"/>
      <c r="H455" s="177"/>
      <c r="I455" s="177"/>
      <c r="J455" s="177"/>
      <c r="K455" s="35" t="s">
        <v>28</v>
      </c>
      <c r="X455" s="70" t="s">
        <v>107</v>
      </c>
    </row>
    <row r="456" spans="2:24" ht="13.2" customHeight="1" x14ac:dyDescent="0.25">
      <c r="E456" s="33" t="s">
        <v>35</v>
      </c>
      <c r="F456" s="178"/>
      <c r="G456" s="178"/>
      <c r="H456" s="178"/>
      <c r="I456" s="178"/>
      <c r="J456" s="178"/>
      <c r="K456" s="33" t="s">
        <v>29</v>
      </c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X456" s="70" t="s">
        <v>105</v>
      </c>
    </row>
    <row r="457" spans="2:24" ht="12.75" customHeight="1" thickBot="1" x14ac:dyDescent="0.3"/>
    <row r="458" spans="2:24" ht="13.8" thickTop="1" x14ac:dyDescent="0.25">
      <c r="B458" s="34" t="s">
        <v>37</v>
      </c>
      <c r="C458" s="34"/>
      <c r="D458" s="34"/>
      <c r="H458" s="150" t="s">
        <v>40</v>
      </c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</row>
    <row r="459" spans="2:24" x14ac:dyDescent="0.25">
      <c r="B459" s="34" t="s">
        <v>38</v>
      </c>
      <c r="C459" s="34"/>
      <c r="D459" s="34"/>
      <c r="H459" s="152"/>
      <c r="I459" s="153"/>
      <c r="J459" s="153"/>
      <c r="K459" s="153"/>
      <c r="L459" s="153"/>
      <c r="M459" s="153"/>
      <c r="N459" s="153"/>
      <c r="O459" s="153"/>
      <c r="P459" s="153"/>
      <c r="Q459" s="153"/>
      <c r="R459" s="153"/>
      <c r="S459" s="153"/>
      <c r="T459" s="153"/>
      <c r="U459" s="153"/>
      <c r="V459" s="153"/>
    </row>
    <row r="460" spans="2:24" ht="12.75" customHeight="1" x14ac:dyDescent="0.25">
      <c r="B460" s="163" t="s">
        <v>39</v>
      </c>
      <c r="C460" s="163"/>
      <c r="D460" s="163"/>
      <c r="E460" s="163"/>
      <c r="F460" s="163"/>
      <c r="H460" s="37" t="s">
        <v>41</v>
      </c>
    </row>
    <row r="461" spans="2:24" ht="13.8" x14ac:dyDescent="0.25">
      <c r="B461" s="163"/>
      <c r="C461" s="163"/>
      <c r="D461" s="163"/>
      <c r="E461" s="163"/>
      <c r="F461" s="163"/>
      <c r="H461" s="38" t="s">
        <v>42</v>
      </c>
    </row>
    <row r="462" spans="2:24" x14ac:dyDescent="0.25">
      <c r="B462" s="163"/>
      <c r="C462" s="163"/>
      <c r="D462" s="163"/>
      <c r="E462" s="163"/>
      <c r="F462" s="163"/>
      <c r="H462" s="36"/>
    </row>
    <row r="463" spans="2:24" x14ac:dyDescent="0.25">
      <c r="B463" s="163"/>
      <c r="C463" s="163"/>
      <c r="D463" s="163"/>
      <c r="E463" s="163"/>
      <c r="F463" s="163"/>
      <c r="H463" s="36"/>
    </row>
    <row r="464" spans="2:24" x14ac:dyDescent="0.25">
      <c r="H464" s="36"/>
    </row>
    <row r="465" spans="2:24" x14ac:dyDescent="0.25">
      <c r="H465" s="36"/>
    </row>
    <row r="466" spans="2:24" x14ac:dyDescent="0.25">
      <c r="H466" s="36"/>
    </row>
    <row r="467" spans="2:24" x14ac:dyDescent="0.25">
      <c r="H467" s="36"/>
    </row>
    <row r="468" spans="2:24" ht="13.8" x14ac:dyDescent="0.25">
      <c r="H468" s="157" t="str">
        <f>IF(F408&lt;&gt;"",$H$78,"")</f>
        <v/>
      </c>
      <c r="I468" s="158"/>
      <c r="J468" s="158"/>
      <c r="K468" s="158"/>
      <c r="L468" s="158"/>
      <c r="M468" s="158"/>
      <c r="N468" s="158"/>
      <c r="O468" s="158"/>
      <c r="P468" s="158"/>
      <c r="Q468" s="158"/>
      <c r="R468" s="158"/>
      <c r="S468" s="158"/>
      <c r="T468" s="158"/>
      <c r="U468" s="158"/>
      <c r="V468" s="158"/>
    </row>
    <row r="469" spans="2:24" x14ac:dyDescent="0.25">
      <c r="H469" s="36"/>
    </row>
    <row r="470" spans="2:24" ht="28.5" customHeight="1" x14ac:dyDescent="0.3">
      <c r="B470" s="193" t="s">
        <v>43</v>
      </c>
      <c r="C470" s="193"/>
      <c r="D470" s="193"/>
      <c r="E470" s="194"/>
      <c r="F470" s="194"/>
      <c r="G470" s="194"/>
      <c r="H470" s="194"/>
      <c r="I470" s="2"/>
      <c r="J470" s="2"/>
      <c r="K470" s="13" t="s">
        <v>25</v>
      </c>
      <c r="L470" s="195" t="s">
        <v>14</v>
      </c>
      <c r="M470" s="196"/>
      <c r="N470" s="196"/>
      <c r="O470" s="196"/>
      <c r="P470" s="196"/>
      <c r="Q470" s="196"/>
      <c r="R470" s="196"/>
      <c r="S470" s="196"/>
      <c r="T470" s="196"/>
      <c r="U470" s="196"/>
      <c r="V470" s="197"/>
      <c r="X470" s="1"/>
    </row>
    <row r="471" spans="2:24" ht="26.25" customHeight="1" x14ac:dyDescent="0.4">
      <c r="B471" s="39" t="s">
        <v>44</v>
      </c>
      <c r="C471" s="39"/>
      <c r="D471" s="39"/>
      <c r="E471" s="2"/>
      <c r="F471" s="2"/>
      <c r="G471" s="2"/>
      <c r="H471" s="2"/>
      <c r="I471" s="2"/>
      <c r="J471" s="2"/>
      <c r="K471" s="29" t="s">
        <v>13</v>
      </c>
      <c r="L471" s="15">
        <v>4</v>
      </c>
      <c r="M471" s="16">
        <v>1</v>
      </c>
      <c r="N471" s="15">
        <v>0</v>
      </c>
      <c r="O471" s="198">
        <v>0</v>
      </c>
      <c r="P471" s="199"/>
      <c r="Q471" s="14">
        <v>0</v>
      </c>
      <c r="R471" s="200">
        <v>1</v>
      </c>
      <c r="S471" s="201"/>
      <c r="T471" s="6"/>
      <c r="U471" s="6"/>
      <c r="V471" s="7"/>
      <c r="X471" s="1"/>
    </row>
    <row r="472" spans="2:24" ht="21" customHeight="1" x14ac:dyDescent="0.25">
      <c r="B472" s="26" t="s">
        <v>45</v>
      </c>
      <c r="C472" s="26"/>
      <c r="D472" s="26"/>
      <c r="E472" s="25"/>
      <c r="F472" s="25"/>
      <c r="G472" s="25"/>
      <c r="H472" s="25"/>
      <c r="I472" s="25"/>
      <c r="J472" s="25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X472" s="1"/>
    </row>
    <row r="473" spans="2:24" ht="13.5" customHeight="1" x14ac:dyDescent="0.25">
      <c r="B473" s="40" t="s">
        <v>24</v>
      </c>
      <c r="C473" s="40"/>
      <c r="D473" s="40"/>
      <c r="E473" s="25"/>
      <c r="F473" s="25"/>
      <c r="G473" s="25"/>
      <c r="H473" s="25"/>
      <c r="I473" s="25"/>
      <c r="J473" s="25"/>
      <c r="K473" s="28" t="s">
        <v>6</v>
      </c>
      <c r="L473" s="202" t="str">
        <f>IF(F486&lt;&gt;"",$L$5,"")</f>
        <v/>
      </c>
      <c r="M473" s="203"/>
      <c r="N473" s="204" t="s">
        <v>15</v>
      </c>
      <c r="O473" s="204"/>
      <c r="P473" s="204"/>
      <c r="Q473" s="205" t="str">
        <f>IF(F486&lt;&gt;"",$Q$5,"")</f>
        <v/>
      </c>
      <c r="R473" s="206"/>
      <c r="S473" s="207" t="s">
        <v>16</v>
      </c>
      <c r="T473" s="204"/>
      <c r="U473" s="82" t="str">
        <f>IF(F486&lt;&gt;"",$U$5,"")</f>
        <v/>
      </c>
      <c r="V473" s="63"/>
      <c r="X473" s="1"/>
    </row>
    <row r="474" spans="2:24" ht="8.25" customHeight="1" x14ac:dyDescent="0.25"/>
    <row r="475" spans="2:24" ht="11.25" customHeight="1" x14ac:dyDescent="0.25">
      <c r="B475" s="24" t="s">
        <v>17</v>
      </c>
      <c r="C475" s="24"/>
      <c r="D475" s="24"/>
    </row>
    <row r="476" spans="2:24" ht="11.25" customHeight="1" x14ac:dyDescent="0.25">
      <c r="B476" s="8" t="s">
        <v>18</v>
      </c>
      <c r="C476" s="8"/>
      <c r="D476" s="8"/>
    </row>
    <row r="477" spans="2:24" ht="5.25" customHeight="1" x14ac:dyDescent="0.25">
      <c r="B477" s="8"/>
      <c r="C477" s="8"/>
      <c r="D477" s="8"/>
    </row>
    <row r="478" spans="2:24" x14ac:dyDescent="0.25">
      <c r="B478" s="179" t="s">
        <v>19</v>
      </c>
      <c r="C478" s="179"/>
      <c r="D478" s="179"/>
      <c r="E478" s="179"/>
      <c r="F478" s="179"/>
      <c r="G478" s="18" t="s">
        <v>6</v>
      </c>
      <c r="H478" s="64" t="str">
        <f>IF(F486&lt;&gt;"",$H$10,"")</f>
        <v/>
      </c>
      <c r="I478" s="9" t="s">
        <v>15</v>
      </c>
      <c r="J478" s="83" t="str">
        <f>IF(F486&lt;&gt;"",$J$10,"")</f>
        <v/>
      </c>
      <c r="K478" s="9" t="s">
        <v>16</v>
      </c>
      <c r="L478" s="180" t="str">
        <f>IF(F486&lt;&gt;"",$L$10,"")</f>
        <v/>
      </c>
      <c r="M478" s="181"/>
      <c r="X478" s="32"/>
    </row>
    <row r="479" spans="2:24" ht="5.25" customHeight="1" x14ac:dyDescent="0.25">
      <c r="B479" s="8"/>
      <c r="C479" s="8"/>
      <c r="D479" s="8"/>
      <c r="E479" s="8"/>
      <c r="F479" s="8"/>
      <c r="G479" s="19"/>
      <c r="H479" s="20"/>
      <c r="I479" s="21"/>
      <c r="J479" s="20"/>
      <c r="K479" s="10"/>
      <c r="L479" s="22"/>
      <c r="X479" s="32"/>
    </row>
    <row r="480" spans="2:24" s="73" customFormat="1" ht="14.4" customHeight="1" x14ac:dyDescent="0.25">
      <c r="B480" s="72" t="s">
        <v>20</v>
      </c>
      <c r="C480" s="72"/>
      <c r="D480" s="72"/>
      <c r="X480" s="74"/>
    </row>
    <row r="481" spans="2:24" s="73" customFormat="1" ht="14.4" customHeight="1" x14ac:dyDescent="0.25">
      <c r="B481" s="75" t="s">
        <v>21</v>
      </c>
      <c r="C481" s="10"/>
      <c r="D481" s="10"/>
      <c r="E481" s="22" t="s">
        <v>22</v>
      </c>
      <c r="X481" s="74"/>
    </row>
    <row r="482" spans="2:24" s="73" customFormat="1" ht="14.4" customHeight="1" x14ac:dyDescent="0.25">
      <c r="B482" s="22"/>
      <c r="C482" s="22"/>
      <c r="D482" s="22"/>
      <c r="E482" s="22" t="s">
        <v>23</v>
      </c>
      <c r="X482" s="164" t="s">
        <v>102</v>
      </c>
    </row>
    <row r="483" spans="2:24" ht="7.5" customHeight="1" x14ac:dyDescent="0.25">
      <c r="B483" s="8"/>
      <c r="C483" s="8"/>
      <c r="D483" s="8"/>
      <c r="X483" s="164"/>
    </row>
    <row r="484" spans="2:24" ht="17.25" customHeight="1" x14ac:dyDescent="0.25">
      <c r="B484" s="182"/>
      <c r="C484" s="59"/>
      <c r="D484" s="60"/>
      <c r="E484" s="184" t="s">
        <v>0</v>
      </c>
      <c r="F484" s="186" t="s">
        <v>1</v>
      </c>
      <c r="G484" s="187"/>
      <c r="H484" s="4"/>
      <c r="I484" s="4"/>
      <c r="J484" s="4"/>
      <c r="K484" s="5"/>
      <c r="L484" s="145" t="s">
        <v>3</v>
      </c>
      <c r="M484" s="142"/>
      <c r="N484" s="188" t="s">
        <v>10</v>
      </c>
      <c r="O484" s="188"/>
      <c r="P484" s="188"/>
      <c r="Q484" s="188"/>
      <c r="R484" s="188"/>
      <c r="S484" s="188"/>
      <c r="T484" s="188"/>
      <c r="U484" s="189"/>
      <c r="V484" s="3" t="s">
        <v>12</v>
      </c>
      <c r="X484" s="68" t="s">
        <v>200</v>
      </c>
    </row>
    <row r="485" spans="2:24" ht="17.25" customHeight="1" x14ac:dyDescent="0.25">
      <c r="B485" s="183"/>
      <c r="C485" s="61"/>
      <c r="D485" s="62"/>
      <c r="E485" s="185"/>
      <c r="F485" s="30" t="s">
        <v>2</v>
      </c>
      <c r="G485" s="17"/>
      <c r="H485" s="6"/>
      <c r="I485" s="6"/>
      <c r="J485" s="6"/>
      <c r="K485" s="7"/>
      <c r="L485" s="190" t="s">
        <v>4</v>
      </c>
      <c r="M485" s="191"/>
      <c r="N485" s="192" t="s">
        <v>9</v>
      </c>
      <c r="O485" s="192"/>
      <c r="P485" s="192"/>
      <c r="Q485" s="192"/>
      <c r="R485" s="192"/>
      <c r="S485" s="192"/>
      <c r="T485" s="192"/>
      <c r="U485" s="191"/>
      <c r="V485" s="31" t="s">
        <v>11</v>
      </c>
      <c r="X485" s="69"/>
    </row>
    <row r="486" spans="2:24" ht="10.95" customHeight="1" x14ac:dyDescent="0.25">
      <c r="B486" s="41"/>
      <c r="C486" s="51"/>
      <c r="D486" s="42"/>
      <c r="E486" s="154">
        <v>61</v>
      </c>
      <c r="F486" s="145" t="str">
        <f>_xlfn.IFNA(VLOOKUP(E486,'Data Kyu'!$A$6:$I$471,3,0),"")</f>
        <v/>
      </c>
      <c r="G486" s="142"/>
      <c r="H486" s="66"/>
      <c r="I486" s="66"/>
      <c r="J486" s="66"/>
      <c r="K486" s="66"/>
      <c r="L486" s="145" t="str">
        <f>_xlfn.IFNA(VLOOKUP(E486,'Data Kyu'!$A$6:$I$471,9,0),"")</f>
        <v/>
      </c>
      <c r="M486" s="142"/>
      <c r="N486" s="145" t="str">
        <f>_xlfn.IFNA(VLOOKUP(E486,'Data Kyu'!$A$6:$I$471,6,0),"")</f>
        <v/>
      </c>
      <c r="O486" s="141"/>
      <c r="P486" s="139" t="s">
        <v>5</v>
      </c>
      <c r="Q486" s="141" t="str">
        <f>_xlfn.IFNA(VLOOKUP(E486,'Data Kyu'!$A$6:$I$471,7,0),"")</f>
        <v/>
      </c>
      <c r="R486" s="141"/>
      <c r="S486" s="139" t="s">
        <v>5</v>
      </c>
      <c r="T486" s="141" t="str">
        <f>_xlfn.IFNA(VLOOKUP(E486,'Data Kyu'!$A$6:$I$471,8,0),"")</f>
        <v/>
      </c>
      <c r="U486" s="142"/>
      <c r="V486" s="142" t="str">
        <f>_xlfn.IFNA(VLOOKUP(E486,'Data Kyu'!$A$6:$I$471,4,0),"")</f>
        <v/>
      </c>
      <c r="X486" s="214" t="str">
        <f>_xlfn.IFNA(VLOOKUP(F486,'Data Kyu'!$C$6:$N$997,12,0),"No Data")</f>
        <v>No Data</v>
      </c>
    </row>
    <row r="487" spans="2:24" ht="10.95" customHeight="1" x14ac:dyDescent="0.25">
      <c r="B487" s="52"/>
      <c r="C487" s="165" t="str">
        <f>IF(X486="LULUS","V","")</f>
        <v/>
      </c>
      <c r="D487" s="53"/>
      <c r="E487" s="155"/>
      <c r="F487" s="148"/>
      <c r="G487" s="144"/>
      <c r="H487" s="67"/>
      <c r="I487" s="67"/>
      <c r="J487" s="67"/>
      <c r="K487" s="67"/>
      <c r="L487" s="146"/>
      <c r="M487" s="147"/>
      <c r="N487" s="148"/>
      <c r="O487" s="143"/>
      <c r="P487" s="140"/>
      <c r="Q487" s="143"/>
      <c r="R487" s="143"/>
      <c r="S487" s="140"/>
      <c r="T487" s="143"/>
      <c r="U487" s="144"/>
      <c r="V487" s="147"/>
      <c r="X487" s="214"/>
    </row>
    <row r="488" spans="2:24" ht="10.95" customHeight="1" x14ac:dyDescent="0.25">
      <c r="B488" s="52"/>
      <c r="C488" s="166"/>
      <c r="D488" s="53"/>
      <c r="E488" s="155"/>
      <c r="F488" s="167" t="str">
        <f>_xlfn.IFNA(VLOOKUP(E486,'Data Kyu'!$A$6:$I$471,2,0),"")</f>
        <v/>
      </c>
      <c r="G488" s="168"/>
      <c r="H488" s="168"/>
      <c r="I488" s="168"/>
      <c r="J488" s="168"/>
      <c r="K488" s="169"/>
      <c r="L488" s="146"/>
      <c r="M488" s="147"/>
      <c r="N488" s="173" t="s">
        <v>6</v>
      </c>
      <c r="O488" s="159"/>
      <c r="P488" s="57"/>
      <c r="Q488" s="159" t="s">
        <v>7</v>
      </c>
      <c r="R488" s="159"/>
      <c r="S488" s="57"/>
      <c r="T488" s="159" t="s">
        <v>8</v>
      </c>
      <c r="U488" s="160"/>
      <c r="V488" s="175"/>
      <c r="X488" s="214"/>
    </row>
    <row r="489" spans="2:24" ht="10.95" customHeight="1" x14ac:dyDescent="0.25">
      <c r="B489" s="54"/>
      <c r="C489" s="76"/>
      <c r="D489" s="56"/>
      <c r="E489" s="156"/>
      <c r="F489" s="170"/>
      <c r="G489" s="171"/>
      <c r="H489" s="171"/>
      <c r="I489" s="171"/>
      <c r="J489" s="171"/>
      <c r="K489" s="172"/>
      <c r="L489" s="148"/>
      <c r="M489" s="144"/>
      <c r="N489" s="174"/>
      <c r="O489" s="161"/>
      <c r="P489" s="27"/>
      <c r="Q489" s="161"/>
      <c r="R489" s="161"/>
      <c r="S489" s="27"/>
      <c r="T489" s="161"/>
      <c r="U489" s="162"/>
      <c r="V489" s="176"/>
      <c r="X489" s="214"/>
    </row>
    <row r="490" spans="2:24" ht="10.95" customHeight="1" x14ac:dyDescent="0.25">
      <c r="B490" s="41"/>
      <c r="C490" s="77"/>
      <c r="D490" s="42"/>
      <c r="E490" s="154">
        <v>62</v>
      </c>
      <c r="F490" s="145" t="str">
        <f>_xlfn.IFNA(VLOOKUP(E490,'Data Kyu'!$A$6:$I$471,3,0),"")</f>
        <v/>
      </c>
      <c r="G490" s="142"/>
      <c r="H490" s="66"/>
      <c r="I490" s="66"/>
      <c r="J490" s="66"/>
      <c r="K490" s="66"/>
      <c r="L490" s="145" t="str">
        <f>_xlfn.IFNA(VLOOKUP(E490,'Data Kyu'!$A$6:$I$471,9,0),"")</f>
        <v/>
      </c>
      <c r="M490" s="142"/>
      <c r="N490" s="145" t="str">
        <f>_xlfn.IFNA(VLOOKUP(E490,'Data Kyu'!$A$6:$I$471,6,0),"")</f>
        <v/>
      </c>
      <c r="O490" s="141"/>
      <c r="P490" s="139" t="s">
        <v>5</v>
      </c>
      <c r="Q490" s="141" t="str">
        <f>_xlfn.IFNA(VLOOKUP(E490,'Data Kyu'!$A$6:$I$471,7,0),"")</f>
        <v/>
      </c>
      <c r="R490" s="141"/>
      <c r="S490" s="139" t="s">
        <v>5</v>
      </c>
      <c r="T490" s="141" t="str">
        <f>_xlfn.IFNA(VLOOKUP(E490,'Data Kyu'!$A$6:$I$471,8,0),"")</f>
        <v/>
      </c>
      <c r="U490" s="142"/>
      <c r="V490" s="142" t="str">
        <f>_xlfn.IFNA(VLOOKUP(E490,'Data Kyu'!$A$6:$I$471,4,0),"")</f>
        <v/>
      </c>
      <c r="X490" s="214" t="str">
        <f>_xlfn.IFNA(VLOOKUP(F490,'Data Kyu'!$C$6:$N$997,12,0),"No Data")</f>
        <v>No Data</v>
      </c>
    </row>
    <row r="491" spans="2:24" ht="10.95" customHeight="1" x14ac:dyDescent="0.25">
      <c r="B491" s="52"/>
      <c r="C491" s="165" t="str">
        <f>IF(X490="LULUS","V","")</f>
        <v/>
      </c>
      <c r="D491" s="53"/>
      <c r="E491" s="155"/>
      <c r="F491" s="148"/>
      <c r="G491" s="144"/>
      <c r="H491" s="67"/>
      <c r="I491" s="67"/>
      <c r="J491" s="67"/>
      <c r="K491" s="67"/>
      <c r="L491" s="146"/>
      <c r="M491" s="147"/>
      <c r="N491" s="148"/>
      <c r="O491" s="143"/>
      <c r="P491" s="140"/>
      <c r="Q491" s="143"/>
      <c r="R491" s="143"/>
      <c r="S491" s="140"/>
      <c r="T491" s="143"/>
      <c r="U491" s="144"/>
      <c r="V491" s="147"/>
      <c r="X491" s="214"/>
    </row>
    <row r="492" spans="2:24" ht="10.95" customHeight="1" x14ac:dyDescent="0.25">
      <c r="B492" s="52"/>
      <c r="C492" s="166"/>
      <c r="D492" s="53"/>
      <c r="E492" s="155"/>
      <c r="F492" s="167" t="str">
        <f>_xlfn.IFNA(VLOOKUP(E490,'Data Kyu'!$A$6:$I$471,2,0),"")</f>
        <v/>
      </c>
      <c r="G492" s="168"/>
      <c r="H492" s="168"/>
      <c r="I492" s="168"/>
      <c r="J492" s="168"/>
      <c r="K492" s="169"/>
      <c r="L492" s="146"/>
      <c r="M492" s="147"/>
      <c r="N492" s="173" t="s">
        <v>6</v>
      </c>
      <c r="O492" s="159"/>
      <c r="P492" s="57"/>
      <c r="Q492" s="159" t="s">
        <v>7</v>
      </c>
      <c r="R492" s="159"/>
      <c r="S492" s="57"/>
      <c r="T492" s="159" t="s">
        <v>8</v>
      </c>
      <c r="U492" s="160"/>
      <c r="V492" s="175"/>
      <c r="X492" s="214"/>
    </row>
    <row r="493" spans="2:24" ht="10.95" customHeight="1" x14ac:dyDescent="0.25">
      <c r="B493" s="54"/>
      <c r="C493" s="76"/>
      <c r="D493" s="56"/>
      <c r="E493" s="156"/>
      <c r="F493" s="170"/>
      <c r="G493" s="171"/>
      <c r="H493" s="171"/>
      <c r="I493" s="171"/>
      <c r="J493" s="171"/>
      <c r="K493" s="172"/>
      <c r="L493" s="148"/>
      <c r="M493" s="144"/>
      <c r="N493" s="174"/>
      <c r="O493" s="161"/>
      <c r="P493" s="27"/>
      <c r="Q493" s="161"/>
      <c r="R493" s="161"/>
      <c r="S493" s="27"/>
      <c r="T493" s="161"/>
      <c r="U493" s="162"/>
      <c r="V493" s="176"/>
      <c r="X493" s="214"/>
    </row>
    <row r="494" spans="2:24" ht="10.95" customHeight="1" x14ac:dyDescent="0.25">
      <c r="B494" s="41"/>
      <c r="C494" s="77"/>
      <c r="D494" s="42"/>
      <c r="E494" s="154">
        <v>63</v>
      </c>
      <c r="F494" s="145" t="str">
        <f>_xlfn.IFNA(VLOOKUP(E494,'Data Kyu'!$A$6:$I$471,3,0),"")</f>
        <v/>
      </c>
      <c r="G494" s="142"/>
      <c r="H494" s="66"/>
      <c r="I494" s="66"/>
      <c r="J494" s="66"/>
      <c r="K494" s="66"/>
      <c r="L494" s="145" t="str">
        <f>_xlfn.IFNA(VLOOKUP(E494,'Data Kyu'!$A$6:$I$471,9,0),"")</f>
        <v/>
      </c>
      <c r="M494" s="142"/>
      <c r="N494" s="145" t="str">
        <f>_xlfn.IFNA(VLOOKUP(E494,'Data Kyu'!$A$6:$I$471,6,0),"")</f>
        <v/>
      </c>
      <c r="O494" s="141"/>
      <c r="P494" s="139" t="s">
        <v>5</v>
      </c>
      <c r="Q494" s="141" t="str">
        <f>_xlfn.IFNA(VLOOKUP(E494,'Data Kyu'!$A$6:$I$471,7,0),"")</f>
        <v/>
      </c>
      <c r="R494" s="141"/>
      <c r="S494" s="139" t="s">
        <v>5</v>
      </c>
      <c r="T494" s="141" t="str">
        <f>_xlfn.IFNA(VLOOKUP(E494,'Data Kyu'!$A$6:$I$471,8,0),"")</f>
        <v/>
      </c>
      <c r="U494" s="142"/>
      <c r="V494" s="142" t="str">
        <f>_xlfn.IFNA(VLOOKUP(E494,'Data Kyu'!$A$6:$I$471,4,0),"")</f>
        <v/>
      </c>
      <c r="X494" s="214" t="str">
        <f>_xlfn.IFNA(VLOOKUP(F494,'Data Kyu'!$C$6:$N$997,12,0),"No Data")</f>
        <v>No Data</v>
      </c>
    </row>
    <row r="495" spans="2:24" ht="10.95" customHeight="1" x14ac:dyDescent="0.25">
      <c r="B495" s="52"/>
      <c r="C495" s="165" t="str">
        <f>IF(X494="LULUS","V","")</f>
        <v/>
      </c>
      <c r="D495" s="53"/>
      <c r="E495" s="155"/>
      <c r="F495" s="148"/>
      <c r="G495" s="144"/>
      <c r="H495" s="67"/>
      <c r="I495" s="67"/>
      <c r="J495" s="67"/>
      <c r="K495" s="67"/>
      <c r="L495" s="146"/>
      <c r="M495" s="147"/>
      <c r="N495" s="148"/>
      <c r="O495" s="143"/>
      <c r="P495" s="140"/>
      <c r="Q495" s="143"/>
      <c r="R495" s="143"/>
      <c r="S495" s="140"/>
      <c r="T495" s="143"/>
      <c r="U495" s="144"/>
      <c r="V495" s="147"/>
      <c r="X495" s="214"/>
    </row>
    <row r="496" spans="2:24" ht="10.95" customHeight="1" x14ac:dyDescent="0.25">
      <c r="B496" s="52"/>
      <c r="C496" s="166"/>
      <c r="D496" s="53"/>
      <c r="E496" s="155"/>
      <c r="F496" s="167" t="str">
        <f>_xlfn.IFNA(VLOOKUP(E494,'Data Kyu'!$A$6:$I$471,2,0),"")</f>
        <v/>
      </c>
      <c r="G496" s="168"/>
      <c r="H496" s="168"/>
      <c r="I496" s="168"/>
      <c r="J496" s="168"/>
      <c r="K496" s="169"/>
      <c r="L496" s="146"/>
      <c r="M496" s="147"/>
      <c r="N496" s="173" t="s">
        <v>6</v>
      </c>
      <c r="O496" s="159"/>
      <c r="P496" s="57"/>
      <c r="Q496" s="159" t="s">
        <v>7</v>
      </c>
      <c r="R496" s="159"/>
      <c r="S496" s="57"/>
      <c r="T496" s="159" t="s">
        <v>8</v>
      </c>
      <c r="U496" s="160"/>
      <c r="V496" s="175"/>
      <c r="X496" s="214"/>
    </row>
    <row r="497" spans="2:24" ht="10.95" customHeight="1" x14ac:dyDescent="0.25">
      <c r="B497" s="54"/>
      <c r="C497" s="76"/>
      <c r="D497" s="56"/>
      <c r="E497" s="156"/>
      <c r="F497" s="170"/>
      <c r="G497" s="171"/>
      <c r="H497" s="171"/>
      <c r="I497" s="171"/>
      <c r="J497" s="171"/>
      <c r="K497" s="172"/>
      <c r="L497" s="148"/>
      <c r="M497" s="144"/>
      <c r="N497" s="174"/>
      <c r="O497" s="161"/>
      <c r="P497" s="27"/>
      <c r="Q497" s="161"/>
      <c r="R497" s="161"/>
      <c r="S497" s="27"/>
      <c r="T497" s="161"/>
      <c r="U497" s="162"/>
      <c r="V497" s="176"/>
      <c r="X497" s="214"/>
    </row>
    <row r="498" spans="2:24" ht="10.95" customHeight="1" x14ac:dyDescent="0.25">
      <c r="B498" s="41"/>
      <c r="C498" s="77"/>
      <c r="D498" s="42"/>
      <c r="E498" s="154">
        <v>64</v>
      </c>
      <c r="F498" s="145" t="str">
        <f>_xlfn.IFNA(VLOOKUP(E498,'Data Kyu'!$A$6:$I$471,3,0),"")</f>
        <v/>
      </c>
      <c r="G498" s="142"/>
      <c r="H498" s="66"/>
      <c r="I498" s="66"/>
      <c r="J498" s="66"/>
      <c r="K498" s="66"/>
      <c r="L498" s="145" t="str">
        <f>_xlfn.IFNA(VLOOKUP(E498,'Data Kyu'!$A$6:$I$471,9,0),"")</f>
        <v/>
      </c>
      <c r="M498" s="142"/>
      <c r="N498" s="145" t="str">
        <f>_xlfn.IFNA(VLOOKUP(E498,'Data Kyu'!$A$6:$I$471,6,0),"")</f>
        <v/>
      </c>
      <c r="O498" s="141"/>
      <c r="P498" s="139" t="s">
        <v>5</v>
      </c>
      <c r="Q498" s="141" t="str">
        <f>_xlfn.IFNA(VLOOKUP(E498,'Data Kyu'!$A$6:$I$471,7,0),"")</f>
        <v/>
      </c>
      <c r="R498" s="141"/>
      <c r="S498" s="139" t="s">
        <v>5</v>
      </c>
      <c r="T498" s="141" t="str">
        <f>_xlfn.IFNA(VLOOKUP(E498,'Data Kyu'!$A$6:$I$471,8,0),"")</f>
        <v/>
      </c>
      <c r="U498" s="142"/>
      <c r="V498" s="142" t="str">
        <f>_xlfn.IFNA(VLOOKUP(E498,'Data Kyu'!$A$6:$I$471,4,0),"")</f>
        <v/>
      </c>
      <c r="X498" s="214" t="str">
        <f>_xlfn.IFNA(VLOOKUP(F498,'Data Kyu'!$C$6:$N$997,12,0),"No Data")</f>
        <v>No Data</v>
      </c>
    </row>
    <row r="499" spans="2:24" ht="10.95" customHeight="1" x14ac:dyDescent="0.25">
      <c r="B499" s="52"/>
      <c r="C499" s="165" t="str">
        <f>IF(X498="LULUS","V","")</f>
        <v/>
      </c>
      <c r="D499" s="53"/>
      <c r="E499" s="155"/>
      <c r="F499" s="148"/>
      <c r="G499" s="144"/>
      <c r="H499" s="67"/>
      <c r="I499" s="67"/>
      <c r="J499" s="67"/>
      <c r="K499" s="67"/>
      <c r="L499" s="146"/>
      <c r="M499" s="147"/>
      <c r="N499" s="148"/>
      <c r="O499" s="143"/>
      <c r="P499" s="140"/>
      <c r="Q499" s="143"/>
      <c r="R499" s="143"/>
      <c r="S499" s="140"/>
      <c r="T499" s="143"/>
      <c r="U499" s="144"/>
      <c r="V499" s="147"/>
      <c r="X499" s="214"/>
    </row>
    <row r="500" spans="2:24" ht="10.95" customHeight="1" x14ac:dyDescent="0.25">
      <c r="B500" s="52"/>
      <c r="C500" s="166"/>
      <c r="D500" s="53"/>
      <c r="E500" s="155"/>
      <c r="F500" s="167" t="str">
        <f>_xlfn.IFNA(VLOOKUP(E498,'Data Kyu'!$A$6:$I$471,2,0),"")</f>
        <v/>
      </c>
      <c r="G500" s="168"/>
      <c r="H500" s="168"/>
      <c r="I500" s="168"/>
      <c r="J500" s="168"/>
      <c r="K500" s="169"/>
      <c r="L500" s="146"/>
      <c r="M500" s="147"/>
      <c r="N500" s="173" t="s">
        <v>6</v>
      </c>
      <c r="O500" s="159"/>
      <c r="P500" s="57"/>
      <c r="Q500" s="159" t="s">
        <v>7</v>
      </c>
      <c r="R500" s="159"/>
      <c r="S500" s="57"/>
      <c r="T500" s="159" t="s">
        <v>8</v>
      </c>
      <c r="U500" s="160"/>
      <c r="V500" s="175"/>
      <c r="X500" s="214"/>
    </row>
    <row r="501" spans="2:24" ht="10.95" customHeight="1" x14ac:dyDescent="0.25">
      <c r="B501" s="54"/>
      <c r="C501" s="76"/>
      <c r="D501" s="56"/>
      <c r="E501" s="156"/>
      <c r="F501" s="170"/>
      <c r="G501" s="171"/>
      <c r="H501" s="171"/>
      <c r="I501" s="171"/>
      <c r="J501" s="171"/>
      <c r="K501" s="172"/>
      <c r="L501" s="148"/>
      <c r="M501" s="144"/>
      <c r="N501" s="174"/>
      <c r="O501" s="161"/>
      <c r="P501" s="27"/>
      <c r="Q501" s="161"/>
      <c r="R501" s="161"/>
      <c r="S501" s="27"/>
      <c r="T501" s="161"/>
      <c r="U501" s="162"/>
      <c r="V501" s="176"/>
      <c r="X501" s="214"/>
    </row>
    <row r="502" spans="2:24" ht="10.95" customHeight="1" x14ac:dyDescent="0.25">
      <c r="B502" s="41"/>
      <c r="C502" s="77"/>
      <c r="D502" s="42"/>
      <c r="E502" s="154">
        <v>65</v>
      </c>
      <c r="F502" s="145" t="str">
        <f>_xlfn.IFNA(VLOOKUP(E502,'Data Kyu'!$A$6:$I$471,3,0),"")</f>
        <v/>
      </c>
      <c r="G502" s="142"/>
      <c r="H502" s="66"/>
      <c r="I502" s="66"/>
      <c r="J502" s="66"/>
      <c r="K502" s="66"/>
      <c r="L502" s="145" t="str">
        <f>_xlfn.IFNA(VLOOKUP(E502,'Data Kyu'!$A$6:$I$471,9,0),"")</f>
        <v/>
      </c>
      <c r="M502" s="142"/>
      <c r="N502" s="145" t="str">
        <f>_xlfn.IFNA(VLOOKUP(E502,'Data Kyu'!$A$6:$I$471,6,0),"")</f>
        <v/>
      </c>
      <c r="O502" s="141"/>
      <c r="P502" s="139" t="s">
        <v>5</v>
      </c>
      <c r="Q502" s="141" t="str">
        <f>_xlfn.IFNA(VLOOKUP(E502,'Data Kyu'!$A$6:$I$471,7,0),"")</f>
        <v/>
      </c>
      <c r="R502" s="141"/>
      <c r="S502" s="139" t="s">
        <v>5</v>
      </c>
      <c r="T502" s="141" t="str">
        <f>_xlfn.IFNA(VLOOKUP(E502,'Data Kyu'!$A$6:$I$471,8,0),"")</f>
        <v/>
      </c>
      <c r="U502" s="142"/>
      <c r="V502" s="142" t="str">
        <f>_xlfn.IFNA(VLOOKUP(E502,'Data Kyu'!$A$6:$I$471,4,0),"")</f>
        <v/>
      </c>
      <c r="X502" s="214" t="str">
        <f>_xlfn.IFNA(VLOOKUP(F502,'Data Kyu'!$C$6:$N$997,12,0),"No Data")</f>
        <v>No Data</v>
      </c>
    </row>
    <row r="503" spans="2:24" ht="10.95" customHeight="1" x14ac:dyDescent="0.25">
      <c r="B503" s="52"/>
      <c r="C503" s="165" t="str">
        <f>IF(X502="LULUS","V","")</f>
        <v/>
      </c>
      <c r="D503" s="53"/>
      <c r="E503" s="155"/>
      <c r="F503" s="148"/>
      <c r="G503" s="144"/>
      <c r="H503" s="67"/>
      <c r="I503" s="67"/>
      <c r="J503" s="67"/>
      <c r="K503" s="67"/>
      <c r="L503" s="146"/>
      <c r="M503" s="147"/>
      <c r="N503" s="148"/>
      <c r="O503" s="143"/>
      <c r="P503" s="140"/>
      <c r="Q503" s="143"/>
      <c r="R503" s="143"/>
      <c r="S503" s="140"/>
      <c r="T503" s="143"/>
      <c r="U503" s="144"/>
      <c r="V503" s="147"/>
      <c r="X503" s="214"/>
    </row>
    <row r="504" spans="2:24" ht="10.95" customHeight="1" x14ac:dyDescent="0.25">
      <c r="B504" s="52"/>
      <c r="C504" s="166"/>
      <c r="D504" s="53"/>
      <c r="E504" s="155"/>
      <c r="F504" s="167" t="str">
        <f>_xlfn.IFNA(VLOOKUP(E502,'Data Kyu'!$A$6:$I$471,2,0),"")</f>
        <v/>
      </c>
      <c r="G504" s="168"/>
      <c r="H504" s="168"/>
      <c r="I504" s="168"/>
      <c r="J504" s="168"/>
      <c r="K504" s="169"/>
      <c r="L504" s="146"/>
      <c r="M504" s="147"/>
      <c r="N504" s="173" t="s">
        <v>6</v>
      </c>
      <c r="O504" s="159"/>
      <c r="P504" s="57"/>
      <c r="Q504" s="159" t="s">
        <v>7</v>
      </c>
      <c r="R504" s="159"/>
      <c r="S504" s="57"/>
      <c r="T504" s="159" t="s">
        <v>8</v>
      </c>
      <c r="U504" s="160"/>
      <c r="V504" s="175"/>
      <c r="X504" s="214"/>
    </row>
    <row r="505" spans="2:24" ht="10.95" customHeight="1" x14ac:dyDescent="0.25">
      <c r="B505" s="54"/>
      <c r="C505" s="76"/>
      <c r="D505" s="56"/>
      <c r="E505" s="156"/>
      <c r="F505" s="170"/>
      <c r="G505" s="171"/>
      <c r="H505" s="171"/>
      <c r="I505" s="171"/>
      <c r="J505" s="171"/>
      <c r="K505" s="172"/>
      <c r="L505" s="148"/>
      <c r="M505" s="144"/>
      <c r="N505" s="174"/>
      <c r="O505" s="161"/>
      <c r="P505" s="27"/>
      <c r="Q505" s="161"/>
      <c r="R505" s="161"/>
      <c r="S505" s="27"/>
      <c r="T505" s="161"/>
      <c r="U505" s="162"/>
      <c r="V505" s="176"/>
      <c r="X505" s="214"/>
    </row>
    <row r="506" spans="2:24" ht="10.95" customHeight="1" x14ac:dyDescent="0.25">
      <c r="B506" s="41"/>
      <c r="C506" s="77"/>
      <c r="D506" s="42"/>
      <c r="E506" s="154">
        <v>66</v>
      </c>
      <c r="F506" s="145" t="str">
        <f>_xlfn.IFNA(VLOOKUP(E506,'Data Kyu'!$A$6:$I$471,3,0),"")</f>
        <v/>
      </c>
      <c r="G506" s="142"/>
      <c r="H506" s="66"/>
      <c r="I506" s="66"/>
      <c r="J506" s="66"/>
      <c r="K506" s="66"/>
      <c r="L506" s="145" t="str">
        <f>_xlfn.IFNA(VLOOKUP(E506,'Data Kyu'!$A$6:$I$471,9,0),"")</f>
        <v/>
      </c>
      <c r="M506" s="142"/>
      <c r="N506" s="145" t="str">
        <f>_xlfn.IFNA(VLOOKUP(E506,'Data Kyu'!$A$6:$I$471,6,0),"")</f>
        <v/>
      </c>
      <c r="O506" s="141"/>
      <c r="P506" s="139" t="s">
        <v>5</v>
      </c>
      <c r="Q506" s="141" t="str">
        <f>_xlfn.IFNA(VLOOKUP(E506,'Data Kyu'!$A$6:$I$471,7,0),"")</f>
        <v/>
      </c>
      <c r="R506" s="141"/>
      <c r="S506" s="139" t="s">
        <v>5</v>
      </c>
      <c r="T506" s="141" t="str">
        <f>_xlfn.IFNA(VLOOKUP(E506,'Data Kyu'!$A$6:$I$471,8,0),"")</f>
        <v/>
      </c>
      <c r="U506" s="142"/>
      <c r="V506" s="142" t="str">
        <f>_xlfn.IFNA(VLOOKUP(E506,'Data Kyu'!$A$6:$I$471,4,0),"")</f>
        <v/>
      </c>
      <c r="X506" s="214" t="str">
        <f>_xlfn.IFNA(VLOOKUP(F506,'Data Kyu'!$C$6:$N$997,12,0),"No Data")</f>
        <v>No Data</v>
      </c>
    </row>
    <row r="507" spans="2:24" ht="10.95" customHeight="1" x14ac:dyDescent="0.25">
      <c r="B507" s="52"/>
      <c r="C507" s="165" t="str">
        <f>IF(X506="LULUS","V","")</f>
        <v/>
      </c>
      <c r="D507" s="53"/>
      <c r="E507" s="155"/>
      <c r="F507" s="148"/>
      <c r="G507" s="144"/>
      <c r="H507" s="67"/>
      <c r="I507" s="67"/>
      <c r="J507" s="67"/>
      <c r="K507" s="67"/>
      <c r="L507" s="146"/>
      <c r="M507" s="147"/>
      <c r="N507" s="148"/>
      <c r="O507" s="143"/>
      <c r="P507" s="140"/>
      <c r="Q507" s="143"/>
      <c r="R507" s="143"/>
      <c r="S507" s="140"/>
      <c r="T507" s="143"/>
      <c r="U507" s="144"/>
      <c r="V507" s="147"/>
      <c r="X507" s="214"/>
    </row>
    <row r="508" spans="2:24" ht="10.95" customHeight="1" x14ac:dyDescent="0.25">
      <c r="B508" s="52"/>
      <c r="C508" s="166"/>
      <c r="D508" s="53"/>
      <c r="E508" s="155"/>
      <c r="F508" s="167" t="str">
        <f>_xlfn.IFNA(VLOOKUP(E506,'Data Kyu'!$A$6:$I$471,2,0),"")</f>
        <v/>
      </c>
      <c r="G508" s="168"/>
      <c r="H508" s="168"/>
      <c r="I508" s="168"/>
      <c r="J508" s="168"/>
      <c r="K508" s="169"/>
      <c r="L508" s="146"/>
      <c r="M508" s="147"/>
      <c r="N508" s="173" t="s">
        <v>6</v>
      </c>
      <c r="O508" s="159"/>
      <c r="P508" s="57"/>
      <c r="Q508" s="159" t="s">
        <v>7</v>
      </c>
      <c r="R508" s="159"/>
      <c r="S508" s="57"/>
      <c r="T508" s="159" t="s">
        <v>8</v>
      </c>
      <c r="U508" s="160"/>
      <c r="V508" s="175"/>
      <c r="X508" s="214"/>
    </row>
    <row r="509" spans="2:24" ht="10.95" customHeight="1" x14ac:dyDescent="0.25">
      <c r="B509" s="54"/>
      <c r="C509" s="76"/>
      <c r="D509" s="56"/>
      <c r="E509" s="156"/>
      <c r="F509" s="170"/>
      <c r="G509" s="171"/>
      <c r="H509" s="171"/>
      <c r="I509" s="171"/>
      <c r="J509" s="171"/>
      <c r="K509" s="172"/>
      <c r="L509" s="148"/>
      <c r="M509" s="144"/>
      <c r="N509" s="174"/>
      <c r="O509" s="161"/>
      <c r="P509" s="27"/>
      <c r="Q509" s="161"/>
      <c r="R509" s="161"/>
      <c r="S509" s="27"/>
      <c r="T509" s="161"/>
      <c r="U509" s="162"/>
      <c r="V509" s="176"/>
      <c r="X509" s="214"/>
    </row>
    <row r="510" spans="2:24" ht="10.95" customHeight="1" x14ac:dyDescent="0.25">
      <c r="B510" s="41"/>
      <c r="C510" s="77"/>
      <c r="D510" s="42"/>
      <c r="E510" s="154">
        <v>67</v>
      </c>
      <c r="F510" s="145" t="str">
        <f>_xlfn.IFNA(VLOOKUP(E510,'Data Kyu'!$A$6:$I$471,3,0),"")</f>
        <v/>
      </c>
      <c r="G510" s="142"/>
      <c r="H510" s="66"/>
      <c r="I510" s="66"/>
      <c r="J510" s="66"/>
      <c r="K510" s="66"/>
      <c r="L510" s="145" t="str">
        <f>_xlfn.IFNA(VLOOKUP(E510,'Data Kyu'!$A$6:$I$471,9,0),"")</f>
        <v/>
      </c>
      <c r="M510" s="142"/>
      <c r="N510" s="145" t="str">
        <f>_xlfn.IFNA(VLOOKUP(E510,'Data Kyu'!$A$6:$I$471,6,0),"")</f>
        <v/>
      </c>
      <c r="O510" s="141"/>
      <c r="P510" s="139" t="s">
        <v>5</v>
      </c>
      <c r="Q510" s="141" t="str">
        <f>_xlfn.IFNA(VLOOKUP(E510,'Data Kyu'!$A$6:$I$471,7,0),"")</f>
        <v/>
      </c>
      <c r="R510" s="141"/>
      <c r="S510" s="139" t="s">
        <v>5</v>
      </c>
      <c r="T510" s="141" t="str">
        <f>_xlfn.IFNA(VLOOKUP(E510,'Data Kyu'!$A$6:$I$471,8,0),"")</f>
        <v/>
      </c>
      <c r="U510" s="142"/>
      <c r="V510" s="142" t="str">
        <f>_xlfn.IFNA(VLOOKUP(E510,'Data Kyu'!$A$6:$I$471,4,0),"")</f>
        <v/>
      </c>
      <c r="X510" s="214" t="str">
        <f>_xlfn.IFNA(VLOOKUP(F510,'Data Kyu'!$C$6:$N$997,12,0),"No Data")</f>
        <v>No Data</v>
      </c>
    </row>
    <row r="511" spans="2:24" ht="10.95" customHeight="1" x14ac:dyDescent="0.25">
      <c r="B511" s="52"/>
      <c r="C511" s="165" t="str">
        <f>IF(X510="LULUS","V","")</f>
        <v/>
      </c>
      <c r="D511" s="53"/>
      <c r="E511" s="155"/>
      <c r="F511" s="148"/>
      <c r="G511" s="144"/>
      <c r="H511" s="67"/>
      <c r="I511" s="67"/>
      <c r="J511" s="67"/>
      <c r="K511" s="67"/>
      <c r="L511" s="146"/>
      <c r="M511" s="147"/>
      <c r="N511" s="148"/>
      <c r="O511" s="143"/>
      <c r="P511" s="140"/>
      <c r="Q511" s="143"/>
      <c r="R511" s="143"/>
      <c r="S511" s="140"/>
      <c r="T511" s="143"/>
      <c r="U511" s="144"/>
      <c r="V511" s="147"/>
      <c r="X511" s="214"/>
    </row>
    <row r="512" spans="2:24" ht="10.95" customHeight="1" x14ac:dyDescent="0.25">
      <c r="B512" s="52"/>
      <c r="C512" s="166"/>
      <c r="D512" s="53"/>
      <c r="E512" s="155"/>
      <c r="F512" s="167" t="str">
        <f>_xlfn.IFNA(VLOOKUP(E510,'Data Kyu'!$A$6:$I$471,2,0),"")</f>
        <v/>
      </c>
      <c r="G512" s="168"/>
      <c r="H512" s="168"/>
      <c r="I512" s="168"/>
      <c r="J512" s="168"/>
      <c r="K512" s="169"/>
      <c r="L512" s="146"/>
      <c r="M512" s="147"/>
      <c r="N512" s="173" t="s">
        <v>6</v>
      </c>
      <c r="O512" s="159"/>
      <c r="P512" s="57"/>
      <c r="Q512" s="159" t="s">
        <v>7</v>
      </c>
      <c r="R512" s="159"/>
      <c r="S512" s="57"/>
      <c r="T512" s="159" t="s">
        <v>8</v>
      </c>
      <c r="U512" s="160"/>
      <c r="V512" s="175"/>
      <c r="X512" s="214"/>
    </row>
    <row r="513" spans="2:24" ht="10.95" customHeight="1" x14ac:dyDescent="0.25">
      <c r="B513" s="54"/>
      <c r="C513" s="76"/>
      <c r="D513" s="56"/>
      <c r="E513" s="156"/>
      <c r="F513" s="170"/>
      <c r="G513" s="171"/>
      <c r="H513" s="171"/>
      <c r="I513" s="171"/>
      <c r="J513" s="171"/>
      <c r="K513" s="172"/>
      <c r="L513" s="148"/>
      <c r="M513" s="144"/>
      <c r="N513" s="174"/>
      <c r="O513" s="161"/>
      <c r="P513" s="27"/>
      <c r="Q513" s="161"/>
      <c r="R513" s="161"/>
      <c r="S513" s="27"/>
      <c r="T513" s="161"/>
      <c r="U513" s="162"/>
      <c r="V513" s="176"/>
      <c r="X513" s="214"/>
    </row>
    <row r="514" spans="2:24" ht="10.95" customHeight="1" x14ac:dyDescent="0.25">
      <c r="B514" s="41"/>
      <c r="C514" s="77"/>
      <c r="D514" s="42"/>
      <c r="E514" s="154">
        <v>68</v>
      </c>
      <c r="F514" s="145" t="str">
        <f>_xlfn.IFNA(VLOOKUP(E514,'Data Kyu'!$A$6:$I$471,3,0),"")</f>
        <v/>
      </c>
      <c r="G514" s="142"/>
      <c r="H514" s="66"/>
      <c r="I514" s="66"/>
      <c r="J514" s="66"/>
      <c r="K514" s="66"/>
      <c r="L514" s="145" t="str">
        <f>_xlfn.IFNA(VLOOKUP(E514,'Data Kyu'!$A$6:$I$471,9,0),"")</f>
        <v/>
      </c>
      <c r="M514" s="142"/>
      <c r="N514" s="145" t="str">
        <f>_xlfn.IFNA(VLOOKUP(E514,'Data Kyu'!$A$6:$I$471,6,0),"")</f>
        <v/>
      </c>
      <c r="O514" s="141"/>
      <c r="P514" s="139" t="s">
        <v>5</v>
      </c>
      <c r="Q514" s="141" t="str">
        <f>_xlfn.IFNA(VLOOKUP(E514,'Data Kyu'!$A$6:$I$471,7,0),"")</f>
        <v/>
      </c>
      <c r="R514" s="141"/>
      <c r="S514" s="139" t="s">
        <v>5</v>
      </c>
      <c r="T514" s="141" t="str">
        <f>_xlfn.IFNA(VLOOKUP(E514,'Data Kyu'!$A$6:$I$471,8,0),"")</f>
        <v/>
      </c>
      <c r="U514" s="142"/>
      <c r="V514" s="142" t="str">
        <f>_xlfn.IFNA(VLOOKUP(E514,'Data Kyu'!$A$6:$I$471,4,0),"")</f>
        <v/>
      </c>
      <c r="X514" s="214" t="str">
        <f>_xlfn.IFNA(VLOOKUP(F514,'Data Kyu'!$C$6:$N$997,12,0),"No Data")</f>
        <v>No Data</v>
      </c>
    </row>
    <row r="515" spans="2:24" ht="10.95" customHeight="1" x14ac:dyDescent="0.25">
      <c r="B515" s="52"/>
      <c r="C515" s="165" t="str">
        <f>IF(X514="LULUS","V","")</f>
        <v/>
      </c>
      <c r="D515" s="53"/>
      <c r="E515" s="155"/>
      <c r="F515" s="148"/>
      <c r="G515" s="144"/>
      <c r="H515" s="67"/>
      <c r="I515" s="67"/>
      <c r="J515" s="67"/>
      <c r="K515" s="67"/>
      <c r="L515" s="146"/>
      <c r="M515" s="147"/>
      <c r="N515" s="148"/>
      <c r="O515" s="143"/>
      <c r="P515" s="140"/>
      <c r="Q515" s="143"/>
      <c r="R515" s="143"/>
      <c r="S515" s="140"/>
      <c r="T515" s="143"/>
      <c r="U515" s="144"/>
      <c r="V515" s="147"/>
      <c r="X515" s="214"/>
    </row>
    <row r="516" spans="2:24" ht="10.95" customHeight="1" x14ac:dyDescent="0.25">
      <c r="B516" s="52"/>
      <c r="C516" s="166"/>
      <c r="D516" s="53"/>
      <c r="E516" s="155"/>
      <c r="F516" s="167" t="str">
        <f>_xlfn.IFNA(VLOOKUP(E514,'Data Kyu'!$A$6:$I$471,2,0),"")</f>
        <v/>
      </c>
      <c r="G516" s="168"/>
      <c r="H516" s="168"/>
      <c r="I516" s="168"/>
      <c r="J516" s="168"/>
      <c r="K516" s="169"/>
      <c r="L516" s="146"/>
      <c r="M516" s="147"/>
      <c r="N516" s="173" t="s">
        <v>6</v>
      </c>
      <c r="O516" s="159"/>
      <c r="P516" s="57"/>
      <c r="Q516" s="159" t="s">
        <v>7</v>
      </c>
      <c r="R516" s="159"/>
      <c r="S516" s="57"/>
      <c r="T516" s="159" t="s">
        <v>8</v>
      </c>
      <c r="U516" s="160"/>
      <c r="V516" s="175"/>
      <c r="X516" s="214"/>
    </row>
    <row r="517" spans="2:24" ht="10.95" customHeight="1" x14ac:dyDescent="0.25">
      <c r="B517" s="54"/>
      <c r="C517" s="76"/>
      <c r="D517" s="56"/>
      <c r="E517" s="156"/>
      <c r="F517" s="170"/>
      <c r="G517" s="171"/>
      <c r="H517" s="171"/>
      <c r="I517" s="171"/>
      <c r="J517" s="171"/>
      <c r="K517" s="172"/>
      <c r="L517" s="148"/>
      <c r="M517" s="144"/>
      <c r="N517" s="174"/>
      <c r="O517" s="161"/>
      <c r="P517" s="27"/>
      <c r="Q517" s="161"/>
      <c r="R517" s="161"/>
      <c r="S517" s="27"/>
      <c r="T517" s="161"/>
      <c r="U517" s="162"/>
      <c r="V517" s="176"/>
      <c r="X517" s="214"/>
    </row>
    <row r="518" spans="2:24" ht="10.95" customHeight="1" x14ac:dyDescent="0.25">
      <c r="B518" s="41"/>
      <c r="C518" s="77"/>
      <c r="D518" s="42"/>
      <c r="E518" s="154">
        <v>69</v>
      </c>
      <c r="F518" s="145" t="str">
        <f>_xlfn.IFNA(VLOOKUP(E518,'Data Kyu'!$A$6:$I$471,3,0),"")</f>
        <v/>
      </c>
      <c r="G518" s="142"/>
      <c r="H518" s="66"/>
      <c r="I518" s="66"/>
      <c r="J518" s="66"/>
      <c r="K518" s="66"/>
      <c r="L518" s="145" t="str">
        <f>_xlfn.IFNA(VLOOKUP(E518,'Data Kyu'!$A$6:$I$471,9,0),"")</f>
        <v/>
      </c>
      <c r="M518" s="142"/>
      <c r="N518" s="145" t="str">
        <f>_xlfn.IFNA(VLOOKUP(E518,'Data Kyu'!$A$6:$I$471,6,0),"")</f>
        <v/>
      </c>
      <c r="O518" s="141"/>
      <c r="P518" s="139" t="s">
        <v>5</v>
      </c>
      <c r="Q518" s="141" t="str">
        <f>_xlfn.IFNA(VLOOKUP(E518,'Data Kyu'!$A$6:$I$471,7,0),"")</f>
        <v/>
      </c>
      <c r="R518" s="141"/>
      <c r="S518" s="139" t="s">
        <v>5</v>
      </c>
      <c r="T518" s="141" t="str">
        <f>_xlfn.IFNA(VLOOKUP(E518,'Data Kyu'!$A$6:$I$471,8,0),"")</f>
        <v/>
      </c>
      <c r="U518" s="142"/>
      <c r="V518" s="142" t="str">
        <f>_xlfn.IFNA(VLOOKUP(E518,'Data Kyu'!$A$6:$I$471,4,0),"")</f>
        <v/>
      </c>
      <c r="X518" s="214" t="str">
        <f>_xlfn.IFNA(VLOOKUP(F518,'Data Kyu'!$C$6:$N$997,12,0),"No Data")</f>
        <v>No Data</v>
      </c>
    </row>
    <row r="519" spans="2:24" ht="10.95" customHeight="1" x14ac:dyDescent="0.25">
      <c r="B519" s="52"/>
      <c r="C519" s="165" t="str">
        <f>IF(X518="LULUS","V","")</f>
        <v/>
      </c>
      <c r="D519" s="53"/>
      <c r="E519" s="155"/>
      <c r="F519" s="148"/>
      <c r="G519" s="144"/>
      <c r="H519" s="67"/>
      <c r="I519" s="67"/>
      <c r="J519" s="67"/>
      <c r="K519" s="67"/>
      <c r="L519" s="146"/>
      <c r="M519" s="147"/>
      <c r="N519" s="148"/>
      <c r="O519" s="143"/>
      <c r="P519" s="140"/>
      <c r="Q519" s="143"/>
      <c r="R519" s="143"/>
      <c r="S519" s="140"/>
      <c r="T519" s="143"/>
      <c r="U519" s="144"/>
      <c r="V519" s="147"/>
      <c r="X519" s="214"/>
    </row>
    <row r="520" spans="2:24" ht="10.95" customHeight="1" x14ac:dyDescent="0.25">
      <c r="B520" s="52"/>
      <c r="C520" s="166"/>
      <c r="D520" s="53"/>
      <c r="E520" s="155"/>
      <c r="F520" s="167" t="str">
        <f>_xlfn.IFNA(VLOOKUP(E518,'Data Kyu'!$A$6:$I$471,2,0),"")</f>
        <v/>
      </c>
      <c r="G520" s="168"/>
      <c r="H520" s="168"/>
      <c r="I520" s="168"/>
      <c r="J520" s="168"/>
      <c r="K520" s="169"/>
      <c r="L520" s="146"/>
      <c r="M520" s="147"/>
      <c r="N520" s="173" t="s">
        <v>6</v>
      </c>
      <c r="O520" s="159"/>
      <c r="P520" s="57"/>
      <c r="Q520" s="159" t="s">
        <v>7</v>
      </c>
      <c r="R520" s="159"/>
      <c r="S520" s="57"/>
      <c r="T520" s="159" t="s">
        <v>8</v>
      </c>
      <c r="U520" s="160"/>
      <c r="V520" s="175"/>
      <c r="X520" s="214"/>
    </row>
    <row r="521" spans="2:24" ht="10.95" customHeight="1" x14ac:dyDescent="0.25">
      <c r="B521" s="54"/>
      <c r="C521" s="76"/>
      <c r="D521" s="56"/>
      <c r="E521" s="156"/>
      <c r="F521" s="170"/>
      <c r="G521" s="171"/>
      <c r="H521" s="171"/>
      <c r="I521" s="171"/>
      <c r="J521" s="171"/>
      <c r="K521" s="172"/>
      <c r="L521" s="148"/>
      <c r="M521" s="144"/>
      <c r="N521" s="174"/>
      <c r="O521" s="161"/>
      <c r="P521" s="27"/>
      <c r="Q521" s="161"/>
      <c r="R521" s="161"/>
      <c r="S521" s="27"/>
      <c r="T521" s="161"/>
      <c r="U521" s="162"/>
      <c r="V521" s="176"/>
      <c r="X521" s="214"/>
    </row>
    <row r="522" spans="2:24" ht="10.95" customHeight="1" x14ac:dyDescent="0.25">
      <c r="B522" s="41"/>
      <c r="C522" s="77"/>
      <c r="D522" s="42"/>
      <c r="E522" s="154">
        <v>70</v>
      </c>
      <c r="F522" s="145" t="str">
        <f>_xlfn.IFNA(VLOOKUP(E522,'Data Kyu'!$A$6:$I$471,3,0),"")</f>
        <v/>
      </c>
      <c r="G522" s="142"/>
      <c r="H522" s="66"/>
      <c r="I522" s="66"/>
      <c r="J522" s="66"/>
      <c r="K522" s="66"/>
      <c r="L522" s="145" t="str">
        <f>_xlfn.IFNA(VLOOKUP(E522,'Data Kyu'!$A$6:$I$471,9,0),"")</f>
        <v/>
      </c>
      <c r="M522" s="142"/>
      <c r="N522" s="145" t="str">
        <f>_xlfn.IFNA(VLOOKUP(E522,'Data Kyu'!$A$6:$I$471,6,0),"")</f>
        <v/>
      </c>
      <c r="O522" s="141"/>
      <c r="P522" s="139" t="s">
        <v>5</v>
      </c>
      <c r="Q522" s="141" t="str">
        <f>_xlfn.IFNA(VLOOKUP(E522,'Data Kyu'!$A$6:$I$471,7,0),"")</f>
        <v/>
      </c>
      <c r="R522" s="141"/>
      <c r="S522" s="139" t="s">
        <v>5</v>
      </c>
      <c r="T522" s="141" t="str">
        <f>_xlfn.IFNA(VLOOKUP(E522,'Data Kyu'!$A$6:$I$471,8,0),"")</f>
        <v/>
      </c>
      <c r="U522" s="142"/>
      <c r="V522" s="142" t="str">
        <f>_xlfn.IFNA(VLOOKUP(E522,'Data Kyu'!$A$6:$I$471,4,0),"")</f>
        <v/>
      </c>
      <c r="X522" s="214" t="str">
        <f>_xlfn.IFNA(VLOOKUP(F522,'Data Kyu'!$C$6:$N$997,12,0),"No Data")</f>
        <v>No Data</v>
      </c>
    </row>
    <row r="523" spans="2:24" ht="10.95" customHeight="1" x14ac:dyDescent="0.25">
      <c r="B523" s="52"/>
      <c r="C523" s="165" t="str">
        <f>IF(X522="LULUS","V","")</f>
        <v/>
      </c>
      <c r="D523" s="53"/>
      <c r="E523" s="155"/>
      <c r="F523" s="148"/>
      <c r="G523" s="144"/>
      <c r="H523" s="67"/>
      <c r="I523" s="67"/>
      <c r="J523" s="67"/>
      <c r="K523" s="67"/>
      <c r="L523" s="146"/>
      <c r="M523" s="147"/>
      <c r="N523" s="148"/>
      <c r="O523" s="143"/>
      <c r="P523" s="140"/>
      <c r="Q523" s="143"/>
      <c r="R523" s="143"/>
      <c r="S523" s="140"/>
      <c r="T523" s="143"/>
      <c r="U523" s="144"/>
      <c r="V523" s="147"/>
      <c r="X523" s="214"/>
    </row>
    <row r="524" spans="2:24" ht="10.95" customHeight="1" x14ac:dyDescent="0.25">
      <c r="B524" s="52"/>
      <c r="C524" s="166"/>
      <c r="D524" s="53"/>
      <c r="E524" s="155"/>
      <c r="F524" s="167" t="str">
        <f>_xlfn.IFNA(VLOOKUP(E522,'Data Kyu'!$A$6:$I$471,2,0),"")</f>
        <v/>
      </c>
      <c r="G524" s="168"/>
      <c r="H524" s="168"/>
      <c r="I524" s="168"/>
      <c r="J524" s="168"/>
      <c r="K524" s="169"/>
      <c r="L524" s="146"/>
      <c r="M524" s="147"/>
      <c r="N524" s="173" t="s">
        <v>6</v>
      </c>
      <c r="O524" s="159"/>
      <c r="P524" s="57"/>
      <c r="Q524" s="159" t="s">
        <v>7</v>
      </c>
      <c r="R524" s="159"/>
      <c r="S524" s="57"/>
      <c r="T524" s="159" t="s">
        <v>8</v>
      </c>
      <c r="U524" s="160"/>
      <c r="V524" s="175"/>
      <c r="X524" s="214"/>
    </row>
    <row r="525" spans="2:24" ht="10.95" customHeight="1" x14ac:dyDescent="0.25">
      <c r="B525" s="54"/>
      <c r="C525" s="55"/>
      <c r="D525" s="56"/>
      <c r="E525" s="156"/>
      <c r="F525" s="170"/>
      <c r="G525" s="171"/>
      <c r="H525" s="171"/>
      <c r="I525" s="171"/>
      <c r="J525" s="171"/>
      <c r="K525" s="172"/>
      <c r="L525" s="148"/>
      <c r="M525" s="144"/>
      <c r="N525" s="174"/>
      <c r="O525" s="161"/>
      <c r="P525" s="27"/>
      <c r="Q525" s="161"/>
      <c r="R525" s="161"/>
      <c r="S525" s="27"/>
      <c r="T525" s="161"/>
      <c r="U525" s="162"/>
      <c r="V525" s="176"/>
      <c r="X525" s="214"/>
    </row>
    <row r="526" spans="2:24" ht="7.5" customHeight="1" x14ac:dyDescent="0.25"/>
    <row r="527" spans="2:24" s="34" customFormat="1" x14ac:dyDescent="0.25">
      <c r="E527" s="35" t="s">
        <v>30</v>
      </c>
      <c r="K527" s="35" t="s">
        <v>28</v>
      </c>
    </row>
    <row r="528" spans="2:24" x14ac:dyDescent="0.25">
      <c r="E528" s="33" t="s">
        <v>31</v>
      </c>
      <c r="F528" s="149"/>
      <c r="G528" s="149"/>
      <c r="H528" s="149"/>
      <c r="I528" s="149"/>
      <c r="J528" s="149"/>
      <c r="K528" s="33" t="s">
        <v>29</v>
      </c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</row>
    <row r="529" spans="2:24" ht="6.75" customHeight="1" x14ac:dyDescent="0.25">
      <c r="F529" s="34"/>
      <c r="G529" s="34"/>
      <c r="H529" s="34"/>
      <c r="I529" s="34"/>
      <c r="J529" s="34"/>
    </row>
    <row r="530" spans="2:24" s="34" customFormat="1" x14ac:dyDescent="0.25">
      <c r="E530" s="35" t="s">
        <v>32</v>
      </c>
      <c r="K530" s="35" t="s">
        <v>36</v>
      </c>
    </row>
    <row r="531" spans="2:24" x14ac:dyDescent="0.25">
      <c r="E531" s="33" t="s">
        <v>33</v>
      </c>
      <c r="F531" s="149"/>
      <c r="G531" s="149"/>
      <c r="H531" s="149"/>
      <c r="I531" s="149"/>
      <c r="J531" s="149"/>
      <c r="K531" s="33" t="s">
        <v>29</v>
      </c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</row>
    <row r="532" spans="2:24" ht="6.75" customHeight="1" x14ac:dyDescent="0.25">
      <c r="F532" s="34"/>
      <c r="G532" s="34"/>
      <c r="H532" s="34"/>
      <c r="I532" s="34"/>
      <c r="J532" s="34"/>
    </row>
    <row r="533" spans="2:24" s="34" customFormat="1" ht="13.8" customHeight="1" x14ac:dyDescent="0.25">
      <c r="E533" s="35" t="s">
        <v>34</v>
      </c>
      <c r="F533" s="177" t="str">
        <f>IF(F486&lt;&gt;"",$F$65,"")</f>
        <v/>
      </c>
      <c r="G533" s="177"/>
      <c r="H533" s="177"/>
      <c r="I533" s="177"/>
      <c r="J533" s="177"/>
      <c r="K533" s="35" t="s">
        <v>28</v>
      </c>
      <c r="X533" s="70" t="s">
        <v>107</v>
      </c>
    </row>
    <row r="534" spans="2:24" ht="13.2" customHeight="1" x14ac:dyDescent="0.25">
      <c r="E534" s="33" t="s">
        <v>35</v>
      </c>
      <c r="F534" s="178"/>
      <c r="G534" s="178"/>
      <c r="H534" s="178"/>
      <c r="I534" s="178"/>
      <c r="J534" s="178"/>
      <c r="K534" s="33" t="s">
        <v>29</v>
      </c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X534" s="70" t="s">
        <v>105</v>
      </c>
    </row>
    <row r="535" spans="2:24" ht="12.75" customHeight="1" thickBot="1" x14ac:dyDescent="0.3"/>
    <row r="536" spans="2:24" ht="13.8" thickTop="1" x14ac:dyDescent="0.25">
      <c r="B536" s="34" t="s">
        <v>37</v>
      </c>
      <c r="C536" s="34"/>
      <c r="D536" s="34"/>
      <c r="H536" s="150" t="s">
        <v>40</v>
      </c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</row>
    <row r="537" spans="2:24" x14ac:dyDescent="0.25">
      <c r="B537" s="34" t="s">
        <v>38</v>
      </c>
      <c r="C537" s="34"/>
      <c r="D537" s="34"/>
      <c r="H537" s="152"/>
      <c r="I537" s="153"/>
      <c r="J537" s="153"/>
      <c r="K537" s="153"/>
      <c r="L537" s="153"/>
      <c r="M537" s="153"/>
      <c r="N537" s="153"/>
      <c r="O537" s="153"/>
      <c r="P537" s="153"/>
      <c r="Q537" s="153"/>
      <c r="R537" s="153"/>
      <c r="S537" s="153"/>
      <c r="T537" s="153"/>
      <c r="U537" s="153"/>
      <c r="V537" s="153"/>
    </row>
    <row r="538" spans="2:24" ht="12.75" customHeight="1" x14ac:dyDescent="0.25">
      <c r="B538" s="163" t="s">
        <v>39</v>
      </c>
      <c r="C538" s="163"/>
      <c r="D538" s="163"/>
      <c r="E538" s="163"/>
      <c r="F538" s="163"/>
      <c r="H538" s="37" t="s">
        <v>41</v>
      </c>
    </row>
    <row r="539" spans="2:24" ht="13.8" x14ac:dyDescent="0.25">
      <c r="B539" s="163"/>
      <c r="C539" s="163"/>
      <c r="D539" s="163"/>
      <c r="E539" s="163"/>
      <c r="F539" s="163"/>
      <c r="H539" s="38" t="s">
        <v>42</v>
      </c>
    </row>
    <row r="540" spans="2:24" x14ac:dyDescent="0.25">
      <c r="B540" s="163"/>
      <c r="C540" s="163"/>
      <c r="D540" s="163"/>
      <c r="E540" s="163"/>
      <c r="F540" s="163"/>
      <c r="H540" s="36"/>
    </row>
    <row r="541" spans="2:24" x14ac:dyDescent="0.25">
      <c r="B541" s="163"/>
      <c r="C541" s="163"/>
      <c r="D541" s="163"/>
      <c r="E541" s="163"/>
      <c r="F541" s="163"/>
      <c r="H541" s="36"/>
    </row>
    <row r="542" spans="2:24" x14ac:dyDescent="0.25">
      <c r="H542" s="36"/>
    </row>
    <row r="543" spans="2:24" x14ac:dyDescent="0.25">
      <c r="H543" s="36"/>
    </row>
    <row r="544" spans="2:24" x14ac:dyDescent="0.25">
      <c r="H544" s="36"/>
    </row>
    <row r="545" spans="2:24" x14ac:dyDescent="0.25">
      <c r="H545" s="36"/>
    </row>
    <row r="546" spans="2:24" ht="13.8" x14ac:dyDescent="0.25">
      <c r="H546" s="157" t="str">
        <f>IF(F486&lt;&gt;"",$H$78,"")</f>
        <v/>
      </c>
      <c r="I546" s="158"/>
      <c r="J546" s="158"/>
      <c r="K546" s="158"/>
      <c r="L546" s="158"/>
      <c r="M546" s="158"/>
      <c r="N546" s="158"/>
      <c r="O546" s="158"/>
      <c r="P546" s="158"/>
      <c r="Q546" s="158"/>
      <c r="R546" s="158"/>
      <c r="S546" s="158"/>
      <c r="T546" s="158"/>
      <c r="U546" s="158"/>
      <c r="V546" s="158"/>
    </row>
    <row r="547" spans="2:24" x14ac:dyDescent="0.25">
      <c r="H547" s="36"/>
    </row>
    <row r="548" spans="2:24" ht="28.5" customHeight="1" x14ac:dyDescent="0.3">
      <c r="B548" s="193" t="s">
        <v>43</v>
      </c>
      <c r="C548" s="193"/>
      <c r="D548" s="193"/>
      <c r="E548" s="194"/>
      <c r="F548" s="194"/>
      <c r="G548" s="194"/>
      <c r="H548" s="194"/>
      <c r="I548" s="2"/>
      <c r="J548" s="2"/>
      <c r="K548" s="13" t="s">
        <v>25</v>
      </c>
      <c r="L548" s="195" t="s">
        <v>14</v>
      </c>
      <c r="M548" s="196"/>
      <c r="N548" s="196"/>
      <c r="O548" s="196"/>
      <c r="P548" s="196"/>
      <c r="Q548" s="196"/>
      <c r="R548" s="196"/>
      <c r="S548" s="196"/>
      <c r="T548" s="196"/>
      <c r="U548" s="196"/>
      <c r="V548" s="197"/>
      <c r="X548" s="1"/>
    </row>
    <row r="549" spans="2:24" ht="26.25" customHeight="1" x14ac:dyDescent="0.4">
      <c r="B549" s="39" t="s">
        <v>44</v>
      </c>
      <c r="C549" s="39"/>
      <c r="D549" s="39"/>
      <c r="E549" s="2"/>
      <c r="F549" s="2"/>
      <c r="G549" s="2"/>
      <c r="H549" s="2"/>
      <c r="I549" s="2"/>
      <c r="J549" s="2"/>
      <c r="K549" s="29" t="s">
        <v>13</v>
      </c>
      <c r="L549" s="15">
        <v>4</v>
      </c>
      <c r="M549" s="16">
        <v>1</v>
      </c>
      <c r="N549" s="15">
        <v>0</v>
      </c>
      <c r="O549" s="198">
        <v>0</v>
      </c>
      <c r="P549" s="199"/>
      <c r="Q549" s="14">
        <v>0</v>
      </c>
      <c r="R549" s="200">
        <v>1</v>
      </c>
      <c r="S549" s="201"/>
      <c r="T549" s="6"/>
      <c r="U549" s="6"/>
      <c r="V549" s="7"/>
      <c r="X549" s="1"/>
    </row>
    <row r="550" spans="2:24" ht="21" customHeight="1" x14ac:dyDescent="0.25">
      <c r="B550" s="26" t="s">
        <v>45</v>
      </c>
      <c r="C550" s="26"/>
      <c r="D550" s="26"/>
      <c r="E550" s="25"/>
      <c r="F550" s="25"/>
      <c r="G550" s="25"/>
      <c r="H550" s="25"/>
      <c r="I550" s="25"/>
      <c r="J550" s="25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X550" s="1"/>
    </row>
    <row r="551" spans="2:24" ht="13.5" customHeight="1" x14ac:dyDescent="0.25">
      <c r="B551" s="40" t="s">
        <v>24</v>
      </c>
      <c r="C551" s="40"/>
      <c r="D551" s="40"/>
      <c r="E551" s="25"/>
      <c r="F551" s="25"/>
      <c r="G551" s="25"/>
      <c r="H551" s="25"/>
      <c r="I551" s="25"/>
      <c r="J551" s="25"/>
      <c r="K551" s="28" t="s">
        <v>6</v>
      </c>
      <c r="L551" s="202" t="str">
        <f>IF(F564&lt;&gt;"",$L$5,"")</f>
        <v/>
      </c>
      <c r="M551" s="203"/>
      <c r="N551" s="204" t="s">
        <v>15</v>
      </c>
      <c r="O551" s="204"/>
      <c r="P551" s="204"/>
      <c r="Q551" s="205" t="str">
        <f>IF(F564&lt;&gt;"",$Q$5,"")</f>
        <v/>
      </c>
      <c r="R551" s="206"/>
      <c r="S551" s="207" t="s">
        <v>16</v>
      </c>
      <c r="T551" s="204"/>
      <c r="U551" s="82" t="str">
        <f>IF(F564&lt;&gt;"",$U$5,"")</f>
        <v/>
      </c>
      <c r="V551" s="63"/>
      <c r="X551" s="1"/>
    </row>
    <row r="552" spans="2:24" ht="8.25" customHeight="1" x14ac:dyDescent="0.25"/>
    <row r="553" spans="2:24" ht="11.25" customHeight="1" x14ac:dyDescent="0.25">
      <c r="B553" s="24" t="s">
        <v>17</v>
      </c>
      <c r="C553" s="24"/>
      <c r="D553" s="24"/>
    </row>
    <row r="554" spans="2:24" ht="11.25" customHeight="1" x14ac:dyDescent="0.25">
      <c r="B554" s="8" t="s">
        <v>18</v>
      </c>
      <c r="C554" s="8"/>
      <c r="D554" s="8"/>
    </row>
    <row r="555" spans="2:24" ht="5.25" customHeight="1" x14ac:dyDescent="0.25">
      <c r="B555" s="8"/>
      <c r="C555" s="8"/>
      <c r="D555" s="8"/>
    </row>
    <row r="556" spans="2:24" x14ac:dyDescent="0.25">
      <c r="B556" s="179" t="s">
        <v>19</v>
      </c>
      <c r="C556" s="179"/>
      <c r="D556" s="179"/>
      <c r="E556" s="179"/>
      <c r="F556" s="179"/>
      <c r="G556" s="18" t="s">
        <v>6</v>
      </c>
      <c r="H556" s="64" t="str">
        <f>IF(F564&lt;&gt;"",$H$10,"")</f>
        <v/>
      </c>
      <c r="I556" s="9" t="s">
        <v>15</v>
      </c>
      <c r="J556" s="83" t="str">
        <f>IF(F564&lt;&gt;"",$J$10,"")</f>
        <v/>
      </c>
      <c r="K556" s="9" t="s">
        <v>16</v>
      </c>
      <c r="L556" s="180" t="str">
        <f>IF(F564&lt;&gt;"",$L$10,"")</f>
        <v/>
      </c>
      <c r="M556" s="181"/>
      <c r="X556" s="32"/>
    </row>
    <row r="557" spans="2:24" ht="5.25" customHeight="1" x14ac:dyDescent="0.25">
      <c r="B557" s="8"/>
      <c r="C557" s="8"/>
      <c r="D557" s="8"/>
      <c r="E557" s="8"/>
      <c r="F557" s="8"/>
      <c r="G557" s="19"/>
      <c r="H557" s="20"/>
      <c r="I557" s="21"/>
      <c r="J557" s="20"/>
      <c r="K557" s="10"/>
      <c r="L557" s="22"/>
      <c r="X557" s="32"/>
    </row>
    <row r="558" spans="2:24" s="73" customFormat="1" ht="14.4" customHeight="1" x14ac:dyDescent="0.25">
      <c r="B558" s="72" t="s">
        <v>20</v>
      </c>
      <c r="C558" s="72"/>
      <c r="D558" s="72"/>
      <c r="X558" s="74"/>
    </row>
    <row r="559" spans="2:24" s="73" customFormat="1" ht="14.4" customHeight="1" x14ac:dyDescent="0.25">
      <c r="B559" s="75" t="s">
        <v>21</v>
      </c>
      <c r="C559" s="10"/>
      <c r="D559" s="10"/>
      <c r="E559" s="22" t="s">
        <v>22</v>
      </c>
      <c r="X559" s="74"/>
    </row>
    <row r="560" spans="2:24" s="73" customFormat="1" ht="14.4" customHeight="1" x14ac:dyDescent="0.25">
      <c r="B560" s="22"/>
      <c r="C560" s="22"/>
      <c r="D560" s="22"/>
      <c r="E560" s="22" t="s">
        <v>23</v>
      </c>
      <c r="X560" s="164" t="s">
        <v>102</v>
      </c>
    </row>
    <row r="561" spans="2:24" ht="7.5" customHeight="1" x14ac:dyDescent="0.25">
      <c r="B561" s="8"/>
      <c r="C561" s="8"/>
      <c r="D561" s="8"/>
      <c r="X561" s="164"/>
    </row>
    <row r="562" spans="2:24" ht="17.25" customHeight="1" x14ac:dyDescent="0.25">
      <c r="B562" s="182"/>
      <c r="C562" s="59"/>
      <c r="D562" s="60"/>
      <c r="E562" s="184" t="s">
        <v>0</v>
      </c>
      <c r="F562" s="186" t="s">
        <v>1</v>
      </c>
      <c r="G562" s="187"/>
      <c r="H562" s="4"/>
      <c r="I562" s="4"/>
      <c r="J562" s="4"/>
      <c r="K562" s="5"/>
      <c r="L562" s="145" t="s">
        <v>3</v>
      </c>
      <c r="M562" s="142"/>
      <c r="N562" s="188" t="s">
        <v>10</v>
      </c>
      <c r="O562" s="188"/>
      <c r="P562" s="188"/>
      <c r="Q562" s="188"/>
      <c r="R562" s="188"/>
      <c r="S562" s="188"/>
      <c r="T562" s="188"/>
      <c r="U562" s="189"/>
      <c r="V562" s="3" t="s">
        <v>12</v>
      </c>
      <c r="X562" s="68" t="s">
        <v>200</v>
      </c>
    </row>
    <row r="563" spans="2:24" ht="17.25" customHeight="1" x14ac:dyDescent="0.25">
      <c r="B563" s="183"/>
      <c r="C563" s="61"/>
      <c r="D563" s="62"/>
      <c r="E563" s="185"/>
      <c r="F563" s="30" t="s">
        <v>2</v>
      </c>
      <c r="G563" s="17"/>
      <c r="H563" s="6"/>
      <c r="I563" s="6"/>
      <c r="J563" s="6"/>
      <c r="K563" s="7"/>
      <c r="L563" s="190" t="s">
        <v>4</v>
      </c>
      <c r="M563" s="191"/>
      <c r="N563" s="192" t="s">
        <v>9</v>
      </c>
      <c r="O563" s="192"/>
      <c r="P563" s="192"/>
      <c r="Q563" s="192"/>
      <c r="R563" s="192"/>
      <c r="S563" s="192"/>
      <c r="T563" s="192"/>
      <c r="U563" s="191"/>
      <c r="V563" s="31" t="s">
        <v>11</v>
      </c>
      <c r="X563" s="69"/>
    </row>
    <row r="564" spans="2:24" ht="10.95" customHeight="1" x14ac:dyDescent="0.25">
      <c r="B564" s="41"/>
      <c r="C564" s="51"/>
      <c r="D564" s="42"/>
      <c r="E564" s="154">
        <v>71</v>
      </c>
      <c r="F564" s="145" t="str">
        <f>_xlfn.IFNA(VLOOKUP(E564,'Data Kyu'!$A$6:$I$471,3,0),"")</f>
        <v/>
      </c>
      <c r="G564" s="142"/>
      <c r="H564" s="66"/>
      <c r="I564" s="66"/>
      <c r="J564" s="66"/>
      <c r="K564" s="66"/>
      <c r="L564" s="145" t="str">
        <f>_xlfn.IFNA(VLOOKUP(E564,'Data Kyu'!$A$6:$I$471,9,0),"")</f>
        <v/>
      </c>
      <c r="M564" s="142"/>
      <c r="N564" s="145" t="str">
        <f>_xlfn.IFNA(VLOOKUP(E564,'Data Kyu'!$A$6:$I$471,6,0),"")</f>
        <v/>
      </c>
      <c r="O564" s="141"/>
      <c r="P564" s="139" t="s">
        <v>5</v>
      </c>
      <c r="Q564" s="141" t="str">
        <f>_xlfn.IFNA(VLOOKUP(E564,'Data Kyu'!$A$6:$I$471,7,0),"")</f>
        <v/>
      </c>
      <c r="R564" s="141"/>
      <c r="S564" s="139" t="s">
        <v>5</v>
      </c>
      <c r="T564" s="141" t="str">
        <f>_xlfn.IFNA(VLOOKUP(E564,'Data Kyu'!$A$6:$I$471,8,0),"")</f>
        <v/>
      </c>
      <c r="U564" s="142"/>
      <c r="V564" s="142" t="str">
        <f>_xlfn.IFNA(VLOOKUP(E564,'Data Kyu'!$A$6:$I$471,4,0),"")</f>
        <v/>
      </c>
      <c r="X564" s="214" t="str">
        <f>_xlfn.IFNA(VLOOKUP(F564,'Data Kyu'!$C$6:$N$997,12,0),"No Data")</f>
        <v>No Data</v>
      </c>
    </row>
    <row r="565" spans="2:24" ht="10.95" customHeight="1" x14ac:dyDescent="0.25">
      <c r="B565" s="52"/>
      <c r="C565" s="165" t="str">
        <f>IF(X564="LULUS","V","")</f>
        <v/>
      </c>
      <c r="D565" s="53"/>
      <c r="E565" s="155"/>
      <c r="F565" s="148"/>
      <c r="G565" s="144"/>
      <c r="H565" s="67"/>
      <c r="I565" s="67"/>
      <c r="J565" s="67"/>
      <c r="K565" s="67"/>
      <c r="L565" s="146"/>
      <c r="M565" s="147"/>
      <c r="N565" s="148"/>
      <c r="O565" s="143"/>
      <c r="P565" s="140"/>
      <c r="Q565" s="143"/>
      <c r="R565" s="143"/>
      <c r="S565" s="140"/>
      <c r="T565" s="143"/>
      <c r="U565" s="144"/>
      <c r="V565" s="147"/>
      <c r="X565" s="214"/>
    </row>
    <row r="566" spans="2:24" ht="10.95" customHeight="1" x14ac:dyDescent="0.25">
      <c r="B566" s="52"/>
      <c r="C566" s="166"/>
      <c r="D566" s="53"/>
      <c r="E566" s="155"/>
      <c r="F566" s="167" t="str">
        <f>_xlfn.IFNA(VLOOKUP(E564,'Data Kyu'!$A$6:$I$471,2,0),"")</f>
        <v/>
      </c>
      <c r="G566" s="168"/>
      <c r="H566" s="168"/>
      <c r="I566" s="168"/>
      <c r="J566" s="168"/>
      <c r="K566" s="169"/>
      <c r="L566" s="146"/>
      <c r="M566" s="147"/>
      <c r="N566" s="173" t="s">
        <v>6</v>
      </c>
      <c r="O566" s="159"/>
      <c r="P566" s="57"/>
      <c r="Q566" s="159" t="s">
        <v>7</v>
      </c>
      <c r="R566" s="159"/>
      <c r="S566" s="57"/>
      <c r="T566" s="159" t="s">
        <v>8</v>
      </c>
      <c r="U566" s="160"/>
      <c r="V566" s="175"/>
      <c r="X566" s="214"/>
    </row>
    <row r="567" spans="2:24" ht="10.95" customHeight="1" x14ac:dyDescent="0.25">
      <c r="B567" s="54"/>
      <c r="C567" s="76"/>
      <c r="D567" s="56"/>
      <c r="E567" s="156"/>
      <c r="F567" s="170"/>
      <c r="G567" s="171"/>
      <c r="H567" s="171"/>
      <c r="I567" s="171"/>
      <c r="J567" s="171"/>
      <c r="K567" s="172"/>
      <c r="L567" s="148"/>
      <c r="M567" s="144"/>
      <c r="N567" s="174"/>
      <c r="O567" s="161"/>
      <c r="P567" s="27"/>
      <c r="Q567" s="161"/>
      <c r="R567" s="161"/>
      <c r="S567" s="27"/>
      <c r="T567" s="161"/>
      <c r="U567" s="162"/>
      <c r="V567" s="176"/>
      <c r="X567" s="214"/>
    </row>
    <row r="568" spans="2:24" ht="10.95" customHeight="1" x14ac:dyDescent="0.25">
      <c r="B568" s="41"/>
      <c r="C568" s="77"/>
      <c r="D568" s="42"/>
      <c r="E568" s="154">
        <v>72</v>
      </c>
      <c r="F568" s="145" t="str">
        <f>_xlfn.IFNA(VLOOKUP(E568,'Data Kyu'!$A$6:$I$471,3,0),"")</f>
        <v/>
      </c>
      <c r="G568" s="142"/>
      <c r="H568" s="66"/>
      <c r="I568" s="66"/>
      <c r="J568" s="66"/>
      <c r="K568" s="66"/>
      <c r="L568" s="145" t="str">
        <f>_xlfn.IFNA(VLOOKUP(E568,'Data Kyu'!$A$6:$I$471,9,0),"")</f>
        <v/>
      </c>
      <c r="M568" s="142"/>
      <c r="N568" s="145" t="str">
        <f>_xlfn.IFNA(VLOOKUP(E568,'Data Kyu'!$A$6:$I$471,6,0),"")</f>
        <v/>
      </c>
      <c r="O568" s="141"/>
      <c r="P568" s="139" t="s">
        <v>5</v>
      </c>
      <c r="Q568" s="141" t="str">
        <f>_xlfn.IFNA(VLOOKUP(E568,'Data Kyu'!$A$6:$I$471,7,0),"")</f>
        <v/>
      </c>
      <c r="R568" s="141"/>
      <c r="S568" s="139" t="s">
        <v>5</v>
      </c>
      <c r="T568" s="141" t="str">
        <f>_xlfn.IFNA(VLOOKUP(E568,'Data Kyu'!$A$6:$I$471,8,0),"")</f>
        <v/>
      </c>
      <c r="U568" s="142"/>
      <c r="V568" s="142" t="str">
        <f>_xlfn.IFNA(VLOOKUP(E568,'Data Kyu'!$A$6:$I$471,4,0),"")</f>
        <v/>
      </c>
      <c r="X568" s="214" t="str">
        <f>_xlfn.IFNA(VLOOKUP(F568,'Data Kyu'!$C$6:$N$997,12,0),"No Data")</f>
        <v>No Data</v>
      </c>
    </row>
    <row r="569" spans="2:24" ht="10.95" customHeight="1" x14ac:dyDescent="0.25">
      <c r="B569" s="52"/>
      <c r="C569" s="165" t="str">
        <f>IF(X568="LULUS","V","")</f>
        <v/>
      </c>
      <c r="D569" s="53"/>
      <c r="E569" s="155"/>
      <c r="F569" s="148"/>
      <c r="G569" s="144"/>
      <c r="H569" s="67"/>
      <c r="I569" s="67"/>
      <c r="J569" s="67"/>
      <c r="K569" s="67"/>
      <c r="L569" s="146"/>
      <c r="M569" s="147"/>
      <c r="N569" s="148"/>
      <c r="O569" s="143"/>
      <c r="P569" s="140"/>
      <c r="Q569" s="143"/>
      <c r="R569" s="143"/>
      <c r="S569" s="140"/>
      <c r="T569" s="143"/>
      <c r="U569" s="144"/>
      <c r="V569" s="147"/>
      <c r="X569" s="214"/>
    </row>
    <row r="570" spans="2:24" ht="10.95" customHeight="1" x14ac:dyDescent="0.25">
      <c r="B570" s="52"/>
      <c r="C570" s="166"/>
      <c r="D570" s="53"/>
      <c r="E570" s="155"/>
      <c r="F570" s="167" t="str">
        <f>_xlfn.IFNA(VLOOKUP(E568,'Data Kyu'!$A$6:$I$471,2,0),"")</f>
        <v/>
      </c>
      <c r="G570" s="168"/>
      <c r="H570" s="168"/>
      <c r="I570" s="168"/>
      <c r="J570" s="168"/>
      <c r="K570" s="169"/>
      <c r="L570" s="146"/>
      <c r="M570" s="147"/>
      <c r="N570" s="173" t="s">
        <v>6</v>
      </c>
      <c r="O570" s="159"/>
      <c r="P570" s="57"/>
      <c r="Q570" s="159" t="s">
        <v>7</v>
      </c>
      <c r="R570" s="159"/>
      <c r="S570" s="57"/>
      <c r="T570" s="159" t="s">
        <v>8</v>
      </c>
      <c r="U570" s="160"/>
      <c r="V570" s="175"/>
      <c r="X570" s="214"/>
    </row>
    <row r="571" spans="2:24" ht="10.95" customHeight="1" x14ac:dyDescent="0.25">
      <c r="B571" s="54"/>
      <c r="C571" s="76"/>
      <c r="D571" s="56"/>
      <c r="E571" s="156"/>
      <c r="F571" s="170"/>
      <c r="G571" s="171"/>
      <c r="H571" s="171"/>
      <c r="I571" s="171"/>
      <c r="J571" s="171"/>
      <c r="K571" s="172"/>
      <c r="L571" s="148"/>
      <c r="M571" s="144"/>
      <c r="N571" s="174"/>
      <c r="O571" s="161"/>
      <c r="P571" s="27"/>
      <c r="Q571" s="161"/>
      <c r="R571" s="161"/>
      <c r="S571" s="27"/>
      <c r="T571" s="161"/>
      <c r="U571" s="162"/>
      <c r="V571" s="176"/>
      <c r="X571" s="214"/>
    </row>
    <row r="572" spans="2:24" ht="10.95" customHeight="1" x14ac:dyDescent="0.25">
      <c r="B572" s="41"/>
      <c r="C572" s="77"/>
      <c r="D572" s="42"/>
      <c r="E572" s="154">
        <v>73</v>
      </c>
      <c r="F572" s="145" t="str">
        <f>_xlfn.IFNA(VLOOKUP(E572,'Data Kyu'!$A$6:$I$471,3,0),"")</f>
        <v/>
      </c>
      <c r="G572" s="142"/>
      <c r="H572" s="66"/>
      <c r="I572" s="66"/>
      <c r="J572" s="66"/>
      <c r="K572" s="66"/>
      <c r="L572" s="145" t="str">
        <f>_xlfn.IFNA(VLOOKUP(E572,'Data Kyu'!$A$6:$I$471,9,0),"")</f>
        <v/>
      </c>
      <c r="M572" s="142"/>
      <c r="N572" s="145" t="str">
        <f>_xlfn.IFNA(VLOOKUP(E572,'Data Kyu'!$A$6:$I$471,6,0),"")</f>
        <v/>
      </c>
      <c r="O572" s="141"/>
      <c r="P572" s="139" t="s">
        <v>5</v>
      </c>
      <c r="Q572" s="141" t="str">
        <f>_xlfn.IFNA(VLOOKUP(E572,'Data Kyu'!$A$6:$I$471,7,0),"")</f>
        <v/>
      </c>
      <c r="R572" s="141"/>
      <c r="S572" s="139" t="s">
        <v>5</v>
      </c>
      <c r="T572" s="141" t="str">
        <f>_xlfn.IFNA(VLOOKUP(E572,'Data Kyu'!$A$6:$I$471,8,0),"")</f>
        <v/>
      </c>
      <c r="U572" s="142"/>
      <c r="V572" s="142" t="str">
        <f>_xlfn.IFNA(VLOOKUP(E572,'Data Kyu'!$A$6:$I$471,4,0),"")</f>
        <v/>
      </c>
      <c r="X572" s="214" t="str">
        <f>_xlfn.IFNA(VLOOKUP(F572,'Data Kyu'!$C$6:$N$997,12,0),"No Data")</f>
        <v>No Data</v>
      </c>
    </row>
    <row r="573" spans="2:24" ht="10.95" customHeight="1" x14ac:dyDescent="0.25">
      <c r="B573" s="52"/>
      <c r="C573" s="165" t="str">
        <f>IF(X572="LULUS","V","")</f>
        <v/>
      </c>
      <c r="D573" s="53"/>
      <c r="E573" s="155"/>
      <c r="F573" s="148"/>
      <c r="G573" s="144"/>
      <c r="H573" s="67"/>
      <c r="I573" s="67"/>
      <c r="J573" s="67"/>
      <c r="K573" s="67"/>
      <c r="L573" s="146"/>
      <c r="M573" s="147"/>
      <c r="N573" s="148"/>
      <c r="O573" s="143"/>
      <c r="P573" s="140"/>
      <c r="Q573" s="143"/>
      <c r="R573" s="143"/>
      <c r="S573" s="140"/>
      <c r="T573" s="143"/>
      <c r="U573" s="144"/>
      <c r="V573" s="147"/>
      <c r="X573" s="214"/>
    </row>
    <row r="574" spans="2:24" ht="10.95" customHeight="1" x14ac:dyDescent="0.25">
      <c r="B574" s="52"/>
      <c r="C574" s="166"/>
      <c r="D574" s="53"/>
      <c r="E574" s="155"/>
      <c r="F574" s="167" t="str">
        <f>_xlfn.IFNA(VLOOKUP(E572,'Data Kyu'!$A$6:$I$471,2,0),"")</f>
        <v/>
      </c>
      <c r="G574" s="168"/>
      <c r="H574" s="168"/>
      <c r="I574" s="168"/>
      <c r="J574" s="168"/>
      <c r="K574" s="169"/>
      <c r="L574" s="146"/>
      <c r="M574" s="147"/>
      <c r="N574" s="173" t="s">
        <v>6</v>
      </c>
      <c r="O574" s="159"/>
      <c r="P574" s="57"/>
      <c r="Q574" s="159" t="s">
        <v>7</v>
      </c>
      <c r="R574" s="159"/>
      <c r="S574" s="57"/>
      <c r="T574" s="159" t="s">
        <v>8</v>
      </c>
      <c r="U574" s="160"/>
      <c r="V574" s="175"/>
      <c r="X574" s="214"/>
    </row>
    <row r="575" spans="2:24" ht="10.95" customHeight="1" x14ac:dyDescent="0.25">
      <c r="B575" s="54"/>
      <c r="C575" s="76"/>
      <c r="D575" s="56"/>
      <c r="E575" s="156"/>
      <c r="F575" s="170"/>
      <c r="G575" s="171"/>
      <c r="H575" s="171"/>
      <c r="I575" s="171"/>
      <c r="J575" s="171"/>
      <c r="K575" s="172"/>
      <c r="L575" s="148"/>
      <c r="M575" s="144"/>
      <c r="N575" s="174"/>
      <c r="O575" s="161"/>
      <c r="P575" s="27"/>
      <c r="Q575" s="161"/>
      <c r="R575" s="161"/>
      <c r="S575" s="27"/>
      <c r="T575" s="161"/>
      <c r="U575" s="162"/>
      <c r="V575" s="176"/>
      <c r="X575" s="214"/>
    </row>
    <row r="576" spans="2:24" ht="10.95" customHeight="1" x14ac:dyDescent="0.25">
      <c r="B576" s="41"/>
      <c r="C576" s="77"/>
      <c r="D576" s="42"/>
      <c r="E576" s="154">
        <v>74</v>
      </c>
      <c r="F576" s="145" t="str">
        <f>_xlfn.IFNA(VLOOKUP(E576,'Data Kyu'!$A$6:$I$471,3,0),"")</f>
        <v/>
      </c>
      <c r="G576" s="142"/>
      <c r="H576" s="66"/>
      <c r="I576" s="66"/>
      <c r="J576" s="66"/>
      <c r="K576" s="66"/>
      <c r="L576" s="145" t="str">
        <f>_xlfn.IFNA(VLOOKUP(E576,'Data Kyu'!$A$6:$I$471,9,0),"")</f>
        <v/>
      </c>
      <c r="M576" s="142"/>
      <c r="N576" s="145" t="str">
        <f>_xlfn.IFNA(VLOOKUP(E576,'Data Kyu'!$A$6:$I$471,6,0),"")</f>
        <v/>
      </c>
      <c r="O576" s="141"/>
      <c r="P576" s="139" t="s">
        <v>5</v>
      </c>
      <c r="Q576" s="141" t="str">
        <f>_xlfn.IFNA(VLOOKUP(E576,'Data Kyu'!$A$6:$I$471,7,0),"")</f>
        <v/>
      </c>
      <c r="R576" s="141"/>
      <c r="S576" s="139" t="s">
        <v>5</v>
      </c>
      <c r="T576" s="141" t="str">
        <f>_xlfn.IFNA(VLOOKUP(E576,'Data Kyu'!$A$6:$I$471,8,0),"")</f>
        <v/>
      </c>
      <c r="U576" s="142"/>
      <c r="V576" s="142" t="str">
        <f>_xlfn.IFNA(VLOOKUP(E576,'Data Kyu'!$A$6:$I$471,4,0),"")</f>
        <v/>
      </c>
      <c r="X576" s="214" t="str">
        <f>_xlfn.IFNA(VLOOKUP(F576,'Data Kyu'!$C$6:$N$997,12,0),"No Data")</f>
        <v>No Data</v>
      </c>
    </row>
    <row r="577" spans="2:24" ht="10.95" customHeight="1" x14ac:dyDescent="0.25">
      <c r="B577" s="52"/>
      <c r="C577" s="165" t="str">
        <f>IF(X576="LULUS","V","")</f>
        <v/>
      </c>
      <c r="D577" s="53"/>
      <c r="E577" s="155"/>
      <c r="F577" s="148"/>
      <c r="G577" s="144"/>
      <c r="H577" s="67"/>
      <c r="I577" s="67"/>
      <c r="J577" s="67"/>
      <c r="K577" s="67"/>
      <c r="L577" s="146"/>
      <c r="M577" s="147"/>
      <c r="N577" s="148"/>
      <c r="O577" s="143"/>
      <c r="P577" s="140"/>
      <c r="Q577" s="143"/>
      <c r="R577" s="143"/>
      <c r="S577" s="140"/>
      <c r="T577" s="143"/>
      <c r="U577" s="144"/>
      <c r="V577" s="147"/>
      <c r="X577" s="214"/>
    </row>
    <row r="578" spans="2:24" ht="10.95" customHeight="1" x14ac:dyDescent="0.25">
      <c r="B578" s="52"/>
      <c r="C578" s="166"/>
      <c r="D578" s="53"/>
      <c r="E578" s="155"/>
      <c r="F578" s="167" t="str">
        <f>_xlfn.IFNA(VLOOKUP(E576,'Data Kyu'!$A$6:$I$471,2,0),"")</f>
        <v/>
      </c>
      <c r="G578" s="168"/>
      <c r="H578" s="168"/>
      <c r="I578" s="168"/>
      <c r="J578" s="168"/>
      <c r="K578" s="169"/>
      <c r="L578" s="146"/>
      <c r="M578" s="147"/>
      <c r="N578" s="173" t="s">
        <v>6</v>
      </c>
      <c r="O578" s="159"/>
      <c r="P578" s="57"/>
      <c r="Q578" s="159" t="s">
        <v>7</v>
      </c>
      <c r="R578" s="159"/>
      <c r="S578" s="57"/>
      <c r="T578" s="159" t="s">
        <v>8</v>
      </c>
      <c r="U578" s="160"/>
      <c r="V578" s="175"/>
      <c r="X578" s="214"/>
    </row>
    <row r="579" spans="2:24" ht="10.95" customHeight="1" x14ac:dyDescent="0.25">
      <c r="B579" s="54"/>
      <c r="C579" s="76"/>
      <c r="D579" s="56"/>
      <c r="E579" s="156"/>
      <c r="F579" s="170"/>
      <c r="G579" s="171"/>
      <c r="H579" s="171"/>
      <c r="I579" s="171"/>
      <c r="J579" s="171"/>
      <c r="K579" s="172"/>
      <c r="L579" s="148"/>
      <c r="M579" s="144"/>
      <c r="N579" s="174"/>
      <c r="O579" s="161"/>
      <c r="P579" s="27"/>
      <c r="Q579" s="161"/>
      <c r="R579" s="161"/>
      <c r="S579" s="27"/>
      <c r="T579" s="161"/>
      <c r="U579" s="162"/>
      <c r="V579" s="176"/>
      <c r="X579" s="214"/>
    </row>
    <row r="580" spans="2:24" ht="10.95" customHeight="1" x14ac:dyDescent="0.25">
      <c r="B580" s="41"/>
      <c r="C580" s="77"/>
      <c r="D580" s="42"/>
      <c r="E580" s="154">
        <v>75</v>
      </c>
      <c r="F580" s="145" t="str">
        <f>_xlfn.IFNA(VLOOKUP(E580,'Data Kyu'!$A$6:$I$471,3,0),"")</f>
        <v/>
      </c>
      <c r="G580" s="142"/>
      <c r="H580" s="66"/>
      <c r="I580" s="66"/>
      <c r="J580" s="66"/>
      <c r="K580" s="66"/>
      <c r="L580" s="145" t="str">
        <f>_xlfn.IFNA(VLOOKUP(E580,'Data Kyu'!$A$6:$I$471,9,0),"")</f>
        <v/>
      </c>
      <c r="M580" s="142"/>
      <c r="N580" s="145" t="str">
        <f>_xlfn.IFNA(VLOOKUP(E580,'Data Kyu'!$A$6:$I$471,6,0),"")</f>
        <v/>
      </c>
      <c r="O580" s="141"/>
      <c r="P580" s="139" t="s">
        <v>5</v>
      </c>
      <c r="Q580" s="141" t="str">
        <f>_xlfn.IFNA(VLOOKUP(E580,'Data Kyu'!$A$6:$I$471,7,0),"")</f>
        <v/>
      </c>
      <c r="R580" s="141"/>
      <c r="S580" s="139" t="s">
        <v>5</v>
      </c>
      <c r="T580" s="141" t="str">
        <f>_xlfn.IFNA(VLOOKUP(E580,'Data Kyu'!$A$6:$I$471,8,0),"")</f>
        <v/>
      </c>
      <c r="U580" s="142"/>
      <c r="V580" s="142" t="str">
        <f>_xlfn.IFNA(VLOOKUP(E580,'Data Kyu'!$A$6:$I$471,4,0),"")</f>
        <v/>
      </c>
      <c r="X580" s="214" t="str">
        <f>_xlfn.IFNA(VLOOKUP(F580,'Data Kyu'!$C$6:$N$997,12,0),"No Data")</f>
        <v>No Data</v>
      </c>
    </row>
    <row r="581" spans="2:24" ht="10.95" customHeight="1" x14ac:dyDescent="0.25">
      <c r="B581" s="52"/>
      <c r="C581" s="165" t="str">
        <f>IF(X580="LULUS","V","")</f>
        <v/>
      </c>
      <c r="D581" s="53"/>
      <c r="E581" s="155"/>
      <c r="F581" s="148"/>
      <c r="G581" s="144"/>
      <c r="H581" s="67"/>
      <c r="I581" s="67"/>
      <c r="J581" s="67"/>
      <c r="K581" s="67"/>
      <c r="L581" s="146"/>
      <c r="M581" s="147"/>
      <c r="N581" s="148"/>
      <c r="O581" s="143"/>
      <c r="P581" s="140"/>
      <c r="Q581" s="143"/>
      <c r="R581" s="143"/>
      <c r="S581" s="140"/>
      <c r="T581" s="143"/>
      <c r="U581" s="144"/>
      <c r="V581" s="147"/>
      <c r="X581" s="214"/>
    </row>
    <row r="582" spans="2:24" ht="10.95" customHeight="1" x14ac:dyDescent="0.25">
      <c r="B582" s="52"/>
      <c r="C582" s="166"/>
      <c r="D582" s="53"/>
      <c r="E582" s="155"/>
      <c r="F582" s="167" t="str">
        <f>_xlfn.IFNA(VLOOKUP(E580,'Data Kyu'!$A$6:$I$471,2,0),"")</f>
        <v/>
      </c>
      <c r="G582" s="168"/>
      <c r="H582" s="168"/>
      <c r="I582" s="168"/>
      <c r="J582" s="168"/>
      <c r="K582" s="169"/>
      <c r="L582" s="146"/>
      <c r="M582" s="147"/>
      <c r="N582" s="173" t="s">
        <v>6</v>
      </c>
      <c r="O582" s="159"/>
      <c r="P582" s="57"/>
      <c r="Q582" s="159" t="s">
        <v>7</v>
      </c>
      <c r="R582" s="159"/>
      <c r="S582" s="57"/>
      <c r="T582" s="159" t="s">
        <v>8</v>
      </c>
      <c r="U582" s="160"/>
      <c r="V582" s="175"/>
      <c r="X582" s="214"/>
    </row>
    <row r="583" spans="2:24" ht="10.95" customHeight="1" x14ac:dyDescent="0.25">
      <c r="B583" s="54"/>
      <c r="C583" s="76"/>
      <c r="D583" s="56"/>
      <c r="E583" s="156"/>
      <c r="F583" s="170"/>
      <c r="G583" s="171"/>
      <c r="H583" s="171"/>
      <c r="I583" s="171"/>
      <c r="J583" s="171"/>
      <c r="K583" s="172"/>
      <c r="L583" s="148"/>
      <c r="M583" s="144"/>
      <c r="N583" s="174"/>
      <c r="O583" s="161"/>
      <c r="P583" s="27"/>
      <c r="Q583" s="161"/>
      <c r="R583" s="161"/>
      <c r="S583" s="27"/>
      <c r="T583" s="161"/>
      <c r="U583" s="162"/>
      <c r="V583" s="176"/>
      <c r="X583" s="214"/>
    </row>
    <row r="584" spans="2:24" ht="10.95" customHeight="1" x14ac:dyDescent="0.25">
      <c r="B584" s="41"/>
      <c r="C584" s="77"/>
      <c r="D584" s="42"/>
      <c r="E584" s="154">
        <v>76</v>
      </c>
      <c r="F584" s="145" t="str">
        <f>_xlfn.IFNA(VLOOKUP(E584,'Data Kyu'!$A$6:$I$471,3,0),"")</f>
        <v/>
      </c>
      <c r="G584" s="142"/>
      <c r="H584" s="66"/>
      <c r="I584" s="66"/>
      <c r="J584" s="66"/>
      <c r="K584" s="66"/>
      <c r="L584" s="145" t="str">
        <f>_xlfn.IFNA(VLOOKUP(E584,'Data Kyu'!$A$6:$I$471,9,0),"")</f>
        <v/>
      </c>
      <c r="M584" s="142"/>
      <c r="N584" s="145" t="str">
        <f>_xlfn.IFNA(VLOOKUP(E584,'Data Kyu'!$A$6:$I$471,6,0),"")</f>
        <v/>
      </c>
      <c r="O584" s="141"/>
      <c r="P584" s="139" t="s">
        <v>5</v>
      </c>
      <c r="Q584" s="141" t="str">
        <f>_xlfn.IFNA(VLOOKUP(E584,'Data Kyu'!$A$6:$I$471,7,0),"")</f>
        <v/>
      </c>
      <c r="R584" s="141"/>
      <c r="S584" s="139" t="s">
        <v>5</v>
      </c>
      <c r="T584" s="141" t="str">
        <f>_xlfn.IFNA(VLOOKUP(E584,'Data Kyu'!$A$6:$I$471,8,0),"")</f>
        <v/>
      </c>
      <c r="U584" s="142"/>
      <c r="V584" s="142" t="str">
        <f>_xlfn.IFNA(VLOOKUP(E584,'Data Kyu'!$A$6:$I$471,4,0),"")</f>
        <v/>
      </c>
      <c r="X584" s="214" t="str">
        <f>_xlfn.IFNA(VLOOKUP(F584,'Data Kyu'!$C$6:$N$997,12,0),"No Data")</f>
        <v>No Data</v>
      </c>
    </row>
    <row r="585" spans="2:24" ht="10.95" customHeight="1" x14ac:dyDescent="0.25">
      <c r="B585" s="52"/>
      <c r="C585" s="165" t="str">
        <f>IF(X584="LULUS","V","")</f>
        <v/>
      </c>
      <c r="D585" s="53"/>
      <c r="E585" s="155"/>
      <c r="F585" s="148"/>
      <c r="G585" s="144"/>
      <c r="H585" s="67"/>
      <c r="I585" s="67"/>
      <c r="J585" s="67"/>
      <c r="K585" s="67"/>
      <c r="L585" s="146"/>
      <c r="M585" s="147"/>
      <c r="N585" s="148"/>
      <c r="O585" s="143"/>
      <c r="P585" s="140"/>
      <c r="Q585" s="143"/>
      <c r="R585" s="143"/>
      <c r="S585" s="140"/>
      <c r="T585" s="143"/>
      <c r="U585" s="144"/>
      <c r="V585" s="147"/>
      <c r="X585" s="214"/>
    </row>
    <row r="586" spans="2:24" ht="10.95" customHeight="1" x14ac:dyDescent="0.25">
      <c r="B586" s="52"/>
      <c r="C586" s="166"/>
      <c r="D586" s="53"/>
      <c r="E586" s="155"/>
      <c r="F586" s="167" t="str">
        <f>_xlfn.IFNA(VLOOKUP(E584,'Data Kyu'!$A$6:$I$471,2,0),"")</f>
        <v/>
      </c>
      <c r="G586" s="168"/>
      <c r="H586" s="168"/>
      <c r="I586" s="168"/>
      <c r="J586" s="168"/>
      <c r="K586" s="169"/>
      <c r="L586" s="146"/>
      <c r="M586" s="147"/>
      <c r="N586" s="173" t="s">
        <v>6</v>
      </c>
      <c r="O586" s="159"/>
      <c r="P586" s="57"/>
      <c r="Q586" s="159" t="s">
        <v>7</v>
      </c>
      <c r="R586" s="159"/>
      <c r="S586" s="57"/>
      <c r="T586" s="159" t="s">
        <v>8</v>
      </c>
      <c r="U586" s="160"/>
      <c r="V586" s="175"/>
      <c r="X586" s="214"/>
    </row>
    <row r="587" spans="2:24" ht="10.95" customHeight="1" x14ac:dyDescent="0.25">
      <c r="B587" s="54"/>
      <c r="C587" s="76"/>
      <c r="D587" s="56"/>
      <c r="E587" s="156"/>
      <c r="F587" s="170"/>
      <c r="G587" s="171"/>
      <c r="H587" s="171"/>
      <c r="I587" s="171"/>
      <c r="J587" s="171"/>
      <c r="K587" s="172"/>
      <c r="L587" s="148"/>
      <c r="M587" s="144"/>
      <c r="N587" s="174"/>
      <c r="O587" s="161"/>
      <c r="P587" s="27"/>
      <c r="Q587" s="161"/>
      <c r="R587" s="161"/>
      <c r="S587" s="27"/>
      <c r="T587" s="161"/>
      <c r="U587" s="162"/>
      <c r="V587" s="176"/>
      <c r="X587" s="214"/>
    </row>
    <row r="588" spans="2:24" ht="10.95" customHeight="1" x14ac:dyDescent="0.25">
      <c r="B588" s="41"/>
      <c r="C588" s="77"/>
      <c r="D588" s="42"/>
      <c r="E588" s="154">
        <v>77</v>
      </c>
      <c r="F588" s="145" t="str">
        <f>_xlfn.IFNA(VLOOKUP(E588,'Data Kyu'!$A$6:$I$471,3,0),"")</f>
        <v/>
      </c>
      <c r="G588" s="142"/>
      <c r="H588" s="66"/>
      <c r="I588" s="66"/>
      <c r="J588" s="66"/>
      <c r="K588" s="66"/>
      <c r="L588" s="145" t="str">
        <f>_xlfn.IFNA(VLOOKUP(E588,'Data Kyu'!$A$6:$I$471,9,0),"")</f>
        <v/>
      </c>
      <c r="M588" s="142"/>
      <c r="N588" s="145" t="str">
        <f>_xlfn.IFNA(VLOOKUP(E588,'Data Kyu'!$A$6:$I$471,6,0),"")</f>
        <v/>
      </c>
      <c r="O588" s="141"/>
      <c r="P588" s="139" t="s">
        <v>5</v>
      </c>
      <c r="Q588" s="141" t="str">
        <f>_xlfn.IFNA(VLOOKUP(E588,'Data Kyu'!$A$6:$I$471,7,0),"")</f>
        <v/>
      </c>
      <c r="R588" s="141"/>
      <c r="S588" s="139" t="s">
        <v>5</v>
      </c>
      <c r="T588" s="141" t="str">
        <f>_xlfn.IFNA(VLOOKUP(E588,'Data Kyu'!$A$6:$I$471,8,0),"")</f>
        <v/>
      </c>
      <c r="U588" s="142"/>
      <c r="V588" s="142" t="str">
        <f>_xlfn.IFNA(VLOOKUP(E588,'Data Kyu'!$A$6:$I$471,4,0),"")</f>
        <v/>
      </c>
      <c r="X588" s="214" t="str">
        <f>_xlfn.IFNA(VLOOKUP(F588,'Data Kyu'!$C$6:$N$997,12,0),"No Data")</f>
        <v>No Data</v>
      </c>
    </row>
    <row r="589" spans="2:24" ht="10.95" customHeight="1" x14ac:dyDescent="0.25">
      <c r="B589" s="52"/>
      <c r="C589" s="165" t="str">
        <f>IF(X588="LULUS","V","")</f>
        <v/>
      </c>
      <c r="D589" s="53"/>
      <c r="E589" s="155"/>
      <c r="F589" s="148"/>
      <c r="G589" s="144"/>
      <c r="H589" s="67"/>
      <c r="I589" s="67"/>
      <c r="J589" s="67"/>
      <c r="K589" s="67"/>
      <c r="L589" s="146"/>
      <c r="M589" s="147"/>
      <c r="N589" s="148"/>
      <c r="O589" s="143"/>
      <c r="P589" s="140"/>
      <c r="Q589" s="143"/>
      <c r="R589" s="143"/>
      <c r="S589" s="140"/>
      <c r="T589" s="143"/>
      <c r="U589" s="144"/>
      <c r="V589" s="147"/>
      <c r="X589" s="214"/>
    </row>
    <row r="590" spans="2:24" ht="10.95" customHeight="1" x14ac:dyDescent="0.25">
      <c r="B590" s="52"/>
      <c r="C590" s="166"/>
      <c r="D590" s="53"/>
      <c r="E590" s="155"/>
      <c r="F590" s="167" t="str">
        <f>_xlfn.IFNA(VLOOKUP(E588,'Data Kyu'!$A$6:$I$471,2,0),"")</f>
        <v/>
      </c>
      <c r="G590" s="168"/>
      <c r="H590" s="168"/>
      <c r="I590" s="168"/>
      <c r="J590" s="168"/>
      <c r="K590" s="169"/>
      <c r="L590" s="146"/>
      <c r="M590" s="147"/>
      <c r="N590" s="173" t="s">
        <v>6</v>
      </c>
      <c r="O590" s="159"/>
      <c r="P590" s="57"/>
      <c r="Q590" s="159" t="s">
        <v>7</v>
      </c>
      <c r="R590" s="159"/>
      <c r="S590" s="57"/>
      <c r="T590" s="159" t="s">
        <v>8</v>
      </c>
      <c r="U590" s="160"/>
      <c r="V590" s="175"/>
      <c r="X590" s="214"/>
    </row>
    <row r="591" spans="2:24" ht="10.95" customHeight="1" x14ac:dyDescent="0.25">
      <c r="B591" s="54"/>
      <c r="C591" s="76"/>
      <c r="D591" s="56"/>
      <c r="E591" s="156"/>
      <c r="F591" s="170"/>
      <c r="G591" s="171"/>
      <c r="H591" s="171"/>
      <c r="I591" s="171"/>
      <c r="J591" s="171"/>
      <c r="K591" s="172"/>
      <c r="L591" s="148"/>
      <c r="M591" s="144"/>
      <c r="N591" s="174"/>
      <c r="O591" s="161"/>
      <c r="P591" s="27"/>
      <c r="Q591" s="161"/>
      <c r="R591" s="161"/>
      <c r="S591" s="27"/>
      <c r="T591" s="161"/>
      <c r="U591" s="162"/>
      <c r="V591" s="176"/>
      <c r="X591" s="214"/>
    </row>
    <row r="592" spans="2:24" ht="10.95" customHeight="1" x14ac:dyDescent="0.25">
      <c r="B592" s="41"/>
      <c r="C592" s="77"/>
      <c r="D592" s="42"/>
      <c r="E592" s="154">
        <v>78</v>
      </c>
      <c r="F592" s="145" t="str">
        <f>_xlfn.IFNA(VLOOKUP(E592,'Data Kyu'!$A$6:$I$471,3,0),"")</f>
        <v/>
      </c>
      <c r="G592" s="142"/>
      <c r="H592" s="66"/>
      <c r="I592" s="66"/>
      <c r="J592" s="66"/>
      <c r="K592" s="66"/>
      <c r="L592" s="145" t="str">
        <f>_xlfn.IFNA(VLOOKUP(E592,'Data Kyu'!$A$6:$I$471,9,0),"")</f>
        <v/>
      </c>
      <c r="M592" s="142"/>
      <c r="N592" s="145" t="str">
        <f>_xlfn.IFNA(VLOOKUP(E592,'Data Kyu'!$A$6:$I$471,6,0),"")</f>
        <v/>
      </c>
      <c r="O592" s="141"/>
      <c r="P592" s="139" t="s">
        <v>5</v>
      </c>
      <c r="Q592" s="141" t="str">
        <f>_xlfn.IFNA(VLOOKUP(E592,'Data Kyu'!$A$6:$I$471,7,0),"")</f>
        <v/>
      </c>
      <c r="R592" s="141"/>
      <c r="S592" s="139" t="s">
        <v>5</v>
      </c>
      <c r="T592" s="141" t="str">
        <f>_xlfn.IFNA(VLOOKUP(E592,'Data Kyu'!$A$6:$I$471,8,0),"")</f>
        <v/>
      </c>
      <c r="U592" s="142"/>
      <c r="V592" s="142" t="str">
        <f>_xlfn.IFNA(VLOOKUP(E592,'Data Kyu'!$A$6:$I$471,4,0),"")</f>
        <v/>
      </c>
      <c r="X592" s="214" t="str">
        <f>_xlfn.IFNA(VLOOKUP(F592,'Data Kyu'!$C$6:$N$997,12,0),"No Data")</f>
        <v>No Data</v>
      </c>
    </row>
    <row r="593" spans="2:24" ht="10.95" customHeight="1" x14ac:dyDescent="0.25">
      <c r="B593" s="52"/>
      <c r="C593" s="165" t="str">
        <f>IF(X592="LULUS","V","")</f>
        <v/>
      </c>
      <c r="D593" s="53"/>
      <c r="E593" s="155"/>
      <c r="F593" s="148"/>
      <c r="G593" s="144"/>
      <c r="H593" s="67"/>
      <c r="I593" s="67"/>
      <c r="J593" s="67"/>
      <c r="K593" s="67"/>
      <c r="L593" s="146"/>
      <c r="M593" s="147"/>
      <c r="N593" s="148"/>
      <c r="O593" s="143"/>
      <c r="P593" s="140"/>
      <c r="Q593" s="143"/>
      <c r="R593" s="143"/>
      <c r="S593" s="140"/>
      <c r="T593" s="143"/>
      <c r="U593" s="144"/>
      <c r="V593" s="147"/>
      <c r="X593" s="214"/>
    </row>
    <row r="594" spans="2:24" ht="10.95" customHeight="1" x14ac:dyDescent="0.25">
      <c r="B594" s="52"/>
      <c r="C594" s="166"/>
      <c r="D594" s="53"/>
      <c r="E594" s="155"/>
      <c r="F594" s="167" t="str">
        <f>_xlfn.IFNA(VLOOKUP(E592,'Data Kyu'!$A$6:$I$471,2,0),"")</f>
        <v/>
      </c>
      <c r="G594" s="168"/>
      <c r="H594" s="168"/>
      <c r="I594" s="168"/>
      <c r="J594" s="168"/>
      <c r="K594" s="169"/>
      <c r="L594" s="146"/>
      <c r="M594" s="147"/>
      <c r="N594" s="173" t="s">
        <v>6</v>
      </c>
      <c r="O594" s="159"/>
      <c r="P594" s="57"/>
      <c r="Q594" s="159" t="s">
        <v>7</v>
      </c>
      <c r="R594" s="159"/>
      <c r="S594" s="57"/>
      <c r="T594" s="159" t="s">
        <v>8</v>
      </c>
      <c r="U594" s="160"/>
      <c r="V594" s="175"/>
      <c r="X594" s="214"/>
    </row>
    <row r="595" spans="2:24" ht="10.95" customHeight="1" x14ac:dyDescent="0.25">
      <c r="B595" s="54"/>
      <c r="C595" s="76"/>
      <c r="D595" s="56"/>
      <c r="E595" s="156"/>
      <c r="F595" s="170"/>
      <c r="G595" s="171"/>
      <c r="H595" s="171"/>
      <c r="I595" s="171"/>
      <c r="J595" s="171"/>
      <c r="K595" s="172"/>
      <c r="L595" s="148"/>
      <c r="M595" s="144"/>
      <c r="N595" s="174"/>
      <c r="O595" s="161"/>
      <c r="P595" s="27"/>
      <c r="Q595" s="161"/>
      <c r="R595" s="161"/>
      <c r="S595" s="27"/>
      <c r="T595" s="161"/>
      <c r="U595" s="162"/>
      <c r="V595" s="176"/>
      <c r="X595" s="214"/>
    </row>
    <row r="596" spans="2:24" ht="10.95" customHeight="1" x14ac:dyDescent="0.25">
      <c r="B596" s="41"/>
      <c r="C596" s="77"/>
      <c r="D596" s="42"/>
      <c r="E596" s="154">
        <v>79</v>
      </c>
      <c r="F596" s="145" t="str">
        <f>_xlfn.IFNA(VLOOKUP(E596,'Data Kyu'!$A$6:$I$471,3,0),"")</f>
        <v/>
      </c>
      <c r="G596" s="142"/>
      <c r="H596" s="66"/>
      <c r="I596" s="66"/>
      <c r="J596" s="66"/>
      <c r="K596" s="66"/>
      <c r="L596" s="145" t="str">
        <f>_xlfn.IFNA(VLOOKUP(E596,'Data Kyu'!$A$6:$I$471,9,0),"")</f>
        <v/>
      </c>
      <c r="M596" s="142"/>
      <c r="N596" s="145" t="str">
        <f>_xlfn.IFNA(VLOOKUP(E596,'Data Kyu'!$A$6:$I$471,6,0),"")</f>
        <v/>
      </c>
      <c r="O596" s="141"/>
      <c r="P596" s="139" t="s">
        <v>5</v>
      </c>
      <c r="Q596" s="141" t="str">
        <f>_xlfn.IFNA(VLOOKUP(E596,'Data Kyu'!$A$6:$I$471,7,0),"")</f>
        <v/>
      </c>
      <c r="R596" s="141"/>
      <c r="S596" s="139" t="s">
        <v>5</v>
      </c>
      <c r="T596" s="141" t="str">
        <f>_xlfn.IFNA(VLOOKUP(E596,'Data Kyu'!$A$6:$I$471,8,0),"")</f>
        <v/>
      </c>
      <c r="U596" s="142"/>
      <c r="V596" s="142" t="str">
        <f>_xlfn.IFNA(VLOOKUP(E596,'Data Kyu'!$A$6:$I$471,4,0),"")</f>
        <v/>
      </c>
      <c r="X596" s="214" t="str">
        <f>_xlfn.IFNA(VLOOKUP(F596,'Data Kyu'!$C$6:$N$997,12,0),"No Data")</f>
        <v>No Data</v>
      </c>
    </row>
    <row r="597" spans="2:24" ht="10.95" customHeight="1" x14ac:dyDescent="0.25">
      <c r="B597" s="52"/>
      <c r="C597" s="165" t="str">
        <f>IF(X596="LULUS","V","")</f>
        <v/>
      </c>
      <c r="D597" s="53"/>
      <c r="E597" s="155"/>
      <c r="F597" s="148"/>
      <c r="G597" s="144"/>
      <c r="H597" s="67"/>
      <c r="I597" s="67"/>
      <c r="J597" s="67"/>
      <c r="K597" s="67"/>
      <c r="L597" s="146"/>
      <c r="M597" s="147"/>
      <c r="N597" s="148"/>
      <c r="O597" s="143"/>
      <c r="P597" s="140"/>
      <c r="Q597" s="143"/>
      <c r="R597" s="143"/>
      <c r="S597" s="140"/>
      <c r="T597" s="143"/>
      <c r="U597" s="144"/>
      <c r="V597" s="147"/>
      <c r="X597" s="214"/>
    </row>
    <row r="598" spans="2:24" ht="10.95" customHeight="1" x14ac:dyDescent="0.25">
      <c r="B598" s="52"/>
      <c r="C598" s="166"/>
      <c r="D598" s="53"/>
      <c r="E598" s="155"/>
      <c r="F598" s="167" t="str">
        <f>_xlfn.IFNA(VLOOKUP(E596,'Data Kyu'!$A$6:$I$471,2,0),"")</f>
        <v/>
      </c>
      <c r="G598" s="168"/>
      <c r="H598" s="168"/>
      <c r="I598" s="168"/>
      <c r="J598" s="168"/>
      <c r="K598" s="169"/>
      <c r="L598" s="146"/>
      <c r="M598" s="147"/>
      <c r="N598" s="173" t="s">
        <v>6</v>
      </c>
      <c r="O598" s="159"/>
      <c r="P598" s="57"/>
      <c r="Q598" s="159" t="s">
        <v>7</v>
      </c>
      <c r="R598" s="159"/>
      <c r="S598" s="57"/>
      <c r="T598" s="159" t="s">
        <v>8</v>
      </c>
      <c r="U598" s="160"/>
      <c r="V598" s="175"/>
      <c r="X598" s="214"/>
    </row>
    <row r="599" spans="2:24" ht="10.95" customHeight="1" x14ac:dyDescent="0.25">
      <c r="B599" s="54"/>
      <c r="C599" s="76"/>
      <c r="D599" s="56"/>
      <c r="E599" s="156"/>
      <c r="F599" s="170"/>
      <c r="G599" s="171"/>
      <c r="H599" s="171"/>
      <c r="I599" s="171"/>
      <c r="J599" s="171"/>
      <c r="K599" s="172"/>
      <c r="L599" s="148"/>
      <c r="M599" s="144"/>
      <c r="N599" s="174"/>
      <c r="O599" s="161"/>
      <c r="P599" s="27"/>
      <c r="Q599" s="161"/>
      <c r="R599" s="161"/>
      <c r="S599" s="27"/>
      <c r="T599" s="161"/>
      <c r="U599" s="162"/>
      <c r="V599" s="176"/>
      <c r="X599" s="214"/>
    </row>
    <row r="600" spans="2:24" ht="10.95" customHeight="1" x14ac:dyDescent="0.25">
      <c r="B600" s="41"/>
      <c r="C600" s="77"/>
      <c r="D600" s="42"/>
      <c r="E600" s="154">
        <v>80</v>
      </c>
      <c r="F600" s="145" t="str">
        <f>_xlfn.IFNA(VLOOKUP(E600,'Data Kyu'!$A$6:$I$471,3,0),"")</f>
        <v/>
      </c>
      <c r="G600" s="142"/>
      <c r="H600" s="66"/>
      <c r="I600" s="66"/>
      <c r="J600" s="66"/>
      <c r="K600" s="66"/>
      <c r="L600" s="145" t="str">
        <f>_xlfn.IFNA(VLOOKUP(E600,'Data Kyu'!$A$6:$I$471,9,0),"")</f>
        <v/>
      </c>
      <c r="M600" s="142"/>
      <c r="N600" s="145" t="str">
        <f>_xlfn.IFNA(VLOOKUP(E600,'Data Kyu'!$A$6:$I$471,6,0),"")</f>
        <v/>
      </c>
      <c r="O600" s="141"/>
      <c r="P600" s="139" t="s">
        <v>5</v>
      </c>
      <c r="Q600" s="141" t="str">
        <f>_xlfn.IFNA(VLOOKUP(E600,'Data Kyu'!$A$6:$I$471,7,0),"")</f>
        <v/>
      </c>
      <c r="R600" s="141"/>
      <c r="S600" s="139" t="s">
        <v>5</v>
      </c>
      <c r="T600" s="141" t="str">
        <f>_xlfn.IFNA(VLOOKUP(E600,'Data Kyu'!$A$6:$I$471,8,0),"")</f>
        <v/>
      </c>
      <c r="U600" s="142"/>
      <c r="V600" s="142" t="str">
        <f>_xlfn.IFNA(VLOOKUP(E600,'Data Kyu'!$A$6:$I$471,4,0),"")</f>
        <v/>
      </c>
      <c r="X600" s="214" t="str">
        <f>_xlfn.IFNA(VLOOKUP(F600,'Data Kyu'!$C$6:$N$997,12,0),"No Data")</f>
        <v>No Data</v>
      </c>
    </row>
    <row r="601" spans="2:24" ht="10.95" customHeight="1" x14ac:dyDescent="0.25">
      <c r="B601" s="52"/>
      <c r="C601" s="165" t="str">
        <f>IF(X600="LULUS","V","")</f>
        <v/>
      </c>
      <c r="D601" s="53"/>
      <c r="E601" s="155"/>
      <c r="F601" s="148"/>
      <c r="G601" s="144"/>
      <c r="H601" s="67"/>
      <c r="I601" s="67"/>
      <c r="J601" s="67"/>
      <c r="K601" s="67"/>
      <c r="L601" s="146"/>
      <c r="M601" s="147"/>
      <c r="N601" s="148"/>
      <c r="O601" s="143"/>
      <c r="P601" s="140"/>
      <c r="Q601" s="143"/>
      <c r="R601" s="143"/>
      <c r="S601" s="140"/>
      <c r="T601" s="143"/>
      <c r="U601" s="144"/>
      <c r="V601" s="147"/>
      <c r="X601" s="214"/>
    </row>
    <row r="602" spans="2:24" ht="10.95" customHeight="1" x14ac:dyDescent="0.25">
      <c r="B602" s="52"/>
      <c r="C602" s="166"/>
      <c r="D602" s="53"/>
      <c r="E602" s="155"/>
      <c r="F602" s="167" t="str">
        <f>_xlfn.IFNA(VLOOKUP(E600,'Data Kyu'!$A$6:$I$471,2,0),"")</f>
        <v/>
      </c>
      <c r="G602" s="168"/>
      <c r="H602" s="168"/>
      <c r="I602" s="168"/>
      <c r="J602" s="168"/>
      <c r="K602" s="169"/>
      <c r="L602" s="146"/>
      <c r="M602" s="147"/>
      <c r="N602" s="173" t="s">
        <v>6</v>
      </c>
      <c r="O602" s="159"/>
      <c r="P602" s="57"/>
      <c r="Q602" s="159" t="s">
        <v>7</v>
      </c>
      <c r="R602" s="159"/>
      <c r="S602" s="57"/>
      <c r="T602" s="159" t="s">
        <v>8</v>
      </c>
      <c r="U602" s="160"/>
      <c r="V602" s="175"/>
      <c r="X602" s="214"/>
    </row>
    <row r="603" spans="2:24" ht="10.95" customHeight="1" x14ac:dyDescent="0.25">
      <c r="B603" s="54"/>
      <c r="C603" s="55"/>
      <c r="D603" s="56"/>
      <c r="E603" s="156"/>
      <c r="F603" s="170"/>
      <c r="G603" s="171"/>
      <c r="H603" s="171"/>
      <c r="I603" s="171"/>
      <c r="J603" s="171"/>
      <c r="K603" s="172"/>
      <c r="L603" s="148"/>
      <c r="M603" s="144"/>
      <c r="N603" s="174"/>
      <c r="O603" s="161"/>
      <c r="P603" s="27"/>
      <c r="Q603" s="161"/>
      <c r="R603" s="161"/>
      <c r="S603" s="27"/>
      <c r="T603" s="161"/>
      <c r="U603" s="162"/>
      <c r="V603" s="176"/>
      <c r="X603" s="214"/>
    </row>
    <row r="604" spans="2:24" ht="7.5" customHeight="1" x14ac:dyDescent="0.25"/>
    <row r="605" spans="2:24" s="34" customFormat="1" x14ac:dyDescent="0.25">
      <c r="E605" s="35" t="s">
        <v>30</v>
      </c>
      <c r="K605" s="35" t="s">
        <v>28</v>
      </c>
    </row>
    <row r="606" spans="2:24" x14ac:dyDescent="0.25">
      <c r="E606" s="33" t="s">
        <v>31</v>
      </c>
      <c r="F606" s="149"/>
      <c r="G606" s="149"/>
      <c r="H606" s="149"/>
      <c r="I606" s="149"/>
      <c r="J606" s="149"/>
      <c r="K606" s="33" t="s">
        <v>29</v>
      </c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</row>
    <row r="607" spans="2:24" ht="6.75" customHeight="1" x14ac:dyDescent="0.25">
      <c r="F607" s="34"/>
      <c r="G607" s="34"/>
      <c r="H607" s="34"/>
      <c r="I607" s="34"/>
      <c r="J607" s="34"/>
    </row>
    <row r="608" spans="2:24" s="34" customFormat="1" x14ac:dyDescent="0.25">
      <c r="E608" s="35" t="s">
        <v>32</v>
      </c>
      <c r="K608" s="35" t="s">
        <v>36</v>
      </c>
    </row>
    <row r="609" spans="2:24" x14ac:dyDescent="0.25">
      <c r="E609" s="33" t="s">
        <v>33</v>
      </c>
      <c r="F609" s="149"/>
      <c r="G609" s="149"/>
      <c r="H609" s="149"/>
      <c r="I609" s="149"/>
      <c r="J609" s="149"/>
      <c r="K609" s="33" t="s">
        <v>29</v>
      </c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</row>
    <row r="610" spans="2:24" ht="6.75" customHeight="1" x14ac:dyDescent="0.25">
      <c r="F610" s="34"/>
      <c r="G610" s="34"/>
      <c r="H610" s="34"/>
      <c r="I610" s="34"/>
      <c r="J610" s="34"/>
    </row>
    <row r="611" spans="2:24" s="34" customFormat="1" ht="13.8" customHeight="1" x14ac:dyDescent="0.25">
      <c r="E611" s="35" t="s">
        <v>34</v>
      </c>
      <c r="F611" s="177" t="str">
        <f>IF(F564&lt;&gt;"",$F$65,"")</f>
        <v/>
      </c>
      <c r="G611" s="177"/>
      <c r="H611" s="177"/>
      <c r="I611" s="177"/>
      <c r="J611" s="177"/>
      <c r="K611" s="35" t="s">
        <v>28</v>
      </c>
      <c r="X611" s="70" t="s">
        <v>107</v>
      </c>
    </row>
    <row r="612" spans="2:24" ht="13.2" customHeight="1" x14ac:dyDescent="0.25">
      <c r="E612" s="33" t="s">
        <v>35</v>
      </c>
      <c r="F612" s="178"/>
      <c r="G612" s="178"/>
      <c r="H612" s="178"/>
      <c r="I612" s="178"/>
      <c r="J612" s="178"/>
      <c r="K612" s="33" t="s">
        <v>29</v>
      </c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X612" s="70" t="s">
        <v>105</v>
      </c>
    </row>
    <row r="613" spans="2:24" ht="12.75" customHeight="1" thickBot="1" x14ac:dyDescent="0.3"/>
    <row r="614" spans="2:24" ht="13.8" thickTop="1" x14ac:dyDescent="0.25">
      <c r="B614" s="34" t="s">
        <v>37</v>
      </c>
      <c r="C614" s="34"/>
      <c r="D614" s="34"/>
      <c r="H614" s="150" t="s">
        <v>40</v>
      </c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</row>
    <row r="615" spans="2:24" x14ac:dyDescent="0.25">
      <c r="B615" s="34" t="s">
        <v>38</v>
      </c>
      <c r="C615" s="34"/>
      <c r="D615" s="34"/>
      <c r="H615" s="152"/>
      <c r="I615" s="153"/>
      <c r="J615" s="153"/>
      <c r="K615" s="153"/>
      <c r="L615" s="153"/>
      <c r="M615" s="153"/>
      <c r="N615" s="153"/>
      <c r="O615" s="153"/>
      <c r="P615" s="153"/>
      <c r="Q615" s="153"/>
      <c r="R615" s="153"/>
      <c r="S615" s="153"/>
      <c r="T615" s="153"/>
      <c r="U615" s="153"/>
      <c r="V615" s="153"/>
    </row>
    <row r="616" spans="2:24" ht="12.75" customHeight="1" x14ac:dyDescent="0.25">
      <c r="B616" s="163" t="s">
        <v>39</v>
      </c>
      <c r="C616" s="163"/>
      <c r="D616" s="163"/>
      <c r="E616" s="163"/>
      <c r="F616" s="163"/>
      <c r="H616" s="37" t="s">
        <v>41</v>
      </c>
    </row>
    <row r="617" spans="2:24" ht="13.8" x14ac:dyDescent="0.25">
      <c r="B617" s="163"/>
      <c r="C617" s="163"/>
      <c r="D617" s="163"/>
      <c r="E617" s="163"/>
      <c r="F617" s="163"/>
      <c r="H617" s="38" t="s">
        <v>42</v>
      </c>
    </row>
    <row r="618" spans="2:24" x14ac:dyDescent="0.25">
      <c r="B618" s="163"/>
      <c r="C618" s="163"/>
      <c r="D618" s="163"/>
      <c r="E618" s="163"/>
      <c r="F618" s="163"/>
      <c r="H618" s="36"/>
    </row>
    <row r="619" spans="2:24" x14ac:dyDescent="0.25">
      <c r="B619" s="163"/>
      <c r="C619" s="163"/>
      <c r="D619" s="163"/>
      <c r="E619" s="163"/>
      <c r="F619" s="163"/>
      <c r="H619" s="36"/>
    </row>
    <row r="620" spans="2:24" x14ac:dyDescent="0.25">
      <c r="H620" s="36"/>
    </row>
    <row r="621" spans="2:24" x14ac:dyDescent="0.25">
      <c r="H621" s="36"/>
    </row>
    <row r="622" spans="2:24" x14ac:dyDescent="0.25">
      <c r="H622" s="36"/>
    </row>
    <row r="623" spans="2:24" x14ac:dyDescent="0.25">
      <c r="H623" s="36"/>
    </row>
    <row r="624" spans="2:24" ht="13.8" x14ac:dyDescent="0.25">
      <c r="H624" s="157" t="str">
        <f>IF(F564&lt;&gt;"",$H$78,"")</f>
        <v/>
      </c>
      <c r="I624" s="158"/>
      <c r="J624" s="158"/>
      <c r="K624" s="158"/>
      <c r="L624" s="158"/>
      <c r="M624" s="158"/>
      <c r="N624" s="158"/>
      <c r="O624" s="158"/>
      <c r="P624" s="158"/>
      <c r="Q624" s="158"/>
      <c r="R624" s="158"/>
      <c r="S624" s="158"/>
      <c r="T624" s="158"/>
      <c r="U624" s="158"/>
      <c r="V624" s="158"/>
    </row>
    <row r="625" spans="2:24" x14ac:dyDescent="0.25">
      <c r="H625" s="36"/>
    </row>
    <row r="626" spans="2:24" ht="28.5" customHeight="1" x14ac:dyDescent="0.3">
      <c r="B626" s="193" t="s">
        <v>43</v>
      </c>
      <c r="C626" s="193"/>
      <c r="D626" s="193"/>
      <c r="E626" s="194"/>
      <c r="F626" s="194"/>
      <c r="G626" s="194"/>
      <c r="H626" s="194"/>
      <c r="I626" s="2"/>
      <c r="J626" s="2"/>
      <c r="K626" s="13" t="s">
        <v>25</v>
      </c>
      <c r="L626" s="195" t="s">
        <v>14</v>
      </c>
      <c r="M626" s="196"/>
      <c r="N626" s="196"/>
      <c r="O626" s="196"/>
      <c r="P626" s="196"/>
      <c r="Q626" s="196"/>
      <c r="R626" s="196"/>
      <c r="S626" s="196"/>
      <c r="T626" s="196"/>
      <c r="U626" s="196"/>
      <c r="V626" s="197"/>
      <c r="X626" s="1"/>
    </row>
    <row r="627" spans="2:24" ht="26.25" customHeight="1" x14ac:dyDescent="0.4">
      <c r="B627" s="39" t="s">
        <v>44</v>
      </c>
      <c r="C627" s="39"/>
      <c r="D627" s="39"/>
      <c r="E627" s="2"/>
      <c r="F627" s="2"/>
      <c r="G627" s="2"/>
      <c r="H627" s="2"/>
      <c r="I627" s="2"/>
      <c r="J627" s="2"/>
      <c r="K627" s="29" t="s">
        <v>13</v>
      </c>
      <c r="L627" s="15">
        <v>4</v>
      </c>
      <c r="M627" s="16">
        <v>1</v>
      </c>
      <c r="N627" s="15">
        <v>0</v>
      </c>
      <c r="O627" s="198">
        <v>0</v>
      </c>
      <c r="P627" s="199"/>
      <c r="Q627" s="14">
        <v>0</v>
      </c>
      <c r="R627" s="200">
        <v>1</v>
      </c>
      <c r="S627" s="201"/>
      <c r="T627" s="6"/>
      <c r="U627" s="6"/>
      <c r="V627" s="7"/>
      <c r="X627" s="1"/>
    </row>
    <row r="628" spans="2:24" ht="21" customHeight="1" x14ac:dyDescent="0.25">
      <c r="B628" s="26" t="s">
        <v>45</v>
      </c>
      <c r="C628" s="26"/>
      <c r="D628" s="26"/>
      <c r="E628" s="25"/>
      <c r="F628" s="25"/>
      <c r="G628" s="25"/>
      <c r="H628" s="25"/>
      <c r="I628" s="25"/>
      <c r="J628" s="25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X628" s="1"/>
    </row>
    <row r="629" spans="2:24" ht="13.5" customHeight="1" x14ac:dyDescent="0.25">
      <c r="B629" s="40" t="s">
        <v>24</v>
      </c>
      <c r="C629" s="40"/>
      <c r="D629" s="40"/>
      <c r="E629" s="25"/>
      <c r="F629" s="25"/>
      <c r="G629" s="25"/>
      <c r="H629" s="25"/>
      <c r="I629" s="25"/>
      <c r="J629" s="25"/>
      <c r="K629" s="28" t="s">
        <v>6</v>
      </c>
      <c r="L629" s="202" t="str">
        <f>IF(F642&lt;&gt;"",$L$5,"")</f>
        <v/>
      </c>
      <c r="M629" s="203"/>
      <c r="N629" s="204" t="s">
        <v>15</v>
      </c>
      <c r="O629" s="204"/>
      <c r="P629" s="204"/>
      <c r="Q629" s="205" t="str">
        <f>IF(F642&lt;&gt;"",$Q$5,"")</f>
        <v/>
      </c>
      <c r="R629" s="206"/>
      <c r="S629" s="207" t="s">
        <v>16</v>
      </c>
      <c r="T629" s="204"/>
      <c r="U629" s="82" t="str">
        <f>IF(F642&lt;&gt;"",$U$5,"")</f>
        <v/>
      </c>
      <c r="V629" s="63"/>
      <c r="X629" s="1"/>
    </row>
    <row r="630" spans="2:24" ht="8.25" customHeight="1" x14ac:dyDescent="0.25"/>
    <row r="631" spans="2:24" ht="11.25" customHeight="1" x14ac:dyDescent="0.25">
      <c r="B631" s="24" t="s">
        <v>17</v>
      </c>
      <c r="C631" s="24"/>
      <c r="D631" s="24"/>
    </row>
    <row r="632" spans="2:24" ht="11.25" customHeight="1" x14ac:dyDescent="0.25">
      <c r="B632" s="8" t="s">
        <v>18</v>
      </c>
      <c r="C632" s="8"/>
      <c r="D632" s="8"/>
    </row>
    <row r="633" spans="2:24" ht="5.25" customHeight="1" x14ac:dyDescent="0.25">
      <c r="B633" s="8"/>
      <c r="C633" s="8"/>
      <c r="D633" s="8"/>
    </row>
    <row r="634" spans="2:24" x14ac:dyDescent="0.25">
      <c r="B634" s="179" t="s">
        <v>19</v>
      </c>
      <c r="C634" s="179"/>
      <c r="D634" s="179"/>
      <c r="E634" s="179"/>
      <c r="F634" s="179"/>
      <c r="G634" s="18" t="s">
        <v>6</v>
      </c>
      <c r="H634" s="64" t="str">
        <f>IF(F642&lt;&gt;"",$H$10,"")</f>
        <v/>
      </c>
      <c r="I634" s="9" t="s">
        <v>15</v>
      </c>
      <c r="J634" s="83" t="str">
        <f>IF(F642&lt;&gt;"",$J$10,"")</f>
        <v/>
      </c>
      <c r="K634" s="9" t="s">
        <v>16</v>
      </c>
      <c r="L634" s="180" t="str">
        <f>IF(F642&lt;&gt;"",$L$10,"")</f>
        <v/>
      </c>
      <c r="M634" s="181"/>
      <c r="X634" s="32"/>
    </row>
    <row r="635" spans="2:24" ht="5.25" customHeight="1" x14ac:dyDescent="0.25">
      <c r="B635" s="8"/>
      <c r="C635" s="8"/>
      <c r="D635" s="8"/>
      <c r="E635" s="8"/>
      <c r="F635" s="8"/>
      <c r="G635" s="19"/>
      <c r="H635" s="20"/>
      <c r="I635" s="21"/>
      <c r="J635" s="20"/>
      <c r="K635" s="10"/>
      <c r="L635" s="22"/>
      <c r="X635" s="32"/>
    </row>
    <row r="636" spans="2:24" s="73" customFormat="1" ht="14.4" customHeight="1" x14ac:dyDescent="0.25">
      <c r="B636" s="72" t="s">
        <v>20</v>
      </c>
      <c r="C636" s="72"/>
      <c r="D636" s="72"/>
      <c r="X636" s="74"/>
    </row>
    <row r="637" spans="2:24" s="73" customFormat="1" ht="14.4" customHeight="1" x14ac:dyDescent="0.25">
      <c r="B637" s="75" t="s">
        <v>21</v>
      </c>
      <c r="C637" s="10"/>
      <c r="D637" s="10"/>
      <c r="E637" s="22" t="s">
        <v>22</v>
      </c>
      <c r="X637" s="74"/>
    </row>
    <row r="638" spans="2:24" s="73" customFormat="1" ht="14.4" customHeight="1" x14ac:dyDescent="0.25">
      <c r="B638" s="22"/>
      <c r="C638" s="22"/>
      <c r="D638" s="22"/>
      <c r="E638" s="22" t="s">
        <v>23</v>
      </c>
      <c r="X638" s="164" t="s">
        <v>102</v>
      </c>
    </row>
    <row r="639" spans="2:24" ht="7.5" customHeight="1" x14ac:dyDescent="0.25">
      <c r="B639" s="8"/>
      <c r="C639" s="8"/>
      <c r="D639" s="8"/>
      <c r="X639" s="164"/>
    </row>
    <row r="640" spans="2:24" ht="17.25" customHeight="1" x14ac:dyDescent="0.25">
      <c r="B640" s="182"/>
      <c r="C640" s="59"/>
      <c r="D640" s="60"/>
      <c r="E640" s="184" t="s">
        <v>0</v>
      </c>
      <c r="F640" s="186" t="s">
        <v>1</v>
      </c>
      <c r="G640" s="187"/>
      <c r="H640" s="4"/>
      <c r="I640" s="4"/>
      <c r="J640" s="4"/>
      <c r="K640" s="5"/>
      <c r="L640" s="145" t="s">
        <v>3</v>
      </c>
      <c r="M640" s="142"/>
      <c r="N640" s="188" t="s">
        <v>10</v>
      </c>
      <c r="O640" s="188"/>
      <c r="P640" s="188"/>
      <c r="Q640" s="188"/>
      <c r="R640" s="188"/>
      <c r="S640" s="188"/>
      <c r="T640" s="188"/>
      <c r="U640" s="189"/>
      <c r="V640" s="3" t="s">
        <v>12</v>
      </c>
      <c r="X640" s="68" t="s">
        <v>200</v>
      </c>
    </row>
    <row r="641" spans="2:24" ht="17.25" customHeight="1" x14ac:dyDescent="0.25">
      <c r="B641" s="183"/>
      <c r="C641" s="61"/>
      <c r="D641" s="62"/>
      <c r="E641" s="185"/>
      <c r="F641" s="30" t="s">
        <v>2</v>
      </c>
      <c r="G641" s="17"/>
      <c r="H641" s="6"/>
      <c r="I641" s="6"/>
      <c r="J641" s="6"/>
      <c r="K641" s="7"/>
      <c r="L641" s="190" t="s">
        <v>4</v>
      </c>
      <c r="M641" s="191"/>
      <c r="N641" s="192" t="s">
        <v>9</v>
      </c>
      <c r="O641" s="192"/>
      <c r="P641" s="192"/>
      <c r="Q641" s="192"/>
      <c r="R641" s="192"/>
      <c r="S641" s="192"/>
      <c r="T641" s="192"/>
      <c r="U641" s="191"/>
      <c r="V641" s="31" t="s">
        <v>11</v>
      </c>
      <c r="X641" s="69"/>
    </row>
    <row r="642" spans="2:24" ht="10.95" customHeight="1" x14ac:dyDescent="0.25">
      <c r="B642" s="41"/>
      <c r="C642" s="51"/>
      <c r="D642" s="42"/>
      <c r="E642" s="154">
        <v>81</v>
      </c>
      <c r="F642" s="145" t="str">
        <f>_xlfn.IFNA(VLOOKUP(E642,'Data Kyu'!$A$6:$I$471,3,0),"")</f>
        <v/>
      </c>
      <c r="G642" s="142"/>
      <c r="H642" s="66"/>
      <c r="I642" s="66"/>
      <c r="J642" s="66"/>
      <c r="K642" s="66"/>
      <c r="L642" s="145" t="str">
        <f>_xlfn.IFNA(VLOOKUP(E642,'Data Kyu'!$A$6:$I$471,9,0),"")</f>
        <v/>
      </c>
      <c r="M642" s="142"/>
      <c r="N642" s="145" t="str">
        <f>_xlfn.IFNA(VLOOKUP(E642,'Data Kyu'!$A$6:$I$471,6,0),"")</f>
        <v/>
      </c>
      <c r="O642" s="141"/>
      <c r="P642" s="139" t="s">
        <v>5</v>
      </c>
      <c r="Q642" s="141" t="str">
        <f>_xlfn.IFNA(VLOOKUP(E642,'Data Kyu'!$A$6:$I$471,7,0),"")</f>
        <v/>
      </c>
      <c r="R642" s="141"/>
      <c r="S642" s="139" t="s">
        <v>5</v>
      </c>
      <c r="T642" s="141" t="str">
        <f>_xlfn.IFNA(VLOOKUP(E642,'Data Kyu'!$A$6:$I$471,8,0),"")</f>
        <v/>
      </c>
      <c r="U642" s="142"/>
      <c r="V642" s="142" t="str">
        <f>_xlfn.IFNA(VLOOKUP(E642,'Data Kyu'!$A$6:$I$471,4,0),"")</f>
        <v/>
      </c>
      <c r="X642" s="214" t="str">
        <f>_xlfn.IFNA(VLOOKUP(F642,'Data Kyu'!$C$6:$N$997,12,0),"No Data")</f>
        <v>No Data</v>
      </c>
    </row>
    <row r="643" spans="2:24" ht="10.95" customHeight="1" x14ac:dyDescent="0.25">
      <c r="B643" s="52"/>
      <c r="C643" s="165" t="str">
        <f>IF(X642="LULUS","V","")</f>
        <v/>
      </c>
      <c r="D643" s="53"/>
      <c r="E643" s="155"/>
      <c r="F643" s="148"/>
      <c r="G643" s="144"/>
      <c r="H643" s="67"/>
      <c r="I643" s="67"/>
      <c r="J643" s="67"/>
      <c r="K643" s="67"/>
      <c r="L643" s="146"/>
      <c r="M643" s="147"/>
      <c r="N643" s="148"/>
      <c r="O643" s="143"/>
      <c r="P643" s="140"/>
      <c r="Q643" s="143"/>
      <c r="R643" s="143"/>
      <c r="S643" s="140"/>
      <c r="T643" s="143"/>
      <c r="U643" s="144"/>
      <c r="V643" s="147"/>
      <c r="X643" s="214"/>
    </row>
    <row r="644" spans="2:24" ht="10.95" customHeight="1" x14ac:dyDescent="0.25">
      <c r="B644" s="52"/>
      <c r="C644" s="166"/>
      <c r="D644" s="53"/>
      <c r="E644" s="155"/>
      <c r="F644" s="167" t="str">
        <f>_xlfn.IFNA(VLOOKUP(E642,'Data Kyu'!$A$6:$I$471,2,0),"")</f>
        <v/>
      </c>
      <c r="G644" s="168"/>
      <c r="H644" s="168"/>
      <c r="I644" s="168"/>
      <c r="J644" s="168"/>
      <c r="K644" s="169"/>
      <c r="L644" s="146"/>
      <c r="M644" s="147"/>
      <c r="N644" s="173" t="s">
        <v>6</v>
      </c>
      <c r="O644" s="159"/>
      <c r="P644" s="57"/>
      <c r="Q644" s="159" t="s">
        <v>7</v>
      </c>
      <c r="R644" s="159"/>
      <c r="S644" s="57"/>
      <c r="T644" s="159" t="s">
        <v>8</v>
      </c>
      <c r="U644" s="160"/>
      <c r="V644" s="175"/>
      <c r="X644" s="214"/>
    </row>
    <row r="645" spans="2:24" ht="10.95" customHeight="1" x14ac:dyDescent="0.25">
      <c r="B645" s="54"/>
      <c r="C645" s="76"/>
      <c r="D645" s="56"/>
      <c r="E645" s="156"/>
      <c r="F645" s="170"/>
      <c r="G645" s="171"/>
      <c r="H645" s="171"/>
      <c r="I645" s="171"/>
      <c r="J645" s="171"/>
      <c r="K645" s="172"/>
      <c r="L645" s="148"/>
      <c r="M645" s="144"/>
      <c r="N645" s="174"/>
      <c r="O645" s="161"/>
      <c r="P645" s="27"/>
      <c r="Q645" s="161"/>
      <c r="R645" s="161"/>
      <c r="S645" s="27"/>
      <c r="T645" s="161"/>
      <c r="U645" s="162"/>
      <c r="V645" s="176"/>
      <c r="X645" s="214"/>
    </row>
    <row r="646" spans="2:24" ht="10.95" customHeight="1" x14ac:dyDescent="0.25">
      <c r="B646" s="41"/>
      <c r="C646" s="77"/>
      <c r="D646" s="42"/>
      <c r="E646" s="154">
        <v>82</v>
      </c>
      <c r="F646" s="145" t="str">
        <f>_xlfn.IFNA(VLOOKUP(E646,'Data Kyu'!$A$6:$I$471,3,0),"")</f>
        <v/>
      </c>
      <c r="G646" s="142"/>
      <c r="H646" s="66"/>
      <c r="I646" s="66"/>
      <c r="J646" s="66"/>
      <c r="K646" s="66"/>
      <c r="L646" s="145" t="str">
        <f>_xlfn.IFNA(VLOOKUP(E646,'Data Kyu'!$A$6:$I$471,9,0),"")</f>
        <v/>
      </c>
      <c r="M646" s="142"/>
      <c r="N646" s="145" t="str">
        <f>_xlfn.IFNA(VLOOKUP(E646,'Data Kyu'!$A$6:$I$471,6,0),"")</f>
        <v/>
      </c>
      <c r="O646" s="141"/>
      <c r="P646" s="139" t="s">
        <v>5</v>
      </c>
      <c r="Q646" s="141" t="str">
        <f>_xlfn.IFNA(VLOOKUP(E646,'Data Kyu'!$A$6:$I$471,7,0),"")</f>
        <v/>
      </c>
      <c r="R646" s="141"/>
      <c r="S646" s="139" t="s">
        <v>5</v>
      </c>
      <c r="T646" s="141" t="str">
        <f>_xlfn.IFNA(VLOOKUP(E646,'Data Kyu'!$A$6:$I$471,8,0),"")</f>
        <v/>
      </c>
      <c r="U646" s="142"/>
      <c r="V646" s="142" t="str">
        <f>_xlfn.IFNA(VLOOKUP(E646,'Data Kyu'!$A$6:$I$471,4,0),"")</f>
        <v/>
      </c>
      <c r="X646" s="214" t="str">
        <f>_xlfn.IFNA(VLOOKUP(F646,'Data Kyu'!$C$6:$N$997,12,0),"No Data")</f>
        <v>No Data</v>
      </c>
    </row>
    <row r="647" spans="2:24" ht="10.95" customHeight="1" x14ac:dyDescent="0.25">
      <c r="B647" s="52"/>
      <c r="C647" s="165" t="str">
        <f>IF(X646="LULUS","V","")</f>
        <v/>
      </c>
      <c r="D647" s="53"/>
      <c r="E647" s="155"/>
      <c r="F647" s="148"/>
      <c r="G647" s="144"/>
      <c r="H647" s="67"/>
      <c r="I647" s="67"/>
      <c r="J647" s="67"/>
      <c r="K647" s="67"/>
      <c r="L647" s="146"/>
      <c r="M647" s="147"/>
      <c r="N647" s="148"/>
      <c r="O647" s="143"/>
      <c r="P647" s="140"/>
      <c r="Q647" s="143"/>
      <c r="R647" s="143"/>
      <c r="S647" s="140"/>
      <c r="T647" s="143"/>
      <c r="U647" s="144"/>
      <c r="V647" s="147"/>
      <c r="X647" s="214"/>
    </row>
    <row r="648" spans="2:24" ht="10.95" customHeight="1" x14ac:dyDescent="0.25">
      <c r="B648" s="52"/>
      <c r="C648" s="166"/>
      <c r="D648" s="53"/>
      <c r="E648" s="155"/>
      <c r="F648" s="167" t="str">
        <f>_xlfn.IFNA(VLOOKUP(E646,'Data Kyu'!$A$6:$I$471,2,0),"")</f>
        <v/>
      </c>
      <c r="G648" s="168"/>
      <c r="H648" s="168"/>
      <c r="I648" s="168"/>
      <c r="J648" s="168"/>
      <c r="K648" s="169"/>
      <c r="L648" s="146"/>
      <c r="M648" s="147"/>
      <c r="N648" s="173" t="s">
        <v>6</v>
      </c>
      <c r="O648" s="159"/>
      <c r="P648" s="57"/>
      <c r="Q648" s="159" t="s">
        <v>7</v>
      </c>
      <c r="R648" s="159"/>
      <c r="S648" s="57"/>
      <c r="T648" s="159" t="s">
        <v>8</v>
      </c>
      <c r="U648" s="160"/>
      <c r="V648" s="175"/>
      <c r="X648" s="214"/>
    </row>
    <row r="649" spans="2:24" ht="10.95" customHeight="1" x14ac:dyDescent="0.25">
      <c r="B649" s="54"/>
      <c r="C649" s="76"/>
      <c r="D649" s="56"/>
      <c r="E649" s="156"/>
      <c r="F649" s="170"/>
      <c r="G649" s="171"/>
      <c r="H649" s="171"/>
      <c r="I649" s="171"/>
      <c r="J649" s="171"/>
      <c r="K649" s="172"/>
      <c r="L649" s="148"/>
      <c r="M649" s="144"/>
      <c r="N649" s="174"/>
      <c r="O649" s="161"/>
      <c r="P649" s="27"/>
      <c r="Q649" s="161"/>
      <c r="R649" s="161"/>
      <c r="S649" s="27"/>
      <c r="T649" s="161"/>
      <c r="U649" s="162"/>
      <c r="V649" s="176"/>
      <c r="X649" s="214"/>
    </row>
    <row r="650" spans="2:24" ht="10.95" customHeight="1" x14ac:dyDescent="0.25">
      <c r="B650" s="41"/>
      <c r="C650" s="77"/>
      <c r="D650" s="42"/>
      <c r="E650" s="154">
        <v>83</v>
      </c>
      <c r="F650" s="145" t="str">
        <f>_xlfn.IFNA(VLOOKUP(E650,'Data Kyu'!$A$6:$I$471,3,0),"")</f>
        <v/>
      </c>
      <c r="G650" s="142"/>
      <c r="H650" s="66"/>
      <c r="I650" s="66"/>
      <c r="J650" s="66"/>
      <c r="K650" s="66"/>
      <c r="L650" s="145" t="str">
        <f>_xlfn.IFNA(VLOOKUP(E650,'Data Kyu'!$A$6:$I$471,9,0),"")</f>
        <v/>
      </c>
      <c r="M650" s="142"/>
      <c r="N650" s="145" t="str">
        <f>_xlfn.IFNA(VLOOKUP(E650,'Data Kyu'!$A$6:$I$471,6,0),"")</f>
        <v/>
      </c>
      <c r="O650" s="141"/>
      <c r="P650" s="139" t="s">
        <v>5</v>
      </c>
      <c r="Q650" s="141" t="str">
        <f>_xlfn.IFNA(VLOOKUP(E650,'Data Kyu'!$A$6:$I$471,7,0),"")</f>
        <v/>
      </c>
      <c r="R650" s="141"/>
      <c r="S650" s="139" t="s">
        <v>5</v>
      </c>
      <c r="T650" s="141" t="str">
        <f>_xlfn.IFNA(VLOOKUP(E650,'Data Kyu'!$A$6:$I$471,8,0),"")</f>
        <v/>
      </c>
      <c r="U650" s="142"/>
      <c r="V650" s="142" t="str">
        <f>_xlfn.IFNA(VLOOKUP(E650,'Data Kyu'!$A$6:$I$471,4,0),"")</f>
        <v/>
      </c>
      <c r="X650" s="214" t="str">
        <f>_xlfn.IFNA(VLOOKUP(F650,'Data Kyu'!$C$6:$N$997,12,0),"No Data")</f>
        <v>No Data</v>
      </c>
    </row>
    <row r="651" spans="2:24" ht="10.95" customHeight="1" x14ac:dyDescent="0.25">
      <c r="B651" s="52"/>
      <c r="C651" s="165" t="str">
        <f>IF(X650="LULUS","V","")</f>
        <v/>
      </c>
      <c r="D651" s="53"/>
      <c r="E651" s="155"/>
      <c r="F651" s="148"/>
      <c r="G651" s="144"/>
      <c r="H651" s="67"/>
      <c r="I651" s="67"/>
      <c r="J651" s="67"/>
      <c r="K651" s="67"/>
      <c r="L651" s="146"/>
      <c r="M651" s="147"/>
      <c r="N651" s="148"/>
      <c r="O651" s="143"/>
      <c r="P651" s="140"/>
      <c r="Q651" s="143"/>
      <c r="R651" s="143"/>
      <c r="S651" s="140"/>
      <c r="T651" s="143"/>
      <c r="U651" s="144"/>
      <c r="V651" s="147"/>
      <c r="X651" s="214"/>
    </row>
    <row r="652" spans="2:24" ht="10.95" customHeight="1" x14ac:dyDescent="0.25">
      <c r="B652" s="52"/>
      <c r="C652" s="166"/>
      <c r="D652" s="53"/>
      <c r="E652" s="155"/>
      <c r="F652" s="167" t="str">
        <f>_xlfn.IFNA(VLOOKUP(E650,'Data Kyu'!$A$6:$I$471,2,0),"")</f>
        <v/>
      </c>
      <c r="G652" s="168"/>
      <c r="H652" s="168"/>
      <c r="I652" s="168"/>
      <c r="J652" s="168"/>
      <c r="K652" s="169"/>
      <c r="L652" s="146"/>
      <c r="M652" s="147"/>
      <c r="N652" s="173" t="s">
        <v>6</v>
      </c>
      <c r="O652" s="159"/>
      <c r="P652" s="57"/>
      <c r="Q652" s="159" t="s">
        <v>7</v>
      </c>
      <c r="R652" s="159"/>
      <c r="S652" s="57"/>
      <c r="T652" s="159" t="s">
        <v>8</v>
      </c>
      <c r="U652" s="160"/>
      <c r="V652" s="175"/>
      <c r="X652" s="214"/>
    </row>
    <row r="653" spans="2:24" ht="10.95" customHeight="1" x14ac:dyDescent="0.25">
      <c r="B653" s="54"/>
      <c r="C653" s="76"/>
      <c r="D653" s="56"/>
      <c r="E653" s="156"/>
      <c r="F653" s="170"/>
      <c r="G653" s="171"/>
      <c r="H653" s="171"/>
      <c r="I653" s="171"/>
      <c r="J653" s="171"/>
      <c r="K653" s="172"/>
      <c r="L653" s="148"/>
      <c r="M653" s="144"/>
      <c r="N653" s="174"/>
      <c r="O653" s="161"/>
      <c r="P653" s="27"/>
      <c r="Q653" s="161"/>
      <c r="R653" s="161"/>
      <c r="S653" s="27"/>
      <c r="T653" s="161"/>
      <c r="U653" s="162"/>
      <c r="V653" s="176"/>
      <c r="X653" s="214"/>
    </row>
    <row r="654" spans="2:24" ht="10.95" customHeight="1" x14ac:dyDescent="0.25">
      <c r="B654" s="41"/>
      <c r="C654" s="77"/>
      <c r="D654" s="42"/>
      <c r="E654" s="154">
        <v>84</v>
      </c>
      <c r="F654" s="145" t="str">
        <f>_xlfn.IFNA(VLOOKUP(E654,'Data Kyu'!$A$6:$I$471,3,0),"")</f>
        <v/>
      </c>
      <c r="G654" s="142"/>
      <c r="H654" s="66"/>
      <c r="I654" s="66"/>
      <c r="J654" s="66"/>
      <c r="K654" s="66"/>
      <c r="L654" s="145" t="str">
        <f>_xlfn.IFNA(VLOOKUP(E654,'Data Kyu'!$A$6:$I$471,9,0),"")</f>
        <v/>
      </c>
      <c r="M654" s="142"/>
      <c r="N654" s="145" t="str">
        <f>_xlfn.IFNA(VLOOKUP(E654,'Data Kyu'!$A$6:$I$471,6,0),"")</f>
        <v/>
      </c>
      <c r="O654" s="141"/>
      <c r="P654" s="139" t="s">
        <v>5</v>
      </c>
      <c r="Q654" s="141" t="str">
        <f>_xlfn.IFNA(VLOOKUP(E654,'Data Kyu'!$A$6:$I$471,7,0),"")</f>
        <v/>
      </c>
      <c r="R654" s="141"/>
      <c r="S654" s="139" t="s">
        <v>5</v>
      </c>
      <c r="T654" s="141" t="str">
        <f>_xlfn.IFNA(VLOOKUP(E654,'Data Kyu'!$A$6:$I$471,8,0),"")</f>
        <v/>
      </c>
      <c r="U654" s="142"/>
      <c r="V654" s="142" t="str">
        <f>_xlfn.IFNA(VLOOKUP(E654,'Data Kyu'!$A$6:$I$471,4,0),"")</f>
        <v/>
      </c>
      <c r="X654" s="214" t="str">
        <f>_xlfn.IFNA(VLOOKUP(F654,'Data Kyu'!$C$6:$N$997,12,0),"No Data")</f>
        <v>No Data</v>
      </c>
    </row>
    <row r="655" spans="2:24" ht="10.95" customHeight="1" x14ac:dyDescent="0.25">
      <c r="B655" s="52"/>
      <c r="C655" s="165" t="str">
        <f>IF(X654="LULUS","V","")</f>
        <v/>
      </c>
      <c r="D655" s="53"/>
      <c r="E655" s="155"/>
      <c r="F655" s="148"/>
      <c r="G655" s="144"/>
      <c r="H655" s="67"/>
      <c r="I655" s="67"/>
      <c r="J655" s="67"/>
      <c r="K655" s="67"/>
      <c r="L655" s="146"/>
      <c r="M655" s="147"/>
      <c r="N655" s="148"/>
      <c r="O655" s="143"/>
      <c r="P655" s="140"/>
      <c r="Q655" s="143"/>
      <c r="R655" s="143"/>
      <c r="S655" s="140"/>
      <c r="T655" s="143"/>
      <c r="U655" s="144"/>
      <c r="V655" s="147"/>
      <c r="X655" s="214"/>
    </row>
    <row r="656" spans="2:24" ht="10.95" customHeight="1" x14ac:dyDescent="0.25">
      <c r="B656" s="52"/>
      <c r="C656" s="166"/>
      <c r="D656" s="53"/>
      <c r="E656" s="155"/>
      <c r="F656" s="167" t="str">
        <f>_xlfn.IFNA(VLOOKUP(E654,'Data Kyu'!$A$6:$I$471,2,0),"")</f>
        <v/>
      </c>
      <c r="G656" s="168"/>
      <c r="H656" s="168"/>
      <c r="I656" s="168"/>
      <c r="J656" s="168"/>
      <c r="K656" s="169"/>
      <c r="L656" s="146"/>
      <c r="M656" s="147"/>
      <c r="N656" s="173" t="s">
        <v>6</v>
      </c>
      <c r="O656" s="159"/>
      <c r="P656" s="57"/>
      <c r="Q656" s="159" t="s">
        <v>7</v>
      </c>
      <c r="R656" s="159"/>
      <c r="S656" s="57"/>
      <c r="T656" s="159" t="s">
        <v>8</v>
      </c>
      <c r="U656" s="160"/>
      <c r="V656" s="175"/>
      <c r="X656" s="214"/>
    </row>
    <row r="657" spans="2:24" ht="10.95" customHeight="1" x14ac:dyDescent="0.25">
      <c r="B657" s="54"/>
      <c r="C657" s="76"/>
      <c r="D657" s="56"/>
      <c r="E657" s="156"/>
      <c r="F657" s="170"/>
      <c r="G657" s="171"/>
      <c r="H657" s="171"/>
      <c r="I657" s="171"/>
      <c r="J657" s="171"/>
      <c r="K657" s="172"/>
      <c r="L657" s="148"/>
      <c r="M657" s="144"/>
      <c r="N657" s="174"/>
      <c r="O657" s="161"/>
      <c r="P657" s="27"/>
      <c r="Q657" s="161"/>
      <c r="R657" s="161"/>
      <c r="S657" s="27"/>
      <c r="T657" s="161"/>
      <c r="U657" s="162"/>
      <c r="V657" s="176"/>
      <c r="X657" s="214"/>
    </row>
    <row r="658" spans="2:24" ht="10.95" customHeight="1" x14ac:dyDescent="0.25">
      <c r="B658" s="41"/>
      <c r="C658" s="77"/>
      <c r="D658" s="42"/>
      <c r="E658" s="154">
        <v>85</v>
      </c>
      <c r="F658" s="145" t="str">
        <f>_xlfn.IFNA(VLOOKUP(E658,'Data Kyu'!$A$6:$I$471,3,0),"")</f>
        <v/>
      </c>
      <c r="G658" s="142"/>
      <c r="H658" s="66"/>
      <c r="I658" s="66"/>
      <c r="J658" s="66"/>
      <c r="K658" s="66"/>
      <c r="L658" s="145" t="str">
        <f>_xlfn.IFNA(VLOOKUP(E658,'Data Kyu'!$A$6:$I$471,9,0),"")</f>
        <v/>
      </c>
      <c r="M658" s="142"/>
      <c r="N658" s="145" t="str">
        <f>_xlfn.IFNA(VLOOKUP(E658,'Data Kyu'!$A$6:$I$471,6,0),"")</f>
        <v/>
      </c>
      <c r="O658" s="141"/>
      <c r="P658" s="139" t="s">
        <v>5</v>
      </c>
      <c r="Q658" s="141" t="str">
        <f>_xlfn.IFNA(VLOOKUP(E658,'Data Kyu'!$A$6:$I$471,7,0),"")</f>
        <v/>
      </c>
      <c r="R658" s="141"/>
      <c r="S658" s="139" t="s">
        <v>5</v>
      </c>
      <c r="T658" s="141" t="str">
        <f>_xlfn.IFNA(VLOOKUP(E658,'Data Kyu'!$A$6:$I$471,8,0),"")</f>
        <v/>
      </c>
      <c r="U658" s="142"/>
      <c r="V658" s="142" t="str">
        <f>_xlfn.IFNA(VLOOKUP(E658,'Data Kyu'!$A$6:$I$471,4,0),"")</f>
        <v/>
      </c>
      <c r="X658" s="214" t="str">
        <f>_xlfn.IFNA(VLOOKUP(F658,'Data Kyu'!$C$6:$N$997,12,0),"No Data")</f>
        <v>No Data</v>
      </c>
    </row>
    <row r="659" spans="2:24" ht="10.95" customHeight="1" x14ac:dyDescent="0.25">
      <c r="B659" s="52"/>
      <c r="C659" s="165" t="str">
        <f>IF(X658="LULUS","V","")</f>
        <v/>
      </c>
      <c r="D659" s="53"/>
      <c r="E659" s="155"/>
      <c r="F659" s="148"/>
      <c r="G659" s="144"/>
      <c r="H659" s="67"/>
      <c r="I659" s="67"/>
      <c r="J659" s="67"/>
      <c r="K659" s="67"/>
      <c r="L659" s="146"/>
      <c r="M659" s="147"/>
      <c r="N659" s="148"/>
      <c r="O659" s="143"/>
      <c r="P659" s="140"/>
      <c r="Q659" s="143"/>
      <c r="R659" s="143"/>
      <c r="S659" s="140"/>
      <c r="T659" s="143"/>
      <c r="U659" s="144"/>
      <c r="V659" s="147"/>
      <c r="X659" s="214"/>
    </row>
    <row r="660" spans="2:24" ht="10.95" customHeight="1" x14ac:dyDescent="0.25">
      <c r="B660" s="52"/>
      <c r="C660" s="166"/>
      <c r="D660" s="53"/>
      <c r="E660" s="155"/>
      <c r="F660" s="167" t="str">
        <f>_xlfn.IFNA(VLOOKUP(E658,'Data Kyu'!$A$6:$I$471,2,0),"")</f>
        <v/>
      </c>
      <c r="G660" s="168"/>
      <c r="H660" s="168"/>
      <c r="I660" s="168"/>
      <c r="J660" s="168"/>
      <c r="K660" s="169"/>
      <c r="L660" s="146"/>
      <c r="M660" s="147"/>
      <c r="N660" s="173" t="s">
        <v>6</v>
      </c>
      <c r="O660" s="159"/>
      <c r="P660" s="57"/>
      <c r="Q660" s="159" t="s">
        <v>7</v>
      </c>
      <c r="R660" s="159"/>
      <c r="S660" s="57"/>
      <c r="T660" s="159" t="s">
        <v>8</v>
      </c>
      <c r="U660" s="160"/>
      <c r="V660" s="175"/>
      <c r="X660" s="214"/>
    </row>
    <row r="661" spans="2:24" ht="10.95" customHeight="1" x14ac:dyDescent="0.25">
      <c r="B661" s="54"/>
      <c r="C661" s="76"/>
      <c r="D661" s="56"/>
      <c r="E661" s="156"/>
      <c r="F661" s="170"/>
      <c r="G661" s="171"/>
      <c r="H661" s="171"/>
      <c r="I661" s="171"/>
      <c r="J661" s="171"/>
      <c r="K661" s="172"/>
      <c r="L661" s="148"/>
      <c r="M661" s="144"/>
      <c r="N661" s="174"/>
      <c r="O661" s="161"/>
      <c r="P661" s="27"/>
      <c r="Q661" s="161"/>
      <c r="R661" s="161"/>
      <c r="S661" s="27"/>
      <c r="T661" s="161"/>
      <c r="U661" s="162"/>
      <c r="V661" s="176"/>
      <c r="X661" s="214"/>
    </row>
    <row r="662" spans="2:24" ht="10.95" customHeight="1" x14ac:dyDescent="0.25">
      <c r="B662" s="41"/>
      <c r="C662" s="77"/>
      <c r="D662" s="42"/>
      <c r="E662" s="154">
        <v>86</v>
      </c>
      <c r="F662" s="145" t="str">
        <f>_xlfn.IFNA(VLOOKUP(E662,'Data Kyu'!$A$6:$I$471,3,0),"")</f>
        <v/>
      </c>
      <c r="G662" s="142"/>
      <c r="H662" s="66"/>
      <c r="I662" s="66"/>
      <c r="J662" s="66"/>
      <c r="K662" s="66"/>
      <c r="L662" s="145" t="str">
        <f>_xlfn.IFNA(VLOOKUP(E662,'Data Kyu'!$A$6:$I$471,9,0),"")</f>
        <v/>
      </c>
      <c r="M662" s="142"/>
      <c r="N662" s="145" t="str">
        <f>_xlfn.IFNA(VLOOKUP(E662,'Data Kyu'!$A$6:$I$471,6,0),"")</f>
        <v/>
      </c>
      <c r="O662" s="141"/>
      <c r="P662" s="139" t="s">
        <v>5</v>
      </c>
      <c r="Q662" s="141" t="str">
        <f>_xlfn.IFNA(VLOOKUP(E662,'Data Kyu'!$A$6:$I$471,7,0),"")</f>
        <v/>
      </c>
      <c r="R662" s="141"/>
      <c r="S662" s="139" t="s">
        <v>5</v>
      </c>
      <c r="T662" s="141" t="str">
        <f>_xlfn.IFNA(VLOOKUP(E662,'Data Kyu'!$A$6:$I$471,8,0),"")</f>
        <v/>
      </c>
      <c r="U662" s="142"/>
      <c r="V662" s="142" t="str">
        <f>_xlfn.IFNA(VLOOKUP(E662,'Data Kyu'!$A$6:$I$471,4,0),"")</f>
        <v/>
      </c>
      <c r="X662" s="214" t="str">
        <f>_xlfn.IFNA(VLOOKUP(F662,'Data Kyu'!$C$6:$N$997,12,0),"No Data")</f>
        <v>No Data</v>
      </c>
    </row>
    <row r="663" spans="2:24" ht="10.95" customHeight="1" x14ac:dyDescent="0.25">
      <c r="B663" s="52"/>
      <c r="C663" s="165" t="str">
        <f>IF(X662="LULUS","V","")</f>
        <v/>
      </c>
      <c r="D663" s="53"/>
      <c r="E663" s="155"/>
      <c r="F663" s="148"/>
      <c r="G663" s="144"/>
      <c r="H663" s="67"/>
      <c r="I663" s="67"/>
      <c r="J663" s="67"/>
      <c r="K663" s="67"/>
      <c r="L663" s="146"/>
      <c r="M663" s="147"/>
      <c r="N663" s="148"/>
      <c r="O663" s="143"/>
      <c r="P663" s="140"/>
      <c r="Q663" s="143"/>
      <c r="R663" s="143"/>
      <c r="S663" s="140"/>
      <c r="T663" s="143"/>
      <c r="U663" s="144"/>
      <c r="V663" s="147"/>
      <c r="X663" s="214"/>
    </row>
    <row r="664" spans="2:24" ht="10.95" customHeight="1" x14ac:dyDescent="0.25">
      <c r="B664" s="52"/>
      <c r="C664" s="166"/>
      <c r="D664" s="53"/>
      <c r="E664" s="155"/>
      <c r="F664" s="167" t="str">
        <f>_xlfn.IFNA(VLOOKUP(E662,'Data Kyu'!$A$6:$I$471,2,0),"")</f>
        <v/>
      </c>
      <c r="G664" s="168"/>
      <c r="H664" s="168"/>
      <c r="I664" s="168"/>
      <c r="J664" s="168"/>
      <c r="K664" s="169"/>
      <c r="L664" s="146"/>
      <c r="M664" s="147"/>
      <c r="N664" s="173" t="s">
        <v>6</v>
      </c>
      <c r="O664" s="159"/>
      <c r="P664" s="57"/>
      <c r="Q664" s="159" t="s">
        <v>7</v>
      </c>
      <c r="R664" s="159"/>
      <c r="S664" s="57"/>
      <c r="T664" s="159" t="s">
        <v>8</v>
      </c>
      <c r="U664" s="160"/>
      <c r="V664" s="175"/>
      <c r="X664" s="214"/>
    </row>
    <row r="665" spans="2:24" ht="10.95" customHeight="1" x14ac:dyDescent="0.25">
      <c r="B665" s="54"/>
      <c r="C665" s="76"/>
      <c r="D665" s="56"/>
      <c r="E665" s="156"/>
      <c r="F665" s="170"/>
      <c r="G665" s="171"/>
      <c r="H665" s="171"/>
      <c r="I665" s="171"/>
      <c r="J665" s="171"/>
      <c r="K665" s="172"/>
      <c r="L665" s="148"/>
      <c r="M665" s="144"/>
      <c r="N665" s="174"/>
      <c r="O665" s="161"/>
      <c r="P665" s="27"/>
      <c r="Q665" s="161"/>
      <c r="R665" s="161"/>
      <c r="S665" s="27"/>
      <c r="T665" s="161"/>
      <c r="U665" s="162"/>
      <c r="V665" s="176"/>
      <c r="X665" s="214"/>
    </row>
    <row r="666" spans="2:24" ht="10.95" customHeight="1" x14ac:dyDescent="0.25">
      <c r="B666" s="41"/>
      <c r="C666" s="77"/>
      <c r="D666" s="42"/>
      <c r="E666" s="154">
        <v>87</v>
      </c>
      <c r="F666" s="145" t="str">
        <f>_xlfn.IFNA(VLOOKUP(E666,'Data Kyu'!$A$6:$I$471,3,0),"")</f>
        <v/>
      </c>
      <c r="G666" s="142"/>
      <c r="H666" s="66"/>
      <c r="I666" s="66"/>
      <c r="J666" s="66"/>
      <c r="K666" s="66"/>
      <c r="L666" s="145" t="str">
        <f>_xlfn.IFNA(VLOOKUP(E666,'Data Kyu'!$A$6:$I$471,9,0),"")</f>
        <v/>
      </c>
      <c r="M666" s="142"/>
      <c r="N666" s="145" t="str">
        <f>_xlfn.IFNA(VLOOKUP(E666,'Data Kyu'!$A$6:$I$471,6,0),"")</f>
        <v/>
      </c>
      <c r="O666" s="141"/>
      <c r="P666" s="139" t="s">
        <v>5</v>
      </c>
      <c r="Q666" s="141" t="str">
        <f>_xlfn.IFNA(VLOOKUP(E666,'Data Kyu'!$A$6:$I$471,7,0),"")</f>
        <v/>
      </c>
      <c r="R666" s="141"/>
      <c r="S666" s="139" t="s">
        <v>5</v>
      </c>
      <c r="T666" s="141" t="str">
        <f>_xlfn.IFNA(VLOOKUP(E666,'Data Kyu'!$A$6:$I$471,8,0),"")</f>
        <v/>
      </c>
      <c r="U666" s="142"/>
      <c r="V666" s="142" t="str">
        <f>_xlfn.IFNA(VLOOKUP(E666,'Data Kyu'!$A$6:$I$471,4,0),"")</f>
        <v/>
      </c>
      <c r="X666" s="214" t="str">
        <f>_xlfn.IFNA(VLOOKUP(F666,'Data Kyu'!$C$6:$N$997,12,0),"No Data")</f>
        <v>No Data</v>
      </c>
    </row>
    <row r="667" spans="2:24" ht="10.95" customHeight="1" x14ac:dyDescent="0.25">
      <c r="B667" s="52"/>
      <c r="C667" s="165" t="str">
        <f>IF(X666="LULUS","V","")</f>
        <v/>
      </c>
      <c r="D667" s="53"/>
      <c r="E667" s="155"/>
      <c r="F667" s="148"/>
      <c r="G667" s="144"/>
      <c r="H667" s="67"/>
      <c r="I667" s="67"/>
      <c r="J667" s="67"/>
      <c r="K667" s="67"/>
      <c r="L667" s="146"/>
      <c r="M667" s="147"/>
      <c r="N667" s="148"/>
      <c r="O667" s="143"/>
      <c r="P667" s="140"/>
      <c r="Q667" s="143"/>
      <c r="R667" s="143"/>
      <c r="S667" s="140"/>
      <c r="T667" s="143"/>
      <c r="U667" s="144"/>
      <c r="V667" s="147"/>
      <c r="X667" s="214"/>
    </row>
    <row r="668" spans="2:24" ht="10.95" customHeight="1" x14ac:dyDescent="0.25">
      <c r="B668" s="52"/>
      <c r="C668" s="166"/>
      <c r="D668" s="53"/>
      <c r="E668" s="155"/>
      <c r="F668" s="167" t="str">
        <f>_xlfn.IFNA(VLOOKUP(E666,'Data Kyu'!$A$6:$I$471,2,0),"")</f>
        <v/>
      </c>
      <c r="G668" s="168"/>
      <c r="H668" s="168"/>
      <c r="I668" s="168"/>
      <c r="J668" s="168"/>
      <c r="K668" s="169"/>
      <c r="L668" s="146"/>
      <c r="M668" s="147"/>
      <c r="N668" s="173" t="s">
        <v>6</v>
      </c>
      <c r="O668" s="159"/>
      <c r="P668" s="57"/>
      <c r="Q668" s="159" t="s">
        <v>7</v>
      </c>
      <c r="R668" s="159"/>
      <c r="S668" s="57"/>
      <c r="T668" s="159" t="s">
        <v>8</v>
      </c>
      <c r="U668" s="160"/>
      <c r="V668" s="175"/>
      <c r="X668" s="214"/>
    </row>
    <row r="669" spans="2:24" ht="10.95" customHeight="1" x14ac:dyDescent="0.25">
      <c r="B669" s="54"/>
      <c r="C669" s="76"/>
      <c r="D669" s="56"/>
      <c r="E669" s="156"/>
      <c r="F669" s="170"/>
      <c r="G669" s="171"/>
      <c r="H669" s="171"/>
      <c r="I669" s="171"/>
      <c r="J669" s="171"/>
      <c r="K669" s="172"/>
      <c r="L669" s="148"/>
      <c r="M669" s="144"/>
      <c r="N669" s="174"/>
      <c r="O669" s="161"/>
      <c r="P669" s="27"/>
      <c r="Q669" s="161"/>
      <c r="R669" s="161"/>
      <c r="S669" s="27"/>
      <c r="T669" s="161"/>
      <c r="U669" s="162"/>
      <c r="V669" s="176"/>
      <c r="X669" s="214"/>
    </row>
    <row r="670" spans="2:24" ht="10.95" customHeight="1" x14ac:dyDescent="0.25">
      <c r="B670" s="41"/>
      <c r="C670" s="77"/>
      <c r="D670" s="42"/>
      <c r="E670" s="154">
        <v>88</v>
      </c>
      <c r="F670" s="145" t="str">
        <f>_xlfn.IFNA(VLOOKUP(E670,'Data Kyu'!$A$6:$I$471,3,0),"")</f>
        <v/>
      </c>
      <c r="G670" s="142"/>
      <c r="H670" s="66"/>
      <c r="I670" s="66"/>
      <c r="J670" s="66"/>
      <c r="K670" s="66"/>
      <c r="L670" s="145" t="str">
        <f>_xlfn.IFNA(VLOOKUP(E670,'Data Kyu'!$A$6:$I$471,9,0),"")</f>
        <v/>
      </c>
      <c r="M670" s="142"/>
      <c r="N670" s="145" t="str">
        <f>_xlfn.IFNA(VLOOKUP(E670,'Data Kyu'!$A$6:$I$471,6,0),"")</f>
        <v/>
      </c>
      <c r="O670" s="141"/>
      <c r="P670" s="139" t="s">
        <v>5</v>
      </c>
      <c r="Q670" s="141" t="str">
        <f>_xlfn.IFNA(VLOOKUP(E670,'Data Kyu'!$A$6:$I$471,7,0),"")</f>
        <v/>
      </c>
      <c r="R670" s="141"/>
      <c r="S670" s="139" t="s">
        <v>5</v>
      </c>
      <c r="T670" s="141" t="str">
        <f>_xlfn.IFNA(VLOOKUP(E670,'Data Kyu'!$A$6:$I$471,8,0),"")</f>
        <v/>
      </c>
      <c r="U670" s="142"/>
      <c r="V670" s="142" t="str">
        <f>_xlfn.IFNA(VLOOKUP(E670,'Data Kyu'!$A$6:$I$471,4,0),"")</f>
        <v/>
      </c>
      <c r="X670" s="214" t="str">
        <f>_xlfn.IFNA(VLOOKUP(F670,'Data Kyu'!$C$6:$N$997,12,0),"No Data")</f>
        <v>No Data</v>
      </c>
    </row>
    <row r="671" spans="2:24" ht="10.95" customHeight="1" x14ac:dyDescent="0.25">
      <c r="B671" s="52"/>
      <c r="C671" s="165" t="str">
        <f>IF(X670="LULUS","V","")</f>
        <v/>
      </c>
      <c r="D671" s="53"/>
      <c r="E671" s="155"/>
      <c r="F671" s="148"/>
      <c r="G671" s="144"/>
      <c r="H671" s="67"/>
      <c r="I671" s="67"/>
      <c r="J671" s="67"/>
      <c r="K671" s="67"/>
      <c r="L671" s="146"/>
      <c r="M671" s="147"/>
      <c r="N671" s="148"/>
      <c r="O671" s="143"/>
      <c r="P671" s="140"/>
      <c r="Q671" s="143"/>
      <c r="R671" s="143"/>
      <c r="S671" s="140"/>
      <c r="T671" s="143"/>
      <c r="U671" s="144"/>
      <c r="V671" s="147"/>
      <c r="X671" s="214"/>
    </row>
    <row r="672" spans="2:24" ht="10.95" customHeight="1" x14ac:dyDescent="0.25">
      <c r="B672" s="52"/>
      <c r="C672" s="166"/>
      <c r="D672" s="53"/>
      <c r="E672" s="155"/>
      <c r="F672" s="167" t="str">
        <f>_xlfn.IFNA(VLOOKUP(E670,'Data Kyu'!$A$6:$I$471,2,0),"")</f>
        <v/>
      </c>
      <c r="G672" s="168"/>
      <c r="H672" s="168"/>
      <c r="I672" s="168"/>
      <c r="J672" s="168"/>
      <c r="K672" s="169"/>
      <c r="L672" s="146"/>
      <c r="M672" s="147"/>
      <c r="N672" s="173" t="s">
        <v>6</v>
      </c>
      <c r="O672" s="159"/>
      <c r="P672" s="57"/>
      <c r="Q672" s="159" t="s">
        <v>7</v>
      </c>
      <c r="R672" s="159"/>
      <c r="S672" s="57"/>
      <c r="T672" s="159" t="s">
        <v>8</v>
      </c>
      <c r="U672" s="160"/>
      <c r="V672" s="175"/>
      <c r="X672" s="214"/>
    </row>
    <row r="673" spans="2:24" ht="10.95" customHeight="1" x14ac:dyDescent="0.25">
      <c r="B673" s="54"/>
      <c r="C673" s="76"/>
      <c r="D673" s="56"/>
      <c r="E673" s="156"/>
      <c r="F673" s="170"/>
      <c r="G673" s="171"/>
      <c r="H673" s="171"/>
      <c r="I673" s="171"/>
      <c r="J673" s="171"/>
      <c r="K673" s="172"/>
      <c r="L673" s="148"/>
      <c r="M673" s="144"/>
      <c r="N673" s="174"/>
      <c r="O673" s="161"/>
      <c r="P673" s="27"/>
      <c r="Q673" s="161"/>
      <c r="R673" s="161"/>
      <c r="S673" s="27"/>
      <c r="T673" s="161"/>
      <c r="U673" s="162"/>
      <c r="V673" s="176"/>
      <c r="X673" s="214"/>
    </row>
    <row r="674" spans="2:24" ht="10.95" customHeight="1" x14ac:dyDescent="0.25">
      <c r="B674" s="41"/>
      <c r="C674" s="77"/>
      <c r="D674" s="42"/>
      <c r="E674" s="154">
        <v>89</v>
      </c>
      <c r="F674" s="145" t="str">
        <f>_xlfn.IFNA(VLOOKUP(E674,'Data Kyu'!$A$6:$I$471,3,0),"")</f>
        <v/>
      </c>
      <c r="G674" s="142"/>
      <c r="H674" s="66"/>
      <c r="I674" s="66"/>
      <c r="J674" s="66"/>
      <c r="K674" s="66"/>
      <c r="L674" s="145" t="str">
        <f>_xlfn.IFNA(VLOOKUP(E674,'Data Kyu'!$A$6:$I$471,9,0),"")</f>
        <v/>
      </c>
      <c r="M674" s="142"/>
      <c r="N674" s="145" t="str">
        <f>_xlfn.IFNA(VLOOKUP(E674,'Data Kyu'!$A$6:$I$471,6,0),"")</f>
        <v/>
      </c>
      <c r="O674" s="141"/>
      <c r="P674" s="139" t="s">
        <v>5</v>
      </c>
      <c r="Q674" s="141" t="str">
        <f>_xlfn.IFNA(VLOOKUP(E674,'Data Kyu'!$A$6:$I$471,7,0),"")</f>
        <v/>
      </c>
      <c r="R674" s="141"/>
      <c r="S674" s="139" t="s">
        <v>5</v>
      </c>
      <c r="T674" s="141" t="str">
        <f>_xlfn.IFNA(VLOOKUP(E674,'Data Kyu'!$A$6:$I$471,8,0),"")</f>
        <v/>
      </c>
      <c r="U674" s="142"/>
      <c r="V674" s="142" t="str">
        <f>_xlfn.IFNA(VLOOKUP(E674,'Data Kyu'!$A$6:$I$471,4,0),"")</f>
        <v/>
      </c>
      <c r="X674" s="214" t="str">
        <f>_xlfn.IFNA(VLOOKUP(F674,'Data Kyu'!$C$6:$N$997,12,0),"No Data")</f>
        <v>No Data</v>
      </c>
    </row>
    <row r="675" spans="2:24" ht="10.95" customHeight="1" x14ac:dyDescent="0.25">
      <c r="B675" s="52"/>
      <c r="C675" s="165" t="str">
        <f>IF(X674="LULUS","V","")</f>
        <v/>
      </c>
      <c r="D675" s="53"/>
      <c r="E675" s="155"/>
      <c r="F675" s="148"/>
      <c r="G675" s="144"/>
      <c r="H675" s="67"/>
      <c r="I675" s="67"/>
      <c r="J675" s="67"/>
      <c r="K675" s="67"/>
      <c r="L675" s="146"/>
      <c r="M675" s="147"/>
      <c r="N675" s="148"/>
      <c r="O675" s="143"/>
      <c r="P675" s="140"/>
      <c r="Q675" s="143"/>
      <c r="R675" s="143"/>
      <c r="S675" s="140"/>
      <c r="T675" s="143"/>
      <c r="U675" s="144"/>
      <c r="V675" s="147"/>
      <c r="X675" s="214"/>
    </row>
    <row r="676" spans="2:24" ht="10.95" customHeight="1" x14ac:dyDescent="0.25">
      <c r="B676" s="52"/>
      <c r="C676" s="166"/>
      <c r="D676" s="53"/>
      <c r="E676" s="155"/>
      <c r="F676" s="167" t="str">
        <f>_xlfn.IFNA(VLOOKUP(E674,'Data Kyu'!$A$6:$I$471,2,0),"")</f>
        <v/>
      </c>
      <c r="G676" s="168"/>
      <c r="H676" s="168"/>
      <c r="I676" s="168"/>
      <c r="J676" s="168"/>
      <c r="K676" s="169"/>
      <c r="L676" s="146"/>
      <c r="M676" s="147"/>
      <c r="N676" s="173" t="s">
        <v>6</v>
      </c>
      <c r="O676" s="159"/>
      <c r="P676" s="57"/>
      <c r="Q676" s="159" t="s">
        <v>7</v>
      </c>
      <c r="R676" s="159"/>
      <c r="S676" s="57"/>
      <c r="T676" s="159" t="s">
        <v>8</v>
      </c>
      <c r="U676" s="160"/>
      <c r="V676" s="175"/>
      <c r="X676" s="214"/>
    </row>
    <row r="677" spans="2:24" ht="10.95" customHeight="1" x14ac:dyDescent="0.25">
      <c r="B677" s="54"/>
      <c r="C677" s="76"/>
      <c r="D677" s="56"/>
      <c r="E677" s="156"/>
      <c r="F677" s="170"/>
      <c r="G677" s="171"/>
      <c r="H677" s="171"/>
      <c r="I677" s="171"/>
      <c r="J677" s="171"/>
      <c r="K677" s="172"/>
      <c r="L677" s="148"/>
      <c r="M677" s="144"/>
      <c r="N677" s="174"/>
      <c r="O677" s="161"/>
      <c r="P677" s="27"/>
      <c r="Q677" s="161"/>
      <c r="R677" s="161"/>
      <c r="S677" s="27"/>
      <c r="T677" s="161"/>
      <c r="U677" s="162"/>
      <c r="V677" s="176"/>
      <c r="X677" s="214"/>
    </row>
    <row r="678" spans="2:24" ht="10.95" customHeight="1" x14ac:dyDescent="0.25">
      <c r="B678" s="41"/>
      <c r="C678" s="77"/>
      <c r="D678" s="42"/>
      <c r="E678" s="154">
        <v>90</v>
      </c>
      <c r="F678" s="145" t="str">
        <f>_xlfn.IFNA(VLOOKUP(E678,'Data Kyu'!$A$6:$I$471,3,0),"")</f>
        <v/>
      </c>
      <c r="G678" s="142"/>
      <c r="H678" s="66"/>
      <c r="I678" s="66"/>
      <c r="J678" s="66"/>
      <c r="K678" s="66"/>
      <c r="L678" s="145" t="str">
        <f>_xlfn.IFNA(VLOOKUP(E678,'Data Kyu'!$A$6:$I$471,9,0),"")</f>
        <v/>
      </c>
      <c r="M678" s="142"/>
      <c r="N678" s="145" t="str">
        <f>_xlfn.IFNA(VLOOKUP(E678,'Data Kyu'!$A$6:$I$471,6,0),"")</f>
        <v/>
      </c>
      <c r="O678" s="141"/>
      <c r="P678" s="139" t="s">
        <v>5</v>
      </c>
      <c r="Q678" s="141" t="str">
        <f>_xlfn.IFNA(VLOOKUP(E678,'Data Kyu'!$A$6:$I$471,7,0),"")</f>
        <v/>
      </c>
      <c r="R678" s="141"/>
      <c r="S678" s="139" t="s">
        <v>5</v>
      </c>
      <c r="T678" s="141" t="str">
        <f>_xlfn.IFNA(VLOOKUP(E678,'Data Kyu'!$A$6:$I$471,8,0),"")</f>
        <v/>
      </c>
      <c r="U678" s="142"/>
      <c r="V678" s="142" t="str">
        <f>_xlfn.IFNA(VLOOKUP(E678,'Data Kyu'!$A$6:$I$471,4,0),"")</f>
        <v/>
      </c>
      <c r="X678" s="214" t="str">
        <f>_xlfn.IFNA(VLOOKUP(F678,'Data Kyu'!$C$6:$N$997,12,0),"No Data")</f>
        <v>No Data</v>
      </c>
    </row>
    <row r="679" spans="2:24" ht="10.95" customHeight="1" x14ac:dyDescent="0.25">
      <c r="B679" s="52"/>
      <c r="C679" s="165" t="str">
        <f>IF(X678="LULUS","V","")</f>
        <v/>
      </c>
      <c r="D679" s="53"/>
      <c r="E679" s="155"/>
      <c r="F679" s="148"/>
      <c r="G679" s="144"/>
      <c r="H679" s="67"/>
      <c r="I679" s="67"/>
      <c r="J679" s="67"/>
      <c r="K679" s="67"/>
      <c r="L679" s="146"/>
      <c r="M679" s="147"/>
      <c r="N679" s="148"/>
      <c r="O679" s="143"/>
      <c r="P679" s="140"/>
      <c r="Q679" s="143"/>
      <c r="R679" s="143"/>
      <c r="S679" s="140"/>
      <c r="T679" s="143"/>
      <c r="U679" s="144"/>
      <c r="V679" s="147"/>
      <c r="X679" s="214"/>
    </row>
    <row r="680" spans="2:24" ht="10.95" customHeight="1" x14ac:dyDescent="0.25">
      <c r="B680" s="52"/>
      <c r="C680" s="166"/>
      <c r="D680" s="53"/>
      <c r="E680" s="155"/>
      <c r="F680" s="167" t="str">
        <f>_xlfn.IFNA(VLOOKUP(E678,'Data Kyu'!$A$6:$I$471,2,0),"")</f>
        <v/>
      </c>
      <c r="G680" s="168"/>
      <c r="H680" s="168"/>
      <c r="I680" s="168"/>
      <c r="J680" s="168"/>
      <c r="K680" s="169"/>
      <c r="L680" s="146"/>
      <c r="M680" s="147"/>
      <c r="N680" s="173" t="s">
        <v>6</v>
      </c>
      <c r="O680" s="159"/>
      <c r="P680" s="57"/>
      <c r="Q680" s="159" t="s">
        <v>7</v>
      </c>
      <c r="R680" s="159"/>
      <c r="S680" s="57"/>
      <c r="T680" s="159" t="s">
        <v>8</v>
      </c>
      <c r="U680" s="160"/>
      <c r="V680" s="175"/>
      <c r="X680" s="214"/>
    </row>
    <row r="681" spans="2:24" ht="10.95" customHeight="1" x14ac:dyDescent="0.25">
      <c r="B681" s="54"/>
      <c r="C681" s="55"/>
      <c r="D681" s="56"/>
      <c r="E681" s="156"/>
      <c r="F681" s="170"/>
      <c r="G681" s="171"/>
      <c r="H681" s="171"/>
      <c r="I681" s="171"/>
      <c r="J681" s="171"/>
      <c r="K681" s="172"/>
      <c r="L681" s="148"/>
      <c r="M681" s="144"/>
      <c r="N681" s="174"/>
      <c r="O681" s="161"/>
      <c r="P681" s="27"/>
      <c r="Q681" s="161"/>
      <c r="R681" s="161"/>
      <c r="S681" s="27"/>
      <c r="T681" s="161"/>
      <c r="U681" s="162"/>
      <c r="V681" s="176"/>
      <c r="X681" s="214"/>
    </row>
    <row r="682" spans="2:24" ht="7.5" customHeight="1" x14ac:dyDescent="0.25"/>
    <row r="683" spans="2:24" s="34" customFormat="1" x14ac:dyDescent="0.25">
      <c r="E683" s="35" t="s">
        <v>30</v>
      </c>
      <c r="K683" s="35" t="s">
        <v>28</v>
      </c>
    </row>
    <row r="684" spans="2:24" x14ac:dyDescent="0.25">
      <c r="E684" s="33" t="s">
        <v>31</v>
      </c>
      <c r="F684" s="149"/>
      <c r="G684" s="149"/>
      <c r="H684" s="149"/>
      <c r="I684" s="149"/>
      <c r="J684" s="149"/>
      <c r="K684" s="33" t="s">
        <v>29</v>
      </c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</row>
    <row r="685" spans="2:24" ht="6.75" customHeight="1" x14ac:dyDescent="0.25">
      <c r="F685" s="34"/>
      <c r="G685" s="34"/>
      <c r="H685" s="34"/>
      <c r="I685" s="34"/>
      <c r="J685" s="34"/>
    </row>
    <row r="686" spans="2:24" s="34" customFormat="1" x14ac:dyDescent="0.25">
      <c r="E686" s="35" t="s">
        <v>32</v>
      </c>
      <c r="K686" s="35" t="s">
        <v>36</v>
      </c>
    </row>
    <row r="687" spans="2:24" x14ac:dyDescent="0.25">
      <c r="E687" s="33" t="s">
        <v>33</v>
      </c>
      <c r="F687" s="149"/>
      <c r="G687" s="149"/>
      <c r="H687" s="149"/>
      <c r="I687" s="149"/>
      <c r="J687" s="149"/>
      <c r="K687" s="33" t="s">
        <v>29</v>
      </c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</row>
    <row r="688" spans="2:24" ht="6.75" customHeight="1" x14ac:dyDescent="0.25">
      <c r="F688" s="34"/>
      <c r="G688" s="34"/>
      <c r="H688" s="34"/>
      <c r="I688" s="34"/>
      <c r="J688" s="34"/>
    </row>
    <row r="689" spans="2:24" s="34" customFormat="1" ht="13.2" customHeight="1" x14ac:dyDescent="0.25">
      <c r="E689" s="35" t="s">
        <v>34</v>
      </c>
      <c r="F689" s="177" t="str">
        <f>IF(F642&lt;&gt;"",$F$65,"")</f>
        <v/>
      </c>
      <c r="G689" s="177"/>
      <c r="H689" s="177"/>
      <c r="I689" s="177"/>
      <c r="J689" s="177"/>
      <c r="K689" s="35" t="s">
        <v>28</v>
      </c>
      <c r="X689" s="70" t="s">
        <v>107</v>
      </c>
    </row>
    <row r="690" spans="2:24" ht="13.2" customHeight="1" x14ac:dyDescent="0.25">
      <c r="E690" s="33" t="s">
        <v>35</v>
      </c>
      <c r="F690" s="178"/>
      <c r="G690" s="178"/>
      <c r="H690" s="178"/>
      <c r="I690" s="178"/>
      <c r="J690" s="178"/>
      <c r="K690" s="33" t="s">
        <v>29</v>
      </c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X690" s="70" t="s">
        <v>105</v>
      </c>
    </row>
    <row r="691" spans="2:24" ht="12.75" customHeight="1" thickBot="1" x14ac:dyDescent="0.3"/>
    <row r="692" spans="2:24" ht="13.8" thickTop="1" x14ac:dyDescent="0.25">
      <c r="B692" s="34" t="s">
        <v>37</v>
      </c>
      <c r="C692" s="34"/>
      <c r="D692" s="34"/>
      <c r="H692" s="150" t="s">
        <v>40</v>
      </c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</row>
    <row r="693" spans="2:24" x14ac:dyDescent="0.25">
      <c r="B693" s="34" t="s">
        <v>38</v>
      </c>
      <c r="C693" s="34"/>
      <c r="D693" s="34"/>
      <c r="H693" s="152"/>
      <c r="I693" s="153"/>
      <c r="J693" s="153"/>
      <c r="K693" s="153"/>
      <c r="L693" s="153"/>
      <c r="M693" s="153"/>
      <c r="N693" s="153"/>
      <c r="O693" s="153"/>
      <c r="P693" s="153"/>
      <c r="Q693" s="153"/>
      <c r="R693" s="153"/>
      <c r="S693" s="153"/>
      <c r="T693" s="153"/>
      <c r="U693" s="153"/>
      <c r="V693" s="153"/>
    </row>
    <row r="694" spans="2:24" ht="12.75" customHeight="1" x14ac:dyDescent="0.25">
      <c r="B694" s="163" t="s">
        <v>39</v>
      </c>
      <c r="C694" s="163"/>
      <c r="D694" s="163"/>
      <c r="E694" s="163"/>
      <c r="F694" s="163"/>
      <c r="H694" s="37" t="s">
        <v>41</v>
      </c>
    </row>
    <row r="695" spans="2:24" ht="13.8" x14ac:dyDescent="0.25">
      <c r="B695" s="163"/>
      <c r="C695" s="163"/>
      <c r="D695" s="163"/>
      <c r="E695" s="163"/>
      <c r="F695" s="163"/>
      <c r="H695" s="38" t="s">
        <v>42</v>
      </c>
    </row>
    <row r="696" spans="2:24" x14ac:dyDescent="0.25">
      <c r="B696" s="163"/>
      <c r="C696" s="163"/>
      <c r="D696" s="163"/>
      <c r="E696" s="163"/>
      <c r="F696" s="163"/>
      <c r="H696" s="36"/>
    </row>
    <row r="697" spans="2:24" x14ac:dyDescent="0.25">
      <c r="B697" s="163"/>
      <c r="C697" s="163"/>
      <c r="D697" s="163"/>
      <c r="E697" s="163"/>
      <c r="F697" s="163"/>
      <c r="H697" s="36"/>
    </row>
    <row r="698" spans="2:24" x14ac:dyDescent="0.25">
      <c r="H698" s="36"/>
    </row>
    <row r="699" spans="2:24" x14ac:dyDescent="0.25">
      <c r="H699" s="36"/>
    </row>
    <row r="700" spans="2:24" x14ac:dyDescent="0.25">
      <c r="H700" s="36"/>
    </row>
    <row r="701" spans="2:24" x14ac:dyDescent="0.25">
      <c r="H701" s="36"/>
    </row>
    <row r="702" spans="2:24" ht="13.8" x14ac:dyDescent="0.25">
      <c r="H702" s="157" t="str">
        <f>IF(F642&lt;&gt;"",$H$78,"")</f>
        <v/>
      </c>
      <c r="I702" s="158"/>
      <c r="J702" s="158"/>
      <c r="K702" s="158"/>
      <c r="L702" s="158"/>
      <c r="M702" s="158"/>
      <c r="N702" s="158"/>
      <c r="O702" s="158"/>
      <c r="P702" s="158"/>
      <c r="Q702" s="158"/>
      <c r="R702" s="158"/>
      <c r="S702" s="158"/>
      <c r="T702" s="158"/>
      <c r="U702" s="158"/>
      <c r="V702" s="158"/>
    </row>
    <row r="703" spans="2:24" x14ac:dyDescent="0.25">
      <c r="H703" s="36"/>
    </row>
    <row r="704" spans="2:24" ht="28.5" customHeight="1" x14ac:dyDescent="0.3">
      <c r="B704" s="193" t="s">
        <v>43</v>
      </c>
      <c r="C704" s="193"/>
      <c r="D704" s="193"/>
      <c r="E704" s="194"/>
      <c r="F704" s="194"/>
      <c r="G704" s="194"/>
      <c r="H704" s="194"/>
      <c r="I704" s="2"/>
      <c r="J704" s="2"/>
      <c r="K704" s="13" t="s">
        <v>25</v>
      </c>
      <c r="L704" s="195" t="s">
        <v>14</v>
      </c>
      <c r="M704" s="196"/>
      <c r="N704" s="196"/>
      <c r="O704" s="196"/>
      <c r="P704" s="196"/>
      <c r="Q704" s="196"/>
      <c r="R704" s="196"/>
      <c r="S704" s="196"/>
      <c r="T704" s="196"/>
      <c r="U704" s="196"/>
      <c r="V704" s="197"/>
      <c r="X704" s="1"/>
    </row>
    <row r="705" spans="2:24" ht="26.25" customHeight="1" x14ac:dyDescent="0.4">
      <c r="B705" s="39" t="s">
        <v>44</v>
      </c>
      <c r="C705" s="39"/>
      <c r="D705" s="39"/>
      <c r="E705" s="2"/>
      <c r="F705" s="2"/>
      <c r="G705" s="2"/>
      <c r="H705" s="2"/>
      <c r="I705" s="2"/>
      <c r="J705" s="2"/>
      <c r="K705" s="29" t="s">
        <v>13</v>
      </c>
      <c r="L705" s="15">
        <v>4</v>
      </c>
      <c r="M705" s="16">
        <v>1</v>
      </c>
      <c r="N705" s="15">
        <v>0</v>
      </c>
      <c r="O705" s="198">
        <v>0</v>
      </c>
      <c r="P705" s="199"/>
      <c r="Q705" s="14">
        <v>0</v>
      </c>
      <c r="R705" s="200">
        <v>1</v>
      </c>
      <c r="S705" s="201"/>
      <c r="T705" s="6"/>
      <c r="U705" s="6"/>
      <c r="V705" s="7"/>
      <c r="X705" s="1"/>
    </row>
    <row r="706" spans="2:24" ht="21" customHeight="1" x14ac:dyDescent="0.25">
      <c r="B706" s="26" t="s">
        <v>45</v>
      </c>
      <c r="C706" s="26"/>
      <c r="D706" s="26"/>
      <c r="E706" s="25"/>
      <c r="F706" s="25"/>
      <c r="G706" s="25"/>
      <c r="H706" s="25"/>
      <c r="I706" s="25"/>
      <c r="J706" s="25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X706" s="1"/>
    </row>
    <row r="707" spans="2:24" ht="13.5" customHeight="1" x14ac:dyDescent="0.25">
      <c r="B707" s="40" t="s">
        <v>24</v>
      </c>
      <c r="C707" s="40"/>
      <c r="D707" s="40"/>
      <c r="E707" s="25"/>
      <c r="F707" s="25"/>
      <c r="G707" s="25"/>
      <c r="H707" s="25"/>
      <c r="I707" s="25"/>
      <c r="J707" s="25"/>
      <c r="K707" s="28" t="s">
        <v>6</v>
      </c>
      <c r="L707" s="202" t="str">
        <f>IF(F720&lt;&gt;"",$L$5,"")</f>
        <v/>
      </c>
      <c r="M707" s="203"/>
      <c r="N707" s="204" t="s">
        <v>15</v>
      </c>
      <c r="O707" s="204"/>
      <c r="P707" s="204"/>
      <c r="Q707" s="205" t="str">
        <f>IF(F720&lt;&gt;"",$Q$5,"")</f>
        <v/>
      </c>
      <c r="R707" s="206"/>
      <c r="S707" s="207" t="s">
        <v>16</v>
      </c>
      <c r="T707" s="204"/>
      <c r="U707" s="82" t="str">
        <f>IF(F720&lt;&gt;"",$U$5,"")</f>
        <v/>
      </c>
      <c r="V707" s="63"/>
      <c r="X707" s="1"/>
    </row>
    <row r="708" spans="2:24" ht="8.25" customHeight="1" x14ac:dyDescent="0.25"/>
    <row r="709" spans="2:24" ht="11.25" customHeight="1" x14ac:dyDescent="0.25">
      <c r="B709" s="24" t="s">
        <v>17</v>
      </c>
      <c r="C709" s="24"/>
      <c r="D709" s="24"/>
    </row>
    <row r="710" spans="2:24" ht="11.25" customHeight="1" x14ac:dyDescent="0.25">
      <c r="B710" s="8" t="s">
        <v>18</v>
      </c>
      <c r="C710" s="8"/>
      <c r="D710" s="8"/>
    </row>
    <row r="711" spans="2:24" ht="5.25" customHeight="1" x14ac:dyDescent="0.25">
      <c r="B711" s="8"/>
      <c r="C711" s="8"/>
      <c r="D711" s="8"/>
    </row>
    <row r="712" spans="2:24" x14ac:dyDescent="0.25">
      <c r="B712" s="179" t="s">
        <v>19</v>
      </c>
      <c r="C712" s="179"/>
      <c r="D712" s="179"/>
      <c r="E712" s="179"/>
      <c r="F712" s="179"/>
      <c r="G712" s="18" t="s">
        <v>6</v>
      </c>
      <c r="H712" s="64" t="str">
        <f>IF(F720&lt;&gt;"",$H$10,"")</f>
        <v/>
      </c>
      <c r="I712" s="9" t="s">
        <v>15</v>
      </c>
      <c r="J712" s="83" t="str">
        <f>IF(F720&lt;&gt;"",$J$10,"")</f>
        <v/>
      </c>
      <c r="K712" s="9" t="s">
        <v>16</v>
      </c>
      <c r="L712" s="180" t="str">
        <f>IF(F720&lt;&gt;"",$L$10,"")</f>
        <v/>
      </c>
      <c r="M712" s="181"/>
      <c r="X712" s="32"/>
    </row>
    <row r="713" spans="2:24" ht="5.25" customHeight="1" x14ac:dyDescent="0.25">
      <c r="B713" s="8"/>
      <c r="C713" s="8"/>
      <c r="D713" s="8"/>
      <c r="E713" s="8"/>
      <c r="F713" s="8"/>
      <c r="G713" s="19"/>
      <c r="H713" s="20"/>
      <c r="I713" s="21"/>
      <c r="J713" s="20"/>
      <c r="K713" s="10"/>
      <c r="L713" s="22"/>
      <c r="X713" s="32"/>
    </row>
    <row r="714" spans="2:24" s="73" customFormat="1" ht="14.4" customHeight="1" x14ac:dyDescent="0.25">
      <c r="B714" s="72" t="s">
        <v>20</v>
      </c>
      <c r="C714" s="72"/>
      <c r="D714" s="72"/>
      <c r="X714" s="74"/>
    </row>
    <row r="715" spans="2:24" s="73" customFormat="1" ht="14.4" customHeight="1" x14ac:dyDescent="0.25">
      <c r="B715" s="75" t="s">
        <v>21</v>
      </c>
      <c r="C715" s="10"/>
      <c r="D715" s="10"/>
      <c r="E715" s="22" t="s">
        <v>22</v>
      </c>
      <c r="X715" s="74"/>
    </row>
    <row r="716" spans="2:24" s="73" customFormat="1" ht="14.4" customHeight="1" x14ac:dyDescent="0.25">
      <c r="B716" s="22"/>
      <c r="C716" s="22"/>
      <c r="D716" s="22"/>
      <c r="E716" s="22" t="s">
        <v>23</v>
      </c>
      <c r="X716" s="164" t="s">
        <v>102</v>
      </c>
    </row>
    <row r="717" spans="2:24" ht="7.5" customHeight="1" x14ac:dyDescent="0.25">
      <c r="B717" s="8"/>
      <c r="C717" s="8"/>
      <c r="D717" s="8"/>
      <c r="X717" s="164"/>
    </row>
    <row r="718" spans="2:24" ht="17.25" customHeight="1" x14ac:dyDescent="0.25">
      <c r="B718" s="182"/>
      <c r="C718" s="59"/>
      <c r="D718" s="60"/>
      <c r="E718" s="184" t="s">
        <v>0</v>
      </c>
      <c r="F718" s="186" t="s">
        <v>1</v>
      </c>
      <c r="G718" s="187"/>
      <c r="H718" s="4"/>
      <c r="I718" s="4"/>
      <c r="J718" s="4"/>
      <c r="K718" s="5"/>
      <c r="L718" s="145" t="s">
        <v>3</v>
      </c>
      <c r="M718" s="142"/>
      <c r="N718" s="188" t="s">
        <v>10</v>
      </c>
      <c r="O718" s="188"/>
      <c r="P718" s="188"/>
      <c r="Q718" s="188"/>
      <c r="R718" s="188"/>
      <c r="S718" s="188"/>
      <c r="T718" s="188"/>
      <c r="U718" s="189"/>
      <c r="V718" s="3" t="s">
        <v>12</v>
      </c>
      <c r="X718" s="68" t="s">
        <v>200</v>
      </c>
    </row>
    <row r="719" spans="2:24" ht="17.25" customHeight="1" x14ac:dyDescent="0.25">
      <c r="B719" s="183"/>
      <c r="C719" s="61"/>
      <c r="D719" s="62"/>
      <c r="E719" s="185"/>
      <c r="F719" s="30" t="s">
        <v>2</v>
      </c>
      <c r="G719" s="17"/>
      <c r="H719" s="6"/>
      <c r="I719" s="6"/>
      <c r="J719" s="6"/>
      <c r="K719" s="7"/>
      <c r="L719" s="190" t="s">
        <v>4</v>
      </c>
      <c r="M719" s="191"/>
      <c r="N719" s="192" t="s">
        <v>9</v>
      </c>
      <c r="O719" s="192"/>
      <c r="P719" s="192"/>
      <c r="Q719" s="192"/>
      <c r="R719" s="192"/>
      <c r="S719" s="192"/>
      <c r="T719" s="192"/>
      <c r="U719" s="191"/>
      <c r="V719" s="31" t="s">
        <v>11</v>
      </c>
      <c r="X719" s="69"/>
    </row>
    <row r="720" spans="2:24" ht="10.95" customHeight="1" x14ac:dyDescent="0.25">
      <c r="B720" s="41"/>
      <c r="C720" s="51"/>
      <c r="D720" s="42"/>
      <c r="E720" s="154">
        <v>91</v>
      </c>
      <c r="F720" s="145" t="str">
        <f>_xlfn.IFNA(VLOOKUP(E720,'Data Kyu'!$A$6:$I$471,3,0),"")</f>
        <v/>
      </c>
      <c r="G720" s="142"/>
      <c r="H720" s="66"/>
      <c r="I720" s="66"/>
      <c r="J720" s="66"/>
      <c r="K720" s="66"/>
      <c r="L720" s="145" t="str">
        <f>_xlfn.IFNA(VLOOKUP(E720,'Data Kyu'!$A$6:$I$471,9,0),"")</f>
        <v/>
      </c>
      <c r="M720" s="142"/>
      <c r="N720" s="145" t="str">
        <f>_xlfn.IFNA(VLOOKUP(E720,'Data Kyu'!$A$6:$I$471,6,0),"")</f>
        <v/>
      </c>
      <c r="O720" s="141"/>
      <c r="P720" s="139" t="s">
        <v>5</v>
      </c>
      <c r="Q720" s="141" t="str">
        <f>_xlfn.IFNA(VLOOKUP(E720,'Data Kyu'!$A$6:$I$471,7,0),"")</f>
        <v/>
      </c>
      <c r="R720" s="141"/>
      <c r="S720" s="139" t="s">
        <v>5</v>
      </c>
      <c r="T720" s="141" t="str">
        <f>_xlfn.IFNA(VLOOKUP(E720,'Data Kyu'!$A$6:$I$471,8,0),"")</f>
        <v/>
      </c>
      <c r="U720" s="142"/>
      <c r="V720" s="142" t="str">
        <f>_xlfn.IFNA(VLOOKUP(E720,'Data Kyu'!$A$6:$I$471,4,0),"")</f>
        <v/>
      </c>
      <c r="X720" s="214" t="str">
        <f>_xlfn.IFNA(VLOOKUP(F720,'Data Kyu'!$C$6:$N$997,12,0),"No Data")</f>
        <v>No Data</v>
      </c>
    </row>
    <row r="721" spans="2:24" ht="10.95" customHeight="1" x14ac:dyDescent="0.25">
      <c r="B721" s="52"/>
      <c r="C721" s="165" t="str">
        <f>IF(X720="LULUS","V","")</f>
        <v/>
      </c>
      <c r="D721" s="53"/>
      <c r="E721" s="155"/>
      <c r="F721" s="148"/>
      <c r="G721" s="144"/>
      <c r="H721" s="67"/>
      <c r="I721" s="67"/>
      <c r="J721" s="67"/>
      <c r="K721" s="67"/>
      <c r="L721" s="146"/>
      <c r="M721" s="147"/>
      <c r="N721" s="148"/>
      <c r="O721" s="143"/>
      <c r="P721" s="140"/>
      <c r="Q721" s="143"/>
      <c r="R721" s="143"/>
      <c r="S721" s="140"/>
      <c r="T721" s="143"/>
      <c r="U721" s="144"/>
      <c r="V721" s="147"/>
      <c r="X721" s="214"/>
    </row>
    <row r="722" spans="2:24" ht="10.95" customHeight="1" x14ac:dyDescent="0.25">
      <c r="B722" s="52"/>
      <c r="C722" s="166"/>
      <c r="D722" s="53"/>
      <c r="E722" s="155"/>
      <c r="F722" s="167" t="str">
        <f>_xlfn.IFNA(VLOOKUP(E720,'Data Kyu'!$A$6:$I$471,2,0),"")</f>
        <v/>
      </c>
      <c r="G722" s="168"/>
      <c r="H722" s="168"/>
      <c r="I722" s="168"/>
      <c r="J722" s="168"/>
      <c r="K722" s="169"/>
      <c r="L722" s="146"/>
      <c r="M722" s="147"/>
      <c r="N722" s="173" t="s">
        <v>6</v>
      </c>
      <c r="O722" s="159"/>
      <c r="P722" s="57"/>
      <c r="Q722" s="159" t="s">
        <v>7</v>
      </c>
      <c r="R722" s="159"/>
      <c r="S722" s="57"/>
      <c r="T722" s="159" t="s">
        <v>8</v>
      </c>
      <c r="U722" s="160"/>
      <c r="V722" s="175"/>
      <c r="X722" s="214"/>
    </row>
    <row r="723" spans="2:24" ht="10.95" customHeight="1" x14ac:dyDescent="0.25">
      <c r="B723" s="54"/>
      <c r="C723" s="76"/>
      <c r="D723" s="56"/>
      <c r="E723" s="156"/>
      <c r="F723" s="170"/>
      <c r="G723" s="171"/>
      <c r="H723" s="171"/>
      <c r="I723" s="171"/>
      <c r="J723" s="171"/>
      <c r="K723" s="172"/>
      <c r="L723" s="148"/>
      <c r="M723" s="144"/>
      <c r="N723" s="174"/>
      <c r="O723" s="161"/>
      <c r="P723" s="27"/>
      <c r="Q723" s="161"/>
      <c r="R723" s="161"/>
      <c r="S723" s="27"/>
      <c r="T723" s="161"/>
      <c r="U723" s="162"/>
      <c r="V723" s="176"/>
      <c r="X723" s="214"/>
    </row>
    <row r="724" spans="2:24" ht="10.95" customHeight="1" x14ac:dyDescent="0.25">
      <c r="B724" s="41"/>
      <c r="C724" s="77"/>
      <c r="D724" s="42"/>
      <c r="E724" s="154">
        <v>92</v>
      </c>
      <c r="F724" s="145" t="str">
        <f>_xlfn.IFNA(VLOOKUP(E724,'Data Kyu'!$A$6:$I$471,3,0),"")</f>
        <v/>
      </c>
      <c r="G724" s="142"/>
      <c r="H724" s="66"/>
      <c r="I724" s="66"/>
      <c r="J724" s="66"/>
      <c r="K724" s="66"/>
      <c r="L724" s="145" t="str">
        <f>_xlfn.IFNA(VLOOKUP(E724,'Data Kyu'!$A$6:$I$471,9,0),"")</f>
        <v/>
      </c>
      <c r="M724" s="142"/>
      <c r="N724" s="145" t="str">
        <f>_xlfn.IFNA(VLOOKUP(E724,'Data Kyu'!$A$6:$I$471,6,0),"")</f>
        <v/>
      </c>
      <c r="O724" s="141"/>
      <c r="P724" s="139" t="s">
        <v>5</v>
      </c>
      <c r="Q724" s="141" t="str">
        <f>_xlfn.IFNA(VLOOKUP(E724,'Data Kyu'!$A$6:$I$471,7,0),"")</f>
        <v/>
      </c>
      <c r="R724" s="141"/>
      <c r="S724" s="139" t="s">
        <v>5</v>
      </c>
      <c r="T724" s="141" t="str">
        <f>_xlfn.IFNA(VLOOKUP(E724,'Data Kyu'!$A$6:$I$471,8,0),"")</f>
        <v/>
      </c>
      <c r="U724" s="142"/>
      <c r="V724" s="142" t="str">
        <f>_xlfn.IFNA(VLOOKUP(E724,'Data Kyu'!$A$6:$I$471,4,0),"")</f>
        <v/>
      </c>
      <c r="X724" s="214" t="str">
        <f>_xlfn.IFNA(VLOOKUP(F724,'Data Kyu'!$C$6:$N$997,12,0),"No Data")</f>
        <v>No Data</v>
      </c>
    </row>
    <row r="725" spans="2:24" ht="10.95" customHeight="1" x14ac:dyDescent="0.25">
      <c r="B725" s="52"/>
      <c r="C725" s="165" t="str">
        <f>IF(X724="LULUS","V","")</f>
        <v/>
      </c>
      <c r="D725" s="53"/>
      <c r="E725" s="155"/>
      <c r="F725" s="148"/>
      <c r="G725" s="144"/>
      <c r="H725" s="67"/>
      <c r="I725" s="67"/>
      <c r="J725" s="67"/>
      <c r="K725" s="67"/>
      <c r="L725" s="146"/>
      <c r="M725" s="147"/>
      <c r="N725" s="148"/>
      <c r="O725" s="143"/>
      <c r="P725" s="140"/>
      <c r="Q725" s="143"/>
      <c r="R725" s="143"/>
      <c r="S725" s="140"/>
      <c r="T725" s="143"/>
      <c r="U725" s="144"/>
      <c r="V725" s="147"/>
      <c r="X725" s="214"/>
    </row>
    <row r="726" spans="2:24" ht="10.95" customHeight="1" x14ac:dyDescent="0.25">
      <c r="B726" s="52"/>
      <c r="C726" s="166"/>
      <c r="D726" s="53"/>
      <c r="E726" s="155"/>
      <c r="F726" s="167" t="str">
        <f>_xlfn.IFNA(VLOOKUP(E724,'Data Kyu'!$A$6:$I$471,2,0),"")</f>
        <v/>
      </c>
      <c r="G726" s="168"/>
      <c r="H726" s="168"/>
      <c r="I726" s="168"/>
      <c r="J726" s="168"/>
      <c r="K726" s="169"/>
      <c r="L726" s="146"/>
      <c r="M726" s="147"/>
      <c r="N726" s="173" t="s">
        <v>6</v>
      </c>
      <c r="O726" s="159"/>
      <c r="P726" s="57"/>
      <c r="Q726" s="159" t="s">
        <v>7</v>
      </c>
      <c r="R726" s="159"/>
      <c r="S726" s="57"/>
      <c r="T726" s="159" t="s">
        <v>8</v>
      </c>
      <c r="U726" s="160"/>
      <c r="V726" s="175"/>
      <c r="X726" s="214"/>
    </row>
    <row r="727" spans="2:24" ht="10.95" customHeight="1" x14ac:dyDescent="0.25">
      <c r="B727" s="54"/>
      <c r="C727" s="76"/>
      <c r="D727" s="56"/>
      <c r="E727" s="156"/>
      <c r="F727" s="170"/>
      <c r="G727" s="171"/>
      <c r="H727" s="171"/>
      <c r="I727" s="171"/>
      <c r="J727" s="171"/>
      <c r="K727" s="172"/>
      <c r="L727" s="148"/>
      <c r="M727" s="144"/>
      <c r="N727" s="174"/>
      <c r="O727" s="161"/>
      <c r="P727" s="27"/>
      <c r="Q727" s="161"/>
      <c r="R727" s="161"/>
      <c r="S727" s="27"/>
      <c r="T727" s="161"/>
      <c r="U727" s="162"/>
      <c r="V727" s="176"/>
      <c r="X727" s="214"/>
    </row>
    <row r="728" spans="2:24" ht="10.95" customHeight="1" x14ac:dyDescent="0.25">
      <c r="B728" s="41"/>
      <c r="C728" s="77"/>
      <c r="D728" s="42"/>
      <c r="E728" s="154">
        <v>93</v>
      </c>
      <c r="F728" s="145" t="str">
        <f>_xlfn.IFNA(VLOOKUP(E728,'Data Kyu'!$A$6:$I$471,3,0),"")</f>
        <v/>
      </c>
      <c r="G728" s="142"/>
      <c r="H728" s="66"/>
      <c r="I728" s="66"/>
      <c r="J728" s="66"/>
      <c r="K728" s="66"/>
      <c r="L728" s="145" t="str">
        <f>_xlfn.IFNA(VLOOKUP(E728,'Data Kyu'!$A$6:$I$471,9,0),"")</f>
        <v/>
      </c>
      <c r="M728" s="142"/>
      <c r="N728" s="145" t="str">
        <f>_xlfn.IFNA(VLOOKUP(E728,'Data Kyu'!$A$6:$I$471,6,0),"")</f>
        <v/>
      </c>
      <c r="O728" s="141"/>
      <c r="P728" s="139" t="s">
        <v>5</v>
      </c>
      <c r="Q728" s="141" t="str">
        <f>_xlfn.IFNA(VLOOKUP(E728,'Data Kyu'!$A$6:$I$471,7,0),"")</f>
        <v/>
      </c>
      <c r="R728" s="141"/>
      <c r="S728" s="139" t="s">
        <v>5</v>
      </c>
      <c r="T728" s="141" t="str">
        <f>_xlfn.IFNA(VLOOKUP(E728,'Data Kyu'!$A$6:$I$471,8,0),"")</f>
        <v/>
      </c>
      <c r="U728" s="142"/>
      <c r="V728" s="142" t="str">
        <f>_xlfn.IFNA(VLOOKUP(E728,'Data Kyu'!$A$6:$I$471,4,0),"")</f>
        <v/>
      </c>
      <c r="X728" s="214" t="str">
        <f>_xlfn.IFNA(VLOOKUP(F728,'Data Kyu'!$C$6:$N$997,12,0),"No Data")</f>
        <v>No Data</v>
      </c>
    </row>
    <row r="729" spans="2:24" ht="10.95" customHeight="1" x14ac:dyDescent="0.25">
      <c r="B729" s="52"/>
      <c r="C729" s="165" t="str">
        <f>IF(X728="LULUS","V","")</f>
        <v/>
      </c>
      <c r="D729" s="53"/>
      <c r="E729" s="155"/>
      <c r="F729" s="148"/>
      <c r="G729" s="144"/>
      <c r="H729" s="67"/>
      <c r="I729" s="67"/>
      <c r="J729" s="67"/>
      <c r="K729" s="67"/>
      <c r="L729" s="146"/>
      <c r="M729" s="147"/>
      <c r="N729" s="148"/>
      <c r="O729" s="143"/>
      <c r="P729" s="140"/>
      <c r="Q729" s="143"/>
      <c r="R729" s="143"/>
      <c r="S729" s="140"/>
      <c r="T729" s="143"/>
      <c r="U729" s="144"/>
      <c r="V729" s="147"/>
      <c r="X729" s="214"/>
    </row>
    <row r="730" spans="2:24" ht="10.95" customHeight="1" x14ac:dyDescent="0.25">
      <c r="B730" s="52"/>
      <c r="C730" s="166"/>
      <c r="D730" s="53"/>
      <c r="E730" s="155"/>
      <c r="F730" s="167" t="str">
        <f>_xlfn.IFNA(VLOOKUP(E728,'Data Kyu'!$A$6:$I$471,2,0),"")</f>
        <v/>
      </c>
      <c r="G730" s="168"/>
      <c r="H730" s="168"/>
      <c r="I730" s="168"/>
      <c r="J730" s="168"/>
      <c r="K730" s="169"/>
      <c r="L730" s="146"/>
      <c r="M730" s="147"/>
      <c r="N730" s="173" t="s">
        <v>6</v>
      </c>
      <c r="O730" s="159"/>
      <c r="P730" s="57"/>
      <c r="Q730" s="159" t="s">
        <v>7</v>
      </c>
      <c r="R730" s="159"/>
      <c r="S730" s="57"/>
      <c r="T730" s="159" t="s">
        <v>8</v>
      </c>
      <c r="U730" s="160"/>
      <c r="V730" s="175"/>
      <c r="X730" s="214"/>
    </row>
    <row r="731" spans="2:24" ht="10.95" customHeight="1" x14ac:dyDescent="0.25">
      <c r="B731" s="54"/>
      <c r="C731" s="76"/>
      <c r="D731" s="56"/>
      <c r="E731" s="156"/>
      <c r="F731" s="170"/>
      <c r="G731" s="171"/>
      <c r="H731" s="171"/>
      <c r="I731" s="171"/>
      <c r="J731" s="171"/>
      <c r="K731" s="172"/>
      <c r="L731" s="148"/>
      <c r="M731" s="144"/>
      <c r="N731" s="174"/>
      <c r="O731" s="161"/>
      <c r="P731" s="27"/>
      <c r="Q731" s="161"/>
      <c r="R731" s="161"/>
      <c r="S731" s="27"/>
      <c r="T731" s="161"/>
      <c r="U731" s="162"/>
      <c r="V731" s="176"/>
      <c r="X731" s="214"/>
    </row>
    <row r="732" spans="2:24" ht="10.95" customHeight="1" x14ac:dyDescent="0.25">
      <c r="B732" s="41"/>
      <c r="C732" s="77"/>
      <c r="D732" s="42"/>
      <c r="E732" s="154">
        <v>94</v>
      </c>
      <c r="F732" s="145" t="str">
        <f>_xlfn.IFNA(VLOOKUP(E732,'Data Kyu'!$A$6:$I$471,3,0),"")</f>
        <v/>
      </c>
      <c r="G732" s="142"/>
      <c r="H732" s="66"/>
      <c r="I732" s="66"/>
      <c r="J732" s="66"/>
      <c r="K732" s="66"/>
      <c r="L732" s="145" t="str">
        <f>_xlfn.IFNA(VLOOKUP(E732,'Data Kyu'!$A$6:$I$471,9,0),"")</f>
        <v/>
      </c>
      <c r="M732" s="142"/>
      <c r="N732" s="145" t="str">
        <f>_xlfn.IFNA(VLOOKUP(E732,'Data Kyu'!$A$6:$I$471,6,0),"")</f>
        <v/>
      </c>
      <c r="O732" s="141"/>
      <c r="P732" s="139" t="s">
        <v>5</v>
      </c>
      <c r="Q732" s="141" t="str">
        <f>_xlfn.IFNA(VLOOKUP(E732,'Data Kyu'!$A$6:$I$471,7,0),"")</f>
        <v/>
      </c>
      <c r="R732" s="141"/>
      <c r="S732" s="139" t="s">
        <v>5</v>
      </c>
      <c r="T732" s="141" t="str">
        <f>_xlfn.IFNA(VLOOKUP(E732,'Data Kyu'!$A$6:$I$471,8,0),"")</f>
        <v/>
      </c>
      <c r="U732" s="142"/>
      <c r="V732" s="142" t="str">
        <f>_xlfn.IFNA(VLOOKUP(E732,'Data Kyu'!$A$6:$I$471,4,0),"")</f>
        <v/>
      </c>
      <c r="X732" s="214" t="str">
        <f>_xlfn.IFNA(VLOOKUP(F732,'Data Kyu'!$C$6:$N$997,12,0),"No Data")</f>
        <v>No Data</v>
      </c>
    </row>
    <row r="733" spans="2:24" ht="10.95" customHeight="1" x14ac:dyDescent="0.25">
      <c r="B733" s="52"/>
      <c r="C733" s="165" t="str">
        <f>IF(X732="LULUS","V","")</f>
        <v/>
      </c>
      <c r="D733" s="53"/>
      <c r="E733" s="155"/>
      <c r="F733" s="148"/>
      <c r="G733" s="144"/>
      <c r="H733" s="67"/>
      <c r="I733" s="67"/>
      <c r="J733" s="67"/>
      <c r="K733" s="67"/>
      <c r="L733" s="146"/>
      <c r="M733" s="147"/>
      <c r="N733" s="148"/>
      <c r="O733" s="143"/>
      <c r="P733" s="140"/>
      <c r="Q733" s="143"/>
      <c r="R733" s="143"/>
      <c r="S733" s="140"/>
      <c r="T733" s="143"/>
      <c r="U733" s="144"/>
      <c r="V733" s="147"/>
      <c r="X733" s="214"/>
    </row>
    <row r="734" spans="2:24" ht="10.95" customHeight="1" x14ac:dyDescent="0.25">
      <c r="B734" s="52"/>
      <c r="C734" s="166"/>
      <c r="D734" s="53"/>
      <c r="E734" s="155"/>
      <c r="F734" s="167" t="str">
        <f>_xlfn.IFNA(VLOOKUP(E732,'Data Kyu'!$A$6:$I$471,2,0),"")</f>
        <v/>
      </c>
      <c r="G734" s="168"/>
      <c r="H734" s="168"/>
      <c r="I734" s="168"/>
      <c r="J734" s="168"/>
      <c r="K734" s="169"/>
      <c r="L734" s="146"/>
      <c r="M734" s="147"/>
      <c r="N734" s="173" t="s">
        <v>6</v>
      </c>
      <c r="O734" s="159"/>
      <c r="P734" s="57"/>
      <c r="Q734" s="159" t="s">
        <v>7</v>
      </c>
      <c r="R734" s="159"/>
      <c r="S734" s="57"/>
      <c r="T734" s="159" t="s">
        <v>8</v>
      </c>
      <c r="U734" s="160"/>
      <c r="V734" s="175"/>
      <c r="X734" s="214"/>
    </row>
    <row r="735" spans="2:24" ht="10.95" customHeight="1" x14ac:dyDescent="0.25">
      <c r="B735" s="54"/>
      <c r="C735" s="76"/>
      <c r="D735" s="56"/>
      <c r="E735" s="156"/>
      <c r="F735" s="170"/>
      <c r="G735" s="171"/>
      <c r="H735" s="171"/>
      <c r="I735" s="171"/>
      <c r="J735" s="171"/>
      <c r="K735" s="172"/>
      <c r="L735" s="148"/>
      <c r="M735" s="144"/>
      <c r="N735" s="174"/>
      <c r="O735" s="161"/>
      <c r="P735" s="27"/>
      <c r="Q735" s="161"/>
      <c r="R735" s="161"/>
      <c r="S735" s="27"/>
      <c r="T735" s="161"/>
      <c r="U735" s="162"/>
      <c r="V735" s="176"/>
      <c r="X735" s="214"/>
    </row>
    <row r="736" spans="2:24" ht="10.95" customHeight="1" x14ac:dyDescent="0.25">
      <c r="B736" s="41"/>
      <c r="C736" s="77"/>
      <c r="D736" s="42"/>
      <c r="E736" s="154">
        <v>95</v>
      </c>
      <c r="F736" s="145" t="str">
        <f>_xlfn.IFNA(VLOOKUP(E736,'Data Kyu'!$A$6:$I$471,3,0),"")</f>
        <v/>
      </c>
      <c r="G736" s="142"/>
      <c r="H736" s="66"/>
      <c r="I736" s="66"/>
      <c r="J736" s="66"/>
      <c r="K736" s="66"/>
      <c r="L736" s="145" t="str">
        <f>_xlfn.IFNA(VLOOKUP(E736,'Data Kyu'!$A$6:$I$471,9,0),"")</f>
        <v/>
      </c>
      <c r="M736" s="142"/>
      <c r="N736" s="145" t="str">
        <f>_xlfn.IFNA(VLOOKUP(E736,'Data Kyu'!$A$6:$I$471,6,0),"")</f>
        <v/>
      </c>
      <c r="O736" s="141"/>
      <c r="P736" s="139" t="s">
        <v>5</v>
      </c>
      <c r="Q736" s="141" t="str">
        <f>_xlfn.IFNA(VLOOKUP(E736,'Data Kyu'!$A$6:$I$471,7,0),"")</f>
        <v/>
      </c>
      <c r="R736" s="141"/>
      <c r="S736" s="139" t="s">
        <v>5</v>
      </c>
      <c r="T736" s="141" t="str">
        <f>_xlfn.IFNA(VLOOKUP(E736,'Data Kyu'!$A$6:$I$471,8,0),"")</f>
        <v/>
      </c>
      <c r="U736" s="142"/>
      <c r="V736" s="142" t="str">
        <f>_xlfn.IFNA(VLOOKUP(E736,'Data Kyu'!$A$6:$I$471,4,0),"")</f>
        <v/>
      </c>
      <c r="X736" s="214" t="str">
        <f>_xlfn.IFNA(VLOOKUP(F736,'Data Kyu'!$C$6:$N$997,12,0),"No Data")</f>
        <v>No Data</v>
      </c>
    </row>
    <row r="737" spans="2:24" ht="10.95" customHeight="1" x14ac:dyDescent="0.25">
      <c r="B737" s="52"/>
      <c r="C737" s="165" t="str">
        <f>IF(X736="LULUS","V","")</f>
        <v/>
      </c>
      <c r="D737" s="53"/>
      <c r="E737" s="155"/>
      <c r="F737" s="148"/>
      <c r="G737" s="144"/>
      <c r="H737" s="67"/>
      <c r="I737" s="67"/>
      <c r="J737" s="67"/>
      <c r="K737" s="67"/>
      <c r="L737" s="146"/>
      <c r="M737" s="147"/>
      <c r="N737" s="148"/>
      <c r="O737" s="143"/>
      <c r="P737" s="140"/>
      <c r="Q737" s="143"/>
      <c r="R737" s="143"/>
      <c r="S737" s="140"/>
      <c r="T737" s="143"/>
      <c r="U737" s="144"/>
      <c r="V737" s="147"/>
      <c r="X737" s="214"/>
    </row>
    <row r="738" spans="2:24" ht="10.95" customHeight="1" x14ac:dyDescent="0.25">
      <c r="B738" s="52"/>
      <c r="C738" s="166"/>
      <c r="D738" s="53"/>
      <c r="E738" s="155"/>
      <c r="F738" s="167" t="str">
        <f>_xlfn.IFNA(VLOOKUP(E736,'Data Kyu'!$A$6:$I$471,2,0),"")</f>
        <v/>
      </c>
      <c r="G738" s="168"/>
      <c r="H738" s="168"/>
      <c r="I738" s="168"/>
      <c r="J738" s="168"/>
      <c r="K738" s="169"/>
      <c r="L738" s="146"/>
      <c r="M738" s="147"/>
      <c r="N738" s="173" t="s">
        <v>6</v>
      </c>
      <c r="O738" s="159"/>
      <c r="P738" s="57"/>
      <c r="Q738" s="159" t="s">
        <v>7</v>
      </c>
      <c r="R738" s="159"/>
      <c r="S738" s="57"/>
      <c r="T738" s="159" t="s">
        <v>8</v>
      </c>
      <c r="U738" s="160"/>
      <c r="V738" s="175"/>
      <c r="X738" s="214"/>
    </row>
    <row r="739" spans="2:24" ht="10.95" customHeight="1" x14ac:dyDescent="0.25">
      <c r="B739" s="54"/>
      <c r="C739" s="76"/>
      <c r="D739" s="56"/>
      <c r="E739" s="156"/>
      <c r="F739" s="170"/>
      <c r="G739" s="171"/>
      <c r="H739" s="171"/>
      <c r="I739" s="171"/>
      <c r="J739" s="171"/>
      <c r="K739" s="172"/>
      <c r="L739" s="148"/>
      <c r="M739" s="144"/>
      <c r="N739" s="174"/>
      <c r="O739" s="161"/>
      <c r="P739" s="27"/>
      <c r="Q739" s="161"/>
      <c r="R739" s="161"/>
      <c r="S739" s="27"/>
      <c r="T739" s="161"/>
      <c r="U739" s="162"/>
      <c r="V739" s="176"/>
      <c r="X739" s="214"/>
    </row>
    <row r="740" spans="2:24" ht="10.95" customHeight="1" x14ac:dyDescent="0.25">
      <c r="B740" s="41"/>
      <c r="C740" s="77"/>
      <c r="D740" s="42"/>
      <c r="E740" s="154">
        <v>96</v>
      </c>
      <c r="F740" s="145" t="str">
        <f>_xlfn.IFNA(VLOOKUP(E740,'Data Kyu'!$A$6:$I$471,3,0),"")</f>
        <v/>
      </c>
      <c r="G740" s="142"/>
      <c r="H740" s="66"/>
      <c r="I740" s="66"/>
      <c r="J740" s="66"/>
      <c r="K740" s="66"/>
      <c r="L740" s="145" t="str">
        <f>_xlfn.IFNA(VLOOKUP(E740,'Data Kyu'!$A$6:$I$471,9,0),"")</f>
        <v/>
      </c>
      <c r="M740" s="142"/>
      <c r="N740" s="145" t="str">
        <f>_xlfn.IFNA(VLOOKUP(E740,'Data Kyu'!$A$6:$I$471,6,0),"")</f>
        <v/>
      </c>
      <c r="O740" s="141"/>
      <c r="P740" s="139" t="s">
        <v>5</v>
      </c>
      <c r="Q740" s="141" t="str">
        <f>_xlfn.IFNA(VLOOKUP(E740,'Data Kyu'!$A$6:$I$471,7,0),"")</f>
        <v/>
      </c>
      <c r="R740" s="141"/>
      <c r="S740" s="139" t="s">
        <v>5</v>
      </c>
      <c r="T740" s="141" t="str">
        <f>_xlfn.IFNA(VLOOKUP(E740,'Data Kyu'!$A$6:$I$471,8,0),"")</f>
        <v/>
      </c>
      <c r="U740" s="142"/>
      <c r="V740" s="142" t="str">
        <f>_xlfn.IFNA(VLOOKUP(E740,'Data Kyu'!$A$6:$I$471,4,0),"")</f>
        <v/>
      </c>
      <c r="X740" s="214" t="str">
        <f>_xlfn.IFNA(VLOOKUP(F740,'Data Kyu'!$C$6:$N$997,12,0),"No Data")</f>
        <v>No Data</v>
      </c>
    </row>
    <row r="741" spans="2:24" ht="10.95" customHeight="1" x14ac:dyDescent="0.25">
      <c r="B741" s="52"/>
      <c r="C741" s="165" t="str">
        <f>IF(X740="LULUS","V","")</f>
        <v/>
      </c>
      <c r="D741" s="53"/>
      <c r="E741" s="155"/>
      <c r="F741" s="148"/>
      <c r="G741" s="144"/>
      <c r="H741" s="67"/>
      <c r="I741" s="67"/>
      <c r="J741" s="67"/>
      <c r="K741" s="67"/>
      <c r="L741" s="146"/>
      <c r="M741" s="147"/>
      <c r="N741" s="148"/>
      <c r="O741" s="143"/>
      <c r="P741" s="140"/>
      <c r="Q741" s="143"/>
      <c r="R741" s="143"/>
      <c r="S741" s="140"/>
      <c r="T741" s="143"/>
      <c r="U741" s="144"/>
      <c r="V741" s="147"/>
      <c r="X741" s="214"/>
    </row>
    <row r="742" spans="2:24" ht="10.95" customHeight="1" x14ac:dyDescent="0.25">
      <c r="B742" s="52"/>
      <c r="C742" s="166"/>
      <c r="D742" s="53"/>
      <c r="E742" s="155"/>
      <c r="F742" s="167" t="str">
        <f>_xlfn.IFNA(VLOOKUP(E740,'Data Kyu'!$A$6:$I$471,2,0),"")</f>
        <v/>
      </c>
      <c r="G742" s="168"/>
      <c r="H742" s="168"/>
      <c r="I742" s="168"/>
      <c r="J742" s="168"/>
      <c r="K742" s="169"/>
      <c r="L742" s="146"/>
      <c r="M742" s="147"/>
      <c r="N742" s="173" t="s">
        <v>6</v>
      </c>
      <c r="O742" s="159"/>
      <c r="P742" s="57"/>
      <c r="Q742" s="159" t="s">
        <v>7</v>
      </c>
      <c r="R742" s="159"/>
      <c r="S742" s="57"/>
      <c r="T742" s="159" t="s">
        <v>8</v>
      </c>
      <c r="U742" s="160"/>
      <c r="V742" s="175"/>
      <c r="X742" s="214"/>
    </row>
    <row r="743" spans="2:24" ht="10.95" customHeight="1" x14ac:dyDescent="0.25">
      <c r="B743" s="54"/>
      <c r="C743" s="76"/>
      <c r="D743" s="56"/>
      <c r="E743" s="156"/>
      <c r="F743" s="170"/>
      <c r="G743" s="171"/>
      <c r="H743" s="171"/>
      <c r="I743" s="171"/>
      <c r="J743" s="171"/>
      <c r="K743" s="172"/>
      <c r="L743" s="148"/>
      <c r="M743" s="144"/>
      <c r="N743" s="174"/>
      <c r="O743" s="161"/>
      <c r="P743" s="27"/>
      <c r="Q743" s="161"/>
      <c r="R743" s="161"/>
      <c r="S743" s="27"/>
      <c r="T743" s="161"/>
      <c r="U743" s="162"/>
      <c r="V743" s="176"/>
      <c r="X743" s="214"/>
    </row>
    <row r="744" spans="2:24" ht="10.95" customHeight="1" x14ac:dyDescent="0.25">
      <c r="B744" s="41"/>
      <c r="C744" s="77"/>
      <c r="D744" s="42"/>
      <c r="E744" s="154">
        <v>97</v>
      </c>
      <c r="F744" s="145" t="str">
        <f>_xlfn.IFNA(VLOOKUP(E744,'Data Kyu'!$A$6:$I$471,3,0),"")</f>
        <v/>
      </c>
      <c r="G744" s="142"/>
      <c r="H744" s="66"/>
      <c r="I744" s="66"/>
      <c r="J744" s="66"/>
      <c r="K744" s="66"/>
      <c r="L744" s="145" t="str">
        <f>_xlfn.IFNA(VLOOKUP(E744,'Data Kyu'!$A$6:$I$471,9,0),"")</f>
        <v/>
      </c>
      <c r="M744" s="142"/>
      <c r="N744" s="145" t="str">
        <f>_xlfn.IFNA(VLOOKUP(E744,'Data Kyu'!$A$6:$I$471,6,0),"")</f>
        <v/>
      </c>
      <c r="O744" s="141"/>
      <c r="P744" s="139" t="s">
        <v>5</v>
      </c>
      <c r="Q744" s="141" t="str">
        <f>_xlfn.IFNA(VLOOKUP(E744,'Data Kyu'!$A$6:$I$471,7,0),"")</f>
        <v/>
      </c>
      <c r="R744" s="141"/>
      <c r="S744" s="139" t="s">
        <v>5</v>
      </c>
      <c r="T744" s="141" t="str">
        <f>_xlfn.IFNA(VLOOKUP(E744,'Data Kyu'!$A$6:$I$471,8,0),"")</f>
        <v/>
      </c>
      <c r="U744" s="142"/>
      <c r="V744" s="142" t="str">
        <f>_xlfn.IFNA(VLOOKUP(E744,'Data Kyu'!$A$6:$I$471,4,0),"")</f>
        <v/>
      </c>
      <c r="X744" s="214" t="str">
        <f>_xlfn.IFNA(VLOOKUP(F744,'Data Kyu'!$C$6:$N$997,12,0),"No Data")</f>
        <v>No Data</v>
      </c>
    </row>
    <row r="745" spans="2:24" ht="10.95" customHeight="1" x14ac:dyDescent="0.25">
      <c r="B745" s="52"/>
      <c r="C745" s="165" t="str">
        <f>IF(X744="LULUS","V","")</f>
        <v/>
      </c>
      <c r="D745" s="53"/>
      <c r="E745" s="155"/>
      <c r="F745" s="148"/>
      <c r="G745" s="144"/>
      <c r="H745" s="67"/>
      <c r="I745" s="67"/>
      <c r="J745" s="67"/>
      <c r="K745" s="67"/>
      <c r="L745" s="146"/>
      <c r="M745" s="147"/>
      <c r="N745" s="148"/>
      <c r="O745" s="143"/>
      <c r="P745" s="140"/>
      <c r="Q745" s="143"/>
      <c r="R745" s="143"/>
      <c r="S745" s="140"/>
      <c r="T745" s="143"/>
      <c r="U745" s="144"/>
      <c r="V745" s="147"/>
      <c r="X745" s="214"/>
    </row>
    <row r="746" spans="2:24" ht="10.95" customHeight="1" x14ac:dyDescent="0.25">
      <c r="B746" s="52"/>
      <c r="C746" s="166"/>
      <c r="D746" s="53"/>
      <c r="E746" s="155"/>
      <c r="F746" s="167" t="str">
        <f>_xlfn.IFNA(VLOOKUP(E744,'Data Kyu'!$A$6:$I$471,2,0),"")</f>
        <v/>
      </c>
      <c r="G746" s="168"/>
      <c r="H746" s="168"/>
      <c r="I746" s="168"/>
      <c r="J746" s="168"/>
      <c r="K746" s="169"/>
      <c r="L746" s="146"/>
      <c r="M746" s="147"/>
      <c r="N746" s="173" t="s">
        <v>6</v>
      </c>
      <c r="O746" s="159"/>
      <c r="P746" s="57"/>
      <c r="Q746" s="159" t="s">
        <v>7</v>
      </c>
      <c r="R746" s="159"/>
      <c r="S746" s="57"/>
      <c r="T746" s="159" t="s">
        <v>8</v>
      </c>
      <c r="U746" s="160"/>
      <c r="V746" s="175"/>
      <c r="X746" s="214"/>
    </row>
    <row r="747" spans="2:24" ht="10.95" customHeight="1" x14ac:dyDescent="0.25">
      <c r="B747" s="54"/>
      <c r="C747" s="76"/>
      <c r="D747" s="56"/>
      <c r="E747" s="156"/>
      <c r="F747" s="170"/>
      <c r="G747" s="171"/>
      <c r="H747" s="171"/>
      <c r="I747" s="171"/>
      <c r="J747" s="171"/>
      <c r="K747" s="172"/>
      <c r="L747" s="148"/>
      <c r="M747" s="144"/>
      <c r="N747" s="174"/>
      <c r="O747" s="161"/>
      <c r="P747" s="27"/>
      <c r="Q747" s="161"/>
      <c r="R747" s="161"/>
      <c r="S747" s="27"/>
      <c r="T747" s="161"/>
      <c r="U747" s="162"/>
      <c r="V747" s="176"/>
      <c r="X747" s="214"/>
    </row>
    <row r="748" spans="2:24" ht="10.95" customHeight="1" x14ac:dyDescent="0.25">
      <c r="B748" s="41"/>
      <c r="C748" s="77"/>
      <c r="D748" s="42"/>
      <c r="E748" s="154">
        <v>98</v>
      </c>
      <c r="F748" s="145" t="str">
        <f>_xlfn.IFNA(VLOOKUP(E748,'Data Kyu'!$A$6:$I$471,3,0),"")</f>
        <v/>
      </c>
      <c r="G748" s="142"/>
      <c r="H748" s="66"/>
      <c r="I748" s="66"/>
      <c r="J748" s="66"/>
      <c r="K748" s="66"/>
      <c r="L748" s="145" t="str">
        <f>_xlfn.IFNA(VLOOKUP(E748,'Data Kyu'!$A$6:$I$471,9,0),"")</f>
        <v/>
      </c>
      <c r="M748" s="142"/>
      <c r="N748" s="145" t="str">
        <f>_xlfn.IFNA(VLOOKUP(E748,'Data Kyu'!$A$6:$I$471,6,0),"")</f>
        <v/>
      </c>
      <c r="O748" s="141"/>
      <c r="P748" s="139" t="s">
        <v>5</v>
      </c>
      <c r="Q748" s="141" t="str">
        <f>_xlfn.IFNA(VLOOKUP(E748,'Data Kyu'!$A$6:$I$471,7,0),"")</f>
        <v/>
      </c>
      <c r="R748" s="141"/>
      <c r="S748" s="139" t="s">
        <v>5</v>
      </c>
      <c r="T748" s="141" t="str">
        <f>_xlfn.IFNA(VLOOKUP(E748,'Data Kyu'!$A$6:$I$471,8,0),"")</f>
        <v/>
      </c>
      <c r="U748" s="142"/>
      <c r="V748" s="142" t="str">
        <f>_xlfn.IFNA(VLOOKUP(E748,'Data Kyu'!$A$6:$I$471,4,0),"")</f>
        <v/>
      </c>
      <c r="X748" s="214" t="str">
        <f>_xlfn.IFNA(VLOOKUP(F748,'Data Kyu'!$C$6:$N$997,12,0),"No Data")</f>
        <v>No Data</v>
      </c>
    </row>
    <row r="749" spans="2:24" ht="10.95" customHeight="1" x14ac:dyDescent="0.25">
      <c r="B749" s="52"/>
      <c r="C749" s="165" t="str">
        <f>IF(X748="LULUS","V","")</f>
        <v/>
      </c>
      <c r="D749" s="53"/>
      <c r="E749" s="155"/>
      <c r="F749" s="148"/>
      <c r="G749" s="144"/>
      <c r="H749" s="67"/>
      <c r="I749" s="67"/>
      <c r="J749" s="67"/>
      <c r="K749" s="67"/>
      <c r="L749" s="146"/>
      <c r="M749" s="147"/>
      <c r="N749" s="148"/>
      <c r="O749" s="143"/>
      <c r="P749" s="140"/>
      <c r="Q749" s="143"/>
      <c r="R749" s="143"/>
      <c r="S749" s="140"/>
      <c r="T749" s="143"/>
      <c r="U749" s="144"/>
      <c r="V749" s="147"/>
      <c r="X749" s="214"/>
    </row>
    <row r="750" spans="2:24" ht="10.95" customHeight="1" x14ac:dyDescent="0.25">
      <c r="B750" s="52"/>
      <c r="C750" s="166"/>
      <c r="D750" s="53"/>
      <c r="E750" s="155"/>
      <c r="F750" s="167" t="str">
        <f>_xlfn.IFNA(VLOOKUP(E748,'Data Kyu'!$A$6:$I$471,2,0),"")</f>
        <v/>
      </c>
      <c r="G750" s="168"/>
      <c r="H750" s="168"/>
      <c r="I750" s="168"/>
      <c r="J750" s="168"/>
      <c r="K750" s="169"/>
      <c r="L750" s="146"/>
      <c r="M750" s="147"/>
      <c r="N750" s="173" t="s">
        <v>6</v>
      </c>
      <c r="O750" s="159"/>
      <c r="P750" s="57"/>
      <c r="Q750" s="159" t="s">
        <v>7</v>
      </c>
      <c r="R750" s="159"/>
      <c r="S750" s="57"/>
      <c r="T750" s="159" t="s">
        <v>8</v>
      </c>
      <c r="U750" s="160"/>
      <c r="V750" s="175"/>
      <c r="X750" s="214"/>
    </row>
    <row r="751" spans="2:24" ht="10.95" customHeight="1" x14ac:dyDescent="0.25">
      <c r="B751" s="54"/>
      <c r="C751" s="76"/>
      <c r="D751" s="56"/>
      <c r="E751" s="156"/>
      <c r="F751" s="170"/>
      <c r="G751" s="171"/>
      <c r="H751" s="171"/>
      <c r="I751" s="171"/>
      <c r="J751" s="171"/>
      <c r="K751" s="172"/>
      <c r="L751" s="148"/>
      <c r="M751" s="144"/>
      <c r="N751" s="174"/>
      <c r="O751" s="161"/>
      <c r="P751" s="27"/>
      <c r="Q751" s="161"/>
      <c r="R751" s="161"/>
      <c r="S751" s="27"/>
      <c r="T751" s="161"/>
      <c r="U751" s="162"/>
      <c r="V751" s="176"/>
      <c r="X751" s="214"/>
    </row>
    <row r="752" spans="2:24" ht="10.95" customHeight="1" x14ac:dyDescent="0.25">
      <c r="B752" s="41"/>
      <c r="C752" s="77"/>
      <c r="D752" s="42"/>
      <c r="E752" s="154">
        <v>99</v>
      </c>
      <c r="F752" s="145" t="str">
        <f>_xlfn.IFNA(VLOOKUP(E752,'Data Kyu'!$A$6:$I$471,3,0),"")</f>
        <v/>
      </c>
      <c r="G752" s="142"/>
      <c r="H752" s="66"/>
      <c r="I752" s="66"/>
      <c r="J752" s="66"/>
      <c r="K752" s="66"/>
      <c r="L752" s="145" t="str">
        <f>_xlfn.IFNA(VLOOKUP(E752,'Data Kyu'!$A$6:$I$471,9,0),"")</f>
        <v/>
      </c>
      <c r="M752" s="142"/>
      <c r="N752" s="145" t="str">
        <f>_xlfn.IFNA(VLOOKUP(E752,'Data Kyu'!$A$6:$I$471,6,0),"")</f>
        <v/>
      </c>
      <c r="O752" s="141"/>
      <c r="P752" s="139" t="s">
        <v>5</v>
      </c>
      <c r="Q752" s="141" t="str">
        <f>_xlfn.IFNA(VLOOKUP(E752,'Data Kyu'!$A$6:$I$471,7,0),"")</f>
        <v/>
      </c>
      <c r="R752" s="141"/>
      <c r="S752" s="139" t="s">
        <v>5</v>
      </c>
      <c r="T752" s="141" t="str">
        <f>_xlfn.IFNA(VLOOKUP(E752,'Data Kyu'!$A$6:$I$471,8,0),"")</f>
        <v/>
      </c>
      <c r="U752" s="142"/>
      <c r="V752" s="142" t="str">
        <f>_xlfn.IFNA(VLOOKUP(E752,'Data Kyu'!$A$6:$I$471,4,0),"")</f>
        <v/>
      </c>
      <c r="X752" s="214" t="str">
        <f>_xlfn.IFNA(VLOOKUP(F752,'Data Kyu'!$C$6:$N$997,12,0),"No Data")</f>
        <v>No Data</v>
      </c>
    </row>
    <row r="753" spans="2:24" ht="10.95" customHeight="1" x14ac:dyDescent="0.25">
      <c r="B753" s="52"/>
      <c r="C753" s="165" t="str">
        <f>IF(X752="LULUS","V","")</f>
        <v/>
      </c>
      <c r="D753" s="53"/>
      <c r="E753" s="155"/>
      <c r="F753" s="148"/>
      <c r="G753" s="144"/>
      <c r="H753" s="67"/>
      <c r="I753" s="67"/>
      <c r="J753" s="67"/>
      <c r="K753" s="67"/>
      <c r="L753" s="146"/>
      <c r="M753" s="147"/>
      <c r="N753" s="148"/>
      <c r="O753" s="143"/>
      <c r="P753" s="140"/>
      <c r="Q753" s="143"/>
      <c r="R753" s="143"/>
      <c r="S753" s="140"/>
      <c r="T753" s="143"/>
      <c r="U753" s="144"/>
      <c r="V753" s="147"/>
      <c r="X753" s="214"/>
    </row>
    <row r="754" spans="2:24" ht="10.95" customHeight="1" x14ac:dyDescent="0.25">
      <c r="B754" s="52"/>
      <c r="C754" s="166"/>
      <c r="D754" s="53"/>
      <c r="E754" s="155"/>
      <c r="F754" s="167" t="str">
        <f>_xlfn.IFNA(VLOOKUP(E752,'Data Kyu'!$A$6:$I$471,2,0),"")</f>
        <v/>
      </c>
      <c r="G754" s="168"/>
      <c r="H754" s="168"/>
      <c r="I754" s="168"/>
      <c r="J754" s="168"/>
      <c r="K754" s="169"/>
      <c r="L754" s="146"/>
      <c r="M754" s="147"/>
      <c r="N754" s="173" t="s">
        <v>6</v>
      </c>
      <c r="O754" s="159"/>
      <c r="P754" s="57"/>
      <c r="Q754" s="159" t="s">
        <v>7</v>
      </c>
      <c r="R754" s="159"/>
      <c r="S754" s="57"/>
      <c r="T754" s="159" t="s">
        <v>8</v>
      </c>
      <c r="U754" s="160"/>
      <c r="V754" s="175"/>
      <c r="X754" s="214"/>
    </row>
    <row r="755" spans="2:24" ht="10.95" customHeight="1" x14ac:dyDescent="0.25">
      <c r="B755" s="54"/>
      <c r="C755" s="76"/>
      <c r="D755" s="56"/>
      <c r="E755" s="156"/>
      <c r="F755" s="170"/>
      <c r="G755" s="171"/>
      <c r="H755" s="171"/>
      <c r="I755" s="171"/>
      <c r="J755" s="171"/>
      <c r="K755" s="172"/>
      <c r="L755" s="148"/>
      <c r="M755" s="144"/>
      <c r="N755" s="174"/>
      <c r="O755" s="161"/>
      <c r="P755" s="27"/>
      <c r="Q755" s="161"/>
      <c r="R755" s="161"/>
      <c r="S755" s="27"/>
      <c r="T755" s="161"/>
      <c r="U755" s="162"/>
      <c r="V755" s="176"/>
      <c r="X755" s="214"/>
    </row>
    <row r="756" spans="2:24" ht="10.95" customHeight="1" x14ac:dyDescent="0.25">
      <c r="B756" s="41"/>
      <c r="C756" s="77"/>
      <c r="D756" s="42"/>
      <c r="E756" s="154">
        <v>100</v>
      </c>
      <c r="F756" s="145" t="str">
        <f>_xlfn.IFNA(VLOOKUP(E756,'Data Kyu'!$A$6:$I$471,3,0),"")</f>
        <v/>
      </c>
      <c r="G756" s="142"/>
      <c r="H756" s="66"/>
      <c r="I756" s="66"/>
      <c r="J756" s="66"/>
      <c r="K756" s="66"/>
      <c r="L756" s="145" t="str">
        <f>_xlfn.IFNA(VLOOKUP(E756,'Data Kyu'!$A$6:$I$471,9,0),"")</f>
        <v/>
      </c>
      <c r="M756" s="142"/>
      <c r="N756" s="145" t="str">
        <f>_xlfn.IFNA(VLOOKUP(E756,'Data Kyu'!$A$6:$I$471,6,0),"")</f>
        <v/>
      </c>
      <c r="O756" s="141"/>
      <c r="P756" s="139" t="s">
        <v>5</v>
      </c>
      <c r="Q756" s="141" t="str">
        <f>_xlfn.IFNA(VLOOKUP(E756,'Data Kyu'!$A$6:$I$471,7,0),"")</f>
        <v/>
      </c>
      <c r="R756" s="141"/>
      <c r="S756" s="139" t="s">
        <v>5</v>
      </c>
      <c r="T756" s="141" t="str">
        <f>_xlfn.IFNA(VLOOKUP(E756,'Data Kyu'!$A$6:$I$471,8,0),"")</f>
        <v/>
      </c>
      <c r="U756" s="142"/>
      <c r="V756" s="142" t="str">
        <f>_xlfn.IFNA(VLOOKUP(E756,'Data Kyu'!$A$6:$I$471,4,0),"")</f>
        <v/>
      </c>
      <c r="X756" s="214" t="str">
        <f>_xlfn.IFNA(VLOOKUP(F756,'Data Kyu'!$C$6:$N$997,12,0),"No Data")</f>
        <v>No Data</v>
      </c>
    </row>
    <row r="757" spans="2:24" ht="10.95" customHeight="1" x14ac:dyDescent="0.25">
      <c r="B757" s="52"/>
      <c r="C757" s="165" t="str">
        <f>IF(X756="LULUS","V","")</f>
        <v/>
      </c>
      <c r="D757" s="53"/>
      <c r="E757" s="155"/>
      <c r="F757" s="148"/>
      <c r="G757" s="144"/>
      <c r="H757" s="67"/>
      <c r="I757" s="67"/>
      <c r="J757" s="67"/>
      <c r="K757" s="67"/>
      <c r="L757" s="146"/>
      <c r="M757" s="147"/>
      <c r="N757" s="148"/>
      <c r="O757" s="143"/>
      <c r="P757" s="140"/>
      <c r="Q757" s="143"/>
      <c r="R757" s="143"/>
      <c r="S757" s="140"/>
      <c r="T757" s="143"/>
      <c r="U757" s="144"/>
      <c r="V757" s="147"/>
      <c r="X757" s="214"/>
    </row>
    <row r="758" spans="2:24" ht="10.95" customHeight="1" x14ac:dyDescent="0.25">
      <c r="B758" s="52"/>
      <c r="C758" s="166"/>
      <c r="D758" s="53"/>
      <c r="E758" s="155"/>
      <c r="F758" s="167" t="str">
        <f>_xlfn.IFNA(VLOOKUP(E756,'Data Kyu'!$A$6:$I$471,2,0),"")</f>
        <v/>
      </c>
      <c r="G758" s="168"/>
      <c r="H758" s="168"/>
      <c r="I758" s="168"/>
      <c r="J758" s="168"/>
      <c r="K758" s="169"/>
      <c r="L758" s="146"/>
      <c r="M758" s="147"/>
      <c r="N758" s="173" t="s">
        <v>6</v>
      </c>
      <c r="O758" s="159"/>
      <c r="P758" s="57"/>
      <c r="Q758" s="159" t="s">
        <v>7</v>
      </c>
      <c r="R758" s="159"/>
      <c r="S758" s="57"/>
      <c r="T758" s="159" t="s">
        <v>8</v>
      </c>
      <c r="U758" s="160"/>
      <c r="V758" s="175"/>
      <c r="X758" s="214"/>
    </row>
    <row r="759" spans="2:24" ht="10.95" customHeight="1" x14ac:dyDescent="0.25">
      <c r="B759" s="54"/>
      <c r="C759" s="55"/>
      <c r="D759" s="56"/>
      <c r="E759" s="156"/>
      <c r="F759" s="170"/>
      <c r="G759" s="171"/>
      <c r="H759" s="171"/>
      <c r="I759" s="171"/>
      <c r="J759" s="171"/>
      <c r="K759" s="172"/>
      <c r="L759" s="148"/>
      <c r="M759" s="144"/>
      <c r="N759" s="174"/>
      <c r="O759" s="161"/>
      <c r="P759" s="27"/>
      <c r="Q759" s="161"/>
      <c r="R759" s="161"/>
      <c r="S759" s="27"/>
      <c r="T759" s="161"/>
      <c r="U759" s="162"/>
      <c r="V759" s="176"/>
      <c r="X759" s="214"/>
    </row>
    <row r="760" spans="2:24" ht="7.5" customHeight="1" x14ac:dyDescent="0.25"/>
    <row r="761" spans="2:24" s="34" customFormat="1" x14ac:dyDescent="0.25">
      <c r="E761" s="35" t="s">
        <v>30</v>
      </c>
      <c r="K761" s="35" t="s">
        <v>28</v>
      </c>
    </row>
    <row r="762" spans="2:24" x14ac:dyDescent="0.25">
      <c r="E762" s="33" t="s">
        <v>31</v>
      </c>
      <c r="F762" s="149"/>
      <c r="G762" s="149"/>
      <c r="H762" s="149"/>
      <c r="I762" s="149"/>
      <c r="J762" s="149"/>
      <c r="K762" s="33" t="s">
        <v>29</v>
      </c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</row>
    <row r="763" spans="2:24" ht="6.75" customHeight="1" x14ac:dyDescent="0.25">
      <c r="F763" s="34"/>
      <c r="G763" s="34"/>
      <c r="H763" s="34"/>
      <c r="I763" s="34"/>
      <c r="J763" s="34"/>
    </row>
    <row r="764" spans="2:24" s="34" customFormat="1" x14ac:dyDescent="0.25">
      <c r="E764" s="35" t="s">
        <v>32</v>
      </c>
      <c r="K764" s="35" t="s">
        <v>36</v>
      </c>
    </row>
    <row r="765" spans="2:24" x14ac:dyDescent="0.25">
      <c r="E765" s="33" t="s">
        <v>33</v>
      </c>
      <c r="F765" s="149"/>
      <c r="G765" s="149"/>
      <c r="H765" s="149"/>
      <c r="I765" s="149"/>
      <c r="J765" s="149"/>
      <c r="K765" s="33" t="s">
        <v>29</v>
      </c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</row>
    <row r="766" spans="2:24" ht="6.75" customHeight="1" x14ac:dyDescent="0.25">
      <c r="F766" s="34"/>
      <c r="G766" s="34"/>
      <c r="H766" s="34"/>
      <c r="I766" s="34"/>
      <c r="J766" s="34"/>
    </row>
    <row r="767" spans="2:24" s="34" customFormat="1" ht="13.8" customHeight="1" x14ac:dyDescent="0.25">
      <c r="E767" s="35" t="s">
        <v>34</v>
      </c>
      <c r="F767" s="177" t="str">
        <f>IF(F720&lt;&gt;"",$F$65,"")</f>
        <v/>
      </c>
      <c r="G767" s="177"/>
      <c r="H767" s="177"/>
      <c r="I767" s="177"/>
      <c r="J767" s="177"/>
      <c r="K767" s="35" t="s">
        <v>28</v>
      </c>
      <c r="X767" s="70" t="s">
        <v>107</v>
      </c>
    </row>
    <row r="768" spans="2:24" ht="13.2" customHeight="1" x14ac:dyDescent="0.25">
      <c r="E768" s="33" t="s">
        <v>35</v>
      </c>
      <c r="F768" s="178"/>
      <c r="G768" s="178"/>
      <c r="H768" s="178"/>
      <c r="I768" s="178"/>
      <c r="J768" s="178"/>
      <c r="K768" s="33" t="s">
        <v>29</v>
      </c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X768" s="70" t="s">
        <v>105</v>
      </c>
    </row>
    <row r="769" spans="2:24" ht="12.75" customHeight="1" thickBot="1" x14ac:dyDescent="0.3"/>
    <row r="770" spans="2:24" ht="13.8" thickTop="1" x14ac:dyDescent="0.25">
      <c r="B770" s="34" t="s">
        <v>37</v>
      </c>
      <c r="C770" s="34"/>
      <c r="D770" s="34"/>
      <c r="H770" s="150" t="s">
        <v>40</v>
      </c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</row>
    <row r="771" spans="2:24" x14ac:dyDescent="0.25">
      <c r="B771" s="34" t="s">
        <v>38</v>
      </c>
      <c r="C771" s="34"/>
      <c r="D771" s="34"/>
      <c r="H771" s="152"/>
      <c r="I771" s="153"/>
      <c r="J771" s="153"/>
      <c r="K771" s="153"/>
      <c r="L771" s="153"/>
      <c r="M771" s="153"/>
      <c r="N771" s="153"/>
      <c r="O771" s="153"/>
      <c r="P771" s="153"/>
      <c r="Q771" s="153"/>
      <c r="R771" s="153"/>
      <c r="S771" s="153"/>
      <c r="T771" s="153"/>
      <c r="U771" s="153"/>
      <c r="V771" s="153"/>
    </row>
    <row r="772" spans="2:24" ht="12.75" customHeight="1" x14ac:dyDescent="0.25">
      <c r="B772" s="163" t="s">
        <v>39</v>
      </c>
      <c r="C772" s="163"/>
      <c r="D772" s="163"/>
      <c r="E772" s="163"/>
      <c r="F772" s="163"/>
      <c r="H772" s="37" t="s">
        <v>41</v>
      </c>
    </row>
    <row r="773" spans="2:24" ht="13.8" x14ac:dyDescent="0.25">
      <c r="B773" s="163"/>
      <c r="C773" s="163"/>
      <c r="D773" s="163"/>
      <c r="E773" s="163"/>
      <c r="F773" s="163"/>
      <c r="H773" s="38" t="s">
        <v>42</v>
      </c>
    </row>
    <row r="774" spans="2:24" x14ac:dyDescent="0.25">
      <c r="B774" s="163"/>
      <c r="C774" s="163"/>
      <c r="D774" s="163"/>
      <c r="E774" s="163"/>
      <c r="F774" s="163"/>
      <c r="H774" s="36"/>
    </row>
    <row r="775" spans="2:24" x14ac:dyDescent="0.25">
      <c r="B775" s="163"/>
      <c r="C775" s="163"/>
      <c r="D775" s="163"/>
      <c r="E775" s="163"/>
      <c r="F775" s="163"/>
      <c r="H775" s="36"/>
    </row>
    <row r="776" spans="2:24" x14ac:dyDescent="0.25">
      <c r="H776" s="36"/>
    </row>
    <row r="777" spans="2:24" x14ac:dyDescent="0.25">
      <c r="H777" s="36"/>
    </row>
    <row r="778" spans="2:24" x14ac:dyDescent="0.25">
      <c r="H778" s="36"/>
    </row>
    <row r="779" spans="2:24" x14ac:dyDescent="0.25">
      <c r="H779" s="36"/>
    </row>
    <row r="780" spans="2:24" ht="13.8" x14ac:dyDescent="0.25">
      <c r="H780" s="157" t="str">
        <f>IF(F720&lt;&gt;"",$H$78,"")</f>
        <v/>
      </c>
      <c r="I780" s="158"/>
      <c r="J780" s="158"/>
      <c r="K780" s="158"/>
      <c r="L780" s="158"/>
      <c r="M780" s="158"/>
      <c r="N780" s="158"/>
      <c r="O780" s="158"/>
      <c r="P780" s="158"/>
      <c r="Q780" s="158"/>
      <c r="R780" s="158"/>
      <c r="S780" s="158"/>
      <c r="T780" s="158"/>
      <c r="U780" s="158"/>
      <c r="V780" s="158"/>
    </row>
    <row r="781" spans="2:24" x14ac:dyDescent="0.25">
      <c r="H781" s="36"/>
    </row>
    <row r="782" spans="2:24" ht="28.5" customHeight="1" x14ac:dyDescent="0.3">
      <c r="B782" s="193" t="s">
        <v>43</v>
      </c>
      <c r="C782" s="193"/>
      <c r="D782" s="193"/>
      <c r="E782" s="194"/>
      <c r="F782" s="194"/>
      <c r="G782" s="194"/>
      <c r="H782" s="194"/>
      <c r="I782" s="2"/>
      <c r="J782" s="2"/>
      <c r="K782" s="13" t="s">
        <v>25</v>
      </c>
      <c r="L782" s="195" t="s">
        <v>14</v>
      </c>
      <c r="M782" s="196"/>
      <c r="N782" s="196"/>
      <c r="O782" s="196"/>
      <c r="P782" s="196"/>
      <c r="Q782" s="196"/>
      <c r="R782" s="196"/>
      <c r="S782" s="196"/>
      <c r="T782" s="196"/>
      <c r="U782" s="196"/>
      <c r="V782" s="197"/>
      <c r="X782" s="1"/>
    </row>
    <row r="783" spans="2:24" ht="26.25" customHeight="1" x14ac:dyDescent="0.4">
      <c r="B783" s="39" t="s">
        <v>44</v>
      </c>
      <c r="C783" s="39"/>
      <c r="D783" s="39"/>
      <c r="E783" s="2"/>
      <c r="F783" s="2"/>
      <c r="G783" s="2"/>
      <c r="H783" s="2"/>
      <c r="I783" s="2"/>
      <c r="J783" s="2"/>
      <c r="K783" s="29" t="s">
        <v>13</v>
      </c>
      <c r="L783" s="15">
        <v>4</v>
      </c>
      <c r="M783" s="16">
        <v>1</v>
      </c>
      <c r="N783" s="15">
        <v>0</v>
      </c>
      <c r="O783" s="198">
        <v>0</v>
      </c>
      <c r="P783" s="199"/>
      <c r="Q783" s="14">
        <v>0</v>
      </c>
      <c r="R783" s="200">
        <v>1</v>
      </c>
      <c r="S783" s="201"/>
      <c r="T783" s="6"/>
      <c r="U783" s="6"/>
      <c r="V783" s="7"/>
      <c r="X783" s="1"/>
    </row>
    <row r="784" spans="2:24" ht="21" customHeight="1" x14ac:dyDescent="0.25">
      <c r="B784" s="26" t="s">
        <v>45</v>
      </c>
      <c r="C784" s="26"/>
      <c r="D784" s="26"/>
      <c r="E784" s="25"/>
      <c r="F784" s="25"/>
      <c r="G784" s="25"/>
      <c r="H784" s="25"/>
      <c r="I784" s="25"/>
      <c r="J784" s="25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X784" s="1"/>
    </row>
    <row r="785" spans="2:24" ht="13.5" customHeight="1" x14ac:dyDescent="0.25">
      <c r="B785" s="40" t="s">
        <v>24</v>
      </c>
      <c r="C785" s="40"/>
      <c r="D785" s="40"/>
      <c r="E785" s="25"/>
      <c r="F785" s="25"/>
      <c r="G785" s="25"/>
      <c r="H785" s="25"/>
      <c r="I785" s="25"/>
      <c r="J785" s="25"/>
      <c r="K785" s="28" t="s">
        <v>6</v>
      </c>
      <c r="L785" s="202" t="str">
        <f>IF(F798&lt;&gt;"",$L$5,"")</f>
        <v/>
      </c>
      <c r="M785" s="203"/>
      <c r="N785" s="204" t="s">
        <v>15</v>
      </c>
      <c r="O785" s="204"/>
      <c r="P785" s="204"/>
      <c r="Q785" s="205" t="str">
        <f>IF(F798&lt;&gt;"",$Q$5,"")</f>
        <v/>
      </c>
      <c r="R785" s="206"/>
      <c r="S785" s="207" t="s">
        <v>16</v>
      </c>
      <c r="T785" s="204"/>
      <c r="U785" s="82" t="str">
        <f>IF(F798&lt;&gt;"",$U$5,"")</f>
        <v/>
      </c>
      <c r="V785" s="63"/>
      <c r="X785" s="1"/>
    </row>
    <row r="786" spans="2:24" ht="8.25" customHeight="1" x14ac:dyDescent="0.25"/>
    <row r="787" spans="2:24" ht="11.25" customHeight="1" x14ac:dyDescent="0.25">
      <c r="B787" s="24" t="s">
        <v>17</v>
      </c>
      <c r="C787" s="24"/>
      <c r="D787" s="24"/>
    </row>
    <row r="788" spans="2:24" ht="11.25" customHeight="1" x14ac:dyDescent="0.25">
      <c r="B788" s="8" t="s">
        <v>18</v>
      </c>
      <c r="C788" s="8"/>
      <c r="D788" s="8"/>
    </row>
    <row r="789" spans="2:24" ht="5.25" customHeight="1" x14ac:dyDescent="0.25">
      <c r="B789" s="8"/>
      <c r="C789" s="8"/>
      <c r="D789" s="8"/>
    </row>
    <row r="790" spans="2:24" x14ac:dyDescent="0.25">
      <c r="B790" s="179" t="s">
        <v>19</v>
      </c>
      <c r="C790" s="179"/>
      <c r="D790" s="179"/>
      <c r="E790" s="179"/>
      <c r="F790" s="179"/>
      <c r="G790" s="18" t="s">
        <v>6</v>
      </c>
      <c r="H790" s="64" t="str">
        <f>IF(F798&lt;&gt;"",$H$10,"")</f>
        <v/>
      </c>
      <c r="I790" s="9" t="s">
        <v>15</v>
      </c>
      <c r="J790" s="83" t="str">
        <f>IF(F798&lt;&gt;"",$J$10,"")</f>
        <v/>
      </c>
      <c r="K790" s="9" t="s">
        <v>16</v>
      </c>
      <c r="L790" s="180" t="str">
        <f>IF(F798&lt;&gt;"",$L$10,"")</f>
        <v/>
      </c>
      <c r="M790" s="181"/>
      <c r="X790" s="32"/>
    </row>
    <row r="791" spans="2:24" ht="5.25" customHeight="1" x14ac:dyDescent="0.25">
      <c r="B791" s="8"/>
      <c r="C791" s="8"/>
      <c r="D791" s="8"/>
      <c r="E791" s="8"/>
      <c r="F791" s="8"/>
      <c r="G791" s="19"/>
      <c r="H791" s="20"/>
      <c r="I791" s="21"/>
      <c r="J791" s="20"/>
      <c r="K791" s="10"/>
      <c r="L791" s="22"/>
      <c r="X791" s="32"/>
    </row>
    <row r="792" spans="2:24" s="73" customFormat="1" ht="14.4" customHeight="1" x14ac:dyDescent="0.25">
      <c r="B792" s="72" t="s">
        <v>20</v>
      </c>
      <c r="C792" s="72"/>
      <c r="D792" s="72"/>
      <c r="X792" s="74"/>
    </row>
    <row r="793" spans="2:24" s="73" customFormat="1" ht="14.4" customHeight="1" x14ac:dyDescent="0.25">
      <c r="B793" s="75" t="s">
        <v>21</v>
      </c>
      <c r="C793" s="10"/>
      <c r="D793" s="10"/>
      <c r="E793" s="22" t="s">
        <v>22</v>
      </c>
      <c r="X793" s="74"/>
    </row>
    <row r="794" spans="2:24" s="73" customFormat="1" ht="14.4" customHeight="1" x14ac:dyDescent="0.25">
      <c r="B794" s="22"/>
      <c r="C794" s="22"/>
      <c r="D794" s="22"/>
      <c r="E794" s="22" t="s">
        <v>23</v>
      </c>
      <c r="X794" s="164" t="s">
        <v>102</v>
      </c>
    </row>
    <row r="795" spans="2:24" ht="7.5" customHeight="1" x14ac:dyDescent="0.25">
      <c r="B795" s="8"/>
      <c r="C795" s="8"/>
      <c r="D795" s="8"/>
      <c r="X795" s="164"/>
    </row>
    <row r="796" spans="2:24" ht="17.25" customHeight="1" x14ac:dyDescent="0.25">
      <c r="B796" s="182"/>
      <c r="C796" s="59"/>
      <c r="D796" s="60"/>
      <c r="E796" s="184" t="s">
        <v>0</v>
      </c>
      <c r="F796" s="186" t="s">
        <v>1</v>
      </c>
      <c r="G796" s="187"/>
      <c r="H796" s="4"/>
      <c r="I796" s="4"/>
      <c r="J796" s="4"/>
      <c r="K796" s="5"/>
      <c r="L796" s="145" t="s">
        <v>3</v>
      </c>
      <c r="M796" s="142"/>
      <c r="N796" s="188" t="s">
        <v>10</v>
      </c>
      <c r="O796" s="188"/>
      <c r="P796" s="188"/>
      <c r="Q796" s="188"/>
      <c r="R796" s="188"/>
      <c r="S796" s="188"/>
      <c r="T796" s="188"/>
      <c r="U796" s="189"/>
      <c r="V796" s="3" t="s">
        <v>12</v>
      </c>
      <c r="X796" s="68" t="s">
        <v>200</v>
      </c>
    </row>
    <row r="797" spans="2:24" ht="17.25" customHeight="1" x14ac:dyDescent="0.25">
      <c r="B797" s="183"/>
      <c r="C797" s="61"/>
      <c r="D797" s="62"/>
      <c r="E797" s="185"/>
      <c r="F797" s="30" t="s">
        <v>2</v>
      </c>
      <c r="G797" s="17"/>
      <c r="H797" s="6"/>
      <c r="I797" s="6"/>
      <c r="J797" s="6"/>
      <c r="K797" s="7"/>
      <c r="L797" s="190" t="s">
        <v>4</v>
      </c>
      <c r="M797" s="191"/>
      <c r="N797" s="192" t="s">
        <v>9</v>
      </c>
      <c r="O797" s="192"/>
      <c r="P797" s="192"/>
      <c r="Q797" s="192"/>
      <c r="R797" s="192"/>
      <c r="S797" s="192"/>
      <c r="T797" s="192"/>
      <c r="U797" s="191"/>
      <c r="V797" s="31" t="s">
        <v>11</v>
      </c>
      <c r="X797" s="69"/>
    </row>
    <row r="798" spans="2:24" ht="10.95" customHeight="1" x14ac:dyDescent="0.25">
      <c r="B798" s="41"/>
      <c r="C798" s="51"/>
      <c r="D798" s="42"/>
      <c r="E798" s="154">
        <v>101</v>
      </c>
      <c r="F798" s="145" t="str">
        <f>_xlfn.IFNA(VLOOKUP(E798,'Data Kyu'!$A$6:$I$471,3,0),"")</f>
        <v/>
      </c>
      <c r="G798" s="142"/>
      <c r="H798" s="66"/>
      <c r="I798" s="66"/>
      <c r="J798" s="66"/>
      <c r="K798" s="66"/>
      <c r="L798" s="145" t="str">
        <f>_xlfn.IFNA(VLOOKUP(E798,'Data Kyu'!$A$6:$I$471,9,0),"")</f>
        <v/>
      </c>
      <c r="M798" s="142"/>
      <c r="N798" s="145" t="str">
        <f>_xlfn.IFNA(VLOOKUP(E798,'Data Kyu'!$A$6:$I$471,6,0),"")</f>
        <v/>
      </c>
      <c r="O798" s="141"/>
      <c r="P798" s="139" t="s">
        <v>5</v>
      </c>
      <c r="Q798" s="141" t="str">
        <f>_xlfn.IFNA(VLOOKUP(E798,'Data Kyu'!$A$6:$I$471,7,0),"")</f>
        <v/>
      </c>
      <c r="R798" s="141"/>
      <c r="S798" s="139" t="s">
        <v>5</v>
      </c>
      <c r="T798" s="141" t="str">
        <f>_xlfn.IFNA(VLOOKUP(E798,'Data Kyu'!$A$6:$I$471,8,0),"")</f>
        <v/>
      </c>
      <c r="U798" s="142"/>
      <c r="V798" s="142" t="str">
        <f>_xlfn.IFNA(VLOOKUP(E798,'Data Kyu'!$A$6:$I$471,4,0),"")</f>
        <v/>
      </c>
      <c r="X798" s="214" t="str">
        <f>_xlfn.IFNA(VLOOKUP(F798,'Data Kyu'!$C$6:$N$997,12,0),"No Data")</f>
        <v>No Data</v>
      </c>
    </row>
    <row r="799" spans="2:24" ht="10.95" customHeight="1" x14ac:dyDescent="0.25">
      <c r="B799" s="52"/>
      <c r="C799" s="165" t="str">
        <f>IF(X798="LULUS","V","")</f>
        <v/>
      </c>
      <c r="D799" s="53"/>
      <c r="E799" s="155"/>
      <c r="F799" s="148"/>
      <c r="G799" s="144"/>
      <c r="H799" s="67"/>
      <c r="I799" s="67"/>
      <c r="J799" s="67"/>
      <c r="K799" s="67"/>
      <c r="L799" s="146"/>
      <c r="M799" s="147"/>
      <c r="N799" s="148"/>
      <c r="O799" s="143"/>
      <c r="P799" s="140"/>
      <c r="Q799" s="143"/>
      <c r="R799" s="143"/>
      <c r="S799" s="140"/>
      <c r="T799" s="143"/>
      <c r="U799" s="144"/>
      <c r="V799" s="147"/>
      <c r="X799" s="214"/>
    </row>
    <row r="800" spans="2:24" ht="10.95" customHeight="1" x14ac:dyDescent="0.25">
      <c r="B800" s="52"/>
      <c r="C800" s="166"/>
      <c r="D800" s="53"/>
      <c r="E800" s="155"/>
      <c r="F800" s="167" t="str">
        <f>_xlfn.IFNA(VLOOKUP(E798,'Data Kyu'!$A$6:$I$471,2,0),"")</f>
        <v/>
      </c>
      <c r="G800" s="168"/>
      <c r="H800" s="168"/>
      <c r="I800" s="168"/>
      <c r="J800" s="168"/>
      <c r="K800" s="169"/>
      <c r="L800" s="146"/>
      <c r="M800" s="147"/>
      <c r="N800" s="173" t="s">
        <v>6</v>
      </c>
      <c r="O800" s="159"/>
      <c r="P800" s="57"/>
      <c r="Q800" s="159" t="s">
        <v>7</v>
      </c>
      <c r="R800" s="159"/>
      <c r="S800" s="57"/>
      <c r="T800" s="159" t="s">
        <v>8</v>
      </c>
      <c r="U800" s="160"/>
      <c r="V800" s="175"/>
      <c r="X800" s="214"/>
    </row>
    <row r="801" spans="2:24" ht="10.95" customHeight="1" x14ac:dyDescent="0.25">
      <c r="B801" s="54"/>
      <c r="C801" s="76"/>
      <c r="D801" s="56"/>
      <c r="E801" s="156"/>
      <c r="F801" s="170"/>
      <c r="G801" s="171"/>
      <c r="H801" s="171"/>
      <c r="I801" s="171"/>
      <c r="J801" s="171"/>
      <c r="K801" s="172"/>
      <c r="L801" s="148"/>
      <c r="M801" s="144"/>
      <c r="N801" s="174"/>
      <c r="O801" s="161"/>
      <c r="P801" s="27"/>
      <c r="Q801" s="161"/>
      <c r="R801" s="161"/>
      <c r="S801" s="27"/>
      <c r="T801" s="161"/>
      <c r="U801" s="162"/>
      <c r="V801" s="176"/>
      <c r="X801" s="214"/>
    </row>
    <row r="802" spans="2:24" ht="10.95" customHeight="1" x14ac:dyDescent="0.25">
      <c r="B802" s="41"/>
      <c r="C802" s="77"/>
      <c r="D802" s="42"/>
      <c r="E802" s="154">
        <f>E798+1</f>
        <v>102</v>
      </c>
      <c r="F802" s="145" t="str">
        <f>_xlfn.IFNA(VLOOKUP(E802,'Data Kyu'!$A$6:$I$471,3,0),"")</f>
        <v/>
      </c>
      <c r="G802" s="142"/>
      <c r="H802" s="66"/>
      <c r="I802" s="66"/>
      <c r="J802" s="66"/>
      <c r="K802" s="66"/>
      <c r="L802" s="145" t="str">
        <f>_xlfn.IFNA(VLOOKUP(E802,'Data Kyu'!$A$6:$I$471,9,0),"")</f>
        <v/>
      </c>
      <c r="M802" s="142"/>
      <c r="N802" s="145" t="str">
        <f>_xlfn.IFNA(VLOOKUP(E802,'Data Kyu'!$A$6:$I$471,6,0),"")</f>
        <v/>
      </c>
      <c r="O802" s="141"/>
      <c r="P802" s="139" t="s">
        <v>5</v>
      </c>
      <c r="Q802" s="141" t="str">
        <f>_xlfn.IFNA(VLOOKUP(E802,'Data Kyu'!$A$6:$I$471,7,0),"")</f>
        <v/>
      </c>
      <c r="R802" s="141"/>
      <c r="S802" s="139" t="s">
        <v>5</v>
      </c>
      <c r="T802" s="141" t="str">
        <f>_xlfn.IFNA(VLOOKUP(E802,'Data Kyu'!$A$6:$I$471,8,0),"")</f>
        <v/>
      </c>
      <c r="U802" s="142"/>
      <c r="V802" s="142" t="str">
        <f>_xlfn.IFNA(VLOOKUP(E802,'Data Kyu'!$A$6:$I$471,4,0),"")</f>
        <v/>
      </c>
      <c r="X802" s="214" t="str">
        <f>_xlfn.IFNA(VLOOKUP(F802,'Data Kyu'!$C$6:$N$997,12,0),"No Data")</f>
        <v>No Data</v>
      </c>
    </row>
    <row r="803" spans="2:24" ht="10.95" customHeight="1" x14ac:dyDescent="0.25">
      <c r="B803" s="52"/>
      <c r="C803" s="165" t="str">
        <f>IF(X802="LULUS","V","")</f>
        <v/>
      </c>
      <c r="D803" s="53"/>
      <c r="E803" s="155"/>
      <c r="F803" s="148"/>
      <c r="G803" s="144"/>
      <c r="H803" s="67"/>
      <c r="I803" s="67"/>
      <c r="J803" s="67"/>
      <c r="K803" s="67"/>
      <c r="L803" s="146"/>
      <c r="M803" s="147"/>
      <c r="N803" s="148"/>
      <c r="O803" s="143"/>
      <c r="P803" s="140"/>
      <c r="Q803" s="143"/>
      <c r="R803" s="143"/>
      <c r="S803" s="140"/>
      <c r="T803" s="143"/>
      <c r="U803" s="144"/>
      <c r="V803" s="147"/>
      <c r="X803" s="214"/>
    </row>
    <row r="804" spans="2:24" ht="10.95" customHeight="1" x14ac:dyDescent="0.25">
      <c r="B804" s="52"/>
      <c r="C804" s="166"/>
      <c r="D804" s="53"/>
      <c r="E804" s="155"/>
      <c r="F804" s="167" t="str">
        <f>_xlfn.IFNA(VLOOKUP(E802,'Data Kyu'!$A$6:$I$471,2,0),"")</f>
        <v/>
      </c>
      <c r="G804" s="168"/>
      <c r="H804" s="168"/>
      <c r="I804" s="168"/>
      <c r="J804" s="168"/>
      <c r="K804" s="169"/>
      <c r="L804" s="146"/>
      <c r="M804" s="147"/>
      <c r="N804" s="173" t="s">
        <v>6</v>
      </c>
      <c r="O804" s="159"/>
      <c r="P804" s="57"/>
      <c r="Q804" s="159" t="s">
        <v>7</v>
      </c>
      <c r="R804" s="159"/>
      <c r="S804" s="57"/>
      <c r="T804" s="159" t="s">
        <v>8</v>
      </c>
      <c r="U804" s="160"/>
      <c r="V804" s="175"/>
      <c r="X804" s="214"/>
    </row>
    <row r="805" spans="2:24" ht="10.95" customHeight="1" x14ac:dyDescent="0.25">
      <c r="B805" s="54"/>
      <c r="C805" s="76"/>
      <c r="D805" s="56"/>
      <c r="E805" s="156"/>
      <c r="F805" s="170"/>
      <c r="G805" s="171"/>
      <c r="H805" s="171"/>
      <c r="I805" s="171"/>
      <c r="J805" s="171"/>
      <c r="K805" s="172"/>
      <c r="L805" s="148"/>
      <c r="M805" s="144"/>
      <c r="N805" s="174"/>
      <c r="O805" s="161"/>
      <c r="P805" s="27"/>
      <c r="Q805" s="161"/>
      <c r="R805" s="161"/>
      <c r="S805" s="27"/>
      <c r="T805" s="161"/>
      <c r="U805" s="162"/>
      <c r="V805" s="176"/>
      <c r="X805" s="214"/>
    </row>
    <row r="806" spans="2:24" ht="10.95" customHeight="1" x14ac:dyDescent="0.25">
      <c r="B806" s="41"/>
      <c r="C806" s="77"/>
      <c r="D806" s="42"/>
      <c r="E806" s="154">
        <f t="shared" ref="E806" si="0">E802+1</f>
        <v>103</v>
      </c>
      <c r="F806" s="145" t="str">
        <f>_xlfn.IFNA(VLOOKUP(E806,'Data Kyu'!$A$6:$I$471,3,0),"")</f>
        <v/>
      </c>
      <c r="G806" s="142"/>
      <c r="H806" s="66"/>
      <c r="I806" s="66"/>
      <c r="J806" s="66"/>
      <c r="K806" s="66"/>
      <c r="L806" s="145" t="str">
        <f>_xlfn.IFNA(VLOOKUP(E806,'Data Kyu'!$A$6:$I$471,9,0),"")</f>
        <v/>
      </c>
      <c r="M806" s="142"/>
      <c r="N806" s="145" t="str">
        <f>_xlfn.IFNA(VLOOKUP(E806,'Data Kyu'!$A$6:$I$471,6,0),"")</f>
        <v/>
      </c>
      <c r="O806" s="141"/>
      <c r="P806" s="139" t="s">
        <v>5</v>
      </c>
      <c r="Q806" s="141" t="str">
        <f>_xlfn.IFNA(VLOOKUP(E806,'Data Kyu'!$A$6:$I$471,7,0),"")</f>
        <v/>
      </c>
      <c r="R806" s="141"/>
      <c r="S806" s="139" t="s">
        <v>5</v>
      </c>
      <c r="T806" s="141" t="str">
        <f>_xlfn.IFNA(VLOOKUP(E806,'Data Kyu'!$A$6:$I$471,8,0),"")</f>
        <v/>
      </c>
      <c r="U806" s="142"/>
      <c r="V806" s="142" t="str">
        <f>_xlfn.IFNA(VLOOKUP(E806,'Data Kyu'!$A$6:$I$471,4,0),"")</f>
        <v/>
      </c>
      <c r="X806" s="214" t="str">
        <f>_xlfn.IFNA(VLOOKUP(F806,'Data Kyu'!$C$6:$N$997,12,0),"No Data")</f>
        <v>No Data</v>
      </c>
    </row>
    <row r="807" spans="2:24" ht="10.95" customHeight="1" x14ac:dyDescent="0.25">
      <c r="B807" s="52"/>
      <c r="C807" s="165" t="str">
        <f>IF(X806="LULUS","V","")</f>
        <v/>
      </c>
      <c r="D807" s="53"/>
      <c r="E807" s="155"/>
      <c r="F807" s="148"/>
      <c r="G807" s="144"/>
      <c r="H807" s="67"/>
      <c r="I807" s="67"/>
      <c r="J807" s="67"/>
      <c r="K807" s="67"/>
      <c r="L807" s="146"/>
      <c r="M807" s="147"/>
      <c r="N807" s="148"/>
      <c r="O807" s="143"/>
      <c r="P807" s="140"/>
      <c r="Q807" s="143"/>
      <c r="R807" s="143"/>
      <c r="S807" s="140"/>
      <c r="T807" s="143"/>
      <c r="U807" s="144"/>
      <c r="V807" s="147"/>
      <c r="X807" s="214"/>
    </row>
    <row r="808" spans="2:24" ht="10.95" customHeight="1" x14ac:dyDescent="0.25">
      <c r="B808" s="52"/>
      <c r="C808" s="166"/>
      <c r="D808" s="53"/>
      <c r="E808" s="155"/>
      <c r="F808" s="167" t="str">
        <f>_xlfn.IFNA(VLOOKUP(E806,'Data Kyu'!$A$6:$I$471,2,0),"")</f>
        <v/>
      </c>
      <c r="G808" s="168"/>
      <c r="H808" s="168"/>
      <c r="I808" s="168"/>
      <c r="J808" s="168"/>
      <c r="K808" s="169"/>
      <c r="L808" s="146"/>
      <c r="M808" s="147"/>
      <c r="N808" s="173" t="s">
        <v>6</v>
      </c>
      <c r="O808" s="159"/>
      <c r="P808" s="57"/>
      <c r="Q808" s="159" t="s">
        <v>7</v>
      </c>
      <c r="R808" s="159"/>
      <c r="S808" s="57"/>
      <c r="T808" s="159" t="s">
        <v>8</v>
      </c>
      <c r="U808" s="160"/>
      <c r="V808" s="175"/>
      <c r="X808" s="214"/>
    </row>
    <row r="809" spans="2:24" ht="10.95" customHeight="1" x14ac:dyDescent="0.25">
      <c r="B809" s="54"/>
      <c r="C809" s="76"/>
      <c r="D809" s="56"/>
      <c r="E809" s="156"/>
      <c r="F809" s="170"/>
      <c r="G809" s="171"/>
      <c r="H809" s="171"/>
      <c r="I809" s="171"/>
      <c r="J809" s="171"/>
      <c r="K809" s="172"/>
      <c r="L809" s="148"/>
      <c r="M809" s="144"/>
      <c r="N809" s="174"/>
      <c r="O809" s="161"/>
      <c r="P809" s="27"/>
      <c r="Q809" s="161"/>
      <c r="R809" s="161"/>
      <c r="S809" s="27"/>
      <c r="T809" s="161"/>
      <c r="U809" s="162"/>
      <c r="V809" s="176"/>
      <c r="X809" s="214"/>
    </row>
    <row r="810" spans="2:24" ht="10.95" customHeight="1" x14ac:dyDescent="0.25">
      <c r="B810" s="41"/>
      <c r="C810" s="77"/>
      <c r="D810" s="42"/>
      <c r="E810" s="154">
        <f t="shared" ref="E810" si="1">E806+1</f>
        <v>104</v>
      </c>
      <c r="F810" s="145" t="str">
        <f>_xlfn.IFNA(VLOOKUP(E810,'Data Kyu'!$A$6:$I$471,3,0),"")</f>
        <v/>
      </c>
      <c r="G810" s="142"/>
      <c r="H810" s="66"/>
      <c r="I810" s="66"/>
      <c r="J810" s="66"/>
      <c r="K810" s="66"/>
      <c r="L810" s="145" t="str">
        <f>_xlfn.IFNA(VLOOKUP(E810,'Data Kyu'!$A$6:$I$471,9,0),"")</f>
        <v/>
      </c>
      <c r="M810" s="142"/>
      <c r="N810" s="145" t="str">
        <f>_xlfn.IFNA(VLOOKUP(E810,'Data Kyu'!$A$6:$I$471,6,0),"")</f>
        <v/>
      </c>
      <c r="O810" s="141"/>
      <c r="P810" s="139" t="s">
        <v>5</v>
      </c>
      <c r="Q810" s="141" t="str">
        <f>_xlfn.IFNA(VLOOKUP(E810,'Data Kyu'!$A$6:$I$471,7,0),"")</f>
        <v/>
      </c>
      <c r="R810" s="141"/>
      <c r="S810" s="139" t="s">
        <v>5</v>
      </c>
      <c r="T810" s="141" t="str">
        <f>_xlfn.IFNA(VLOOKUP(E810,'Data Kyu'!$A$6:$I$471,8,0),"")</f>
        <v/>
      </c>
      <c r="U810" s="142"/>
      <c r="V810" s="142" t="str">
        <f>_xlfn.IFNA(VLOOKUP(E810,'Data Kyu'!$A$6:$I$471,4,0),"")</f>
        <v/>
      </c>
      <c r="X810" s="214" t="str">
        <f>_xlfn.IFNA(VLOOKUP(F810,'Data Kyu'!$C$6:$N$997,12,0),"No Data")</f>
        <v>No Data</v>
      </c>
    </row>
    <row r="811" spans="2:24" ht="10.95" customHeight="1" x14ac:dyDescent="0.25">
      <c r="B811" s="52"/>
      <c r="C811" s="165" t="str">
        <f>IF(X810="LULUS","V","")</f>
        <v/>
      </c>
      <c r="D811" s="53"/>
      <c r="E811" s="155"/>
      <c r="F811" s="148"/>
      <c r="G811" s="144"/>
      <c r="H811" s="67"/>
      <c r="I811" s="67"/>
      <c r="J811" s="67"/>
      <c r="K811" s="67"/>
      <c r="L811" s="146"/>
      <c r="M811" s="147"/>
      <c r="N811" s="148"/>
      <c r="O811" s="143"/>
      <c r="P811" s="140"/>
      <c r="Q811" s="143"/>
      <c r="R811" s="143"/>
      <c r="S811" s="140"/>
      <c r="T811" s="143"/>
      <c r="U811" s="144"/>
      <c r="V811" s="147"/>
      <c r="X811" s="214"/>
    </row>
    <row r="812" spans="2:24" ht="10.95" customHeight="1" x14ac:dyDescent="0.25">
      <c r="B812" s="52"/>
      <c r="C812" s="166"/>
      <c r="D812" s="53"/>
      <c r="E812" s="155"/>
      <c r="F812" s="167" t="str">
        <f>_xlfn.IFNA(VLOOKUP(E810,'Data Kyu'!$A$6:$I$471,2,0),"")</f>
        <v/>
      </c>
      <c r="G812" s="168"/>
      <c r="H812" s="168"/>
      <c r="I812" s="168"/>
      <c r="J812" s="168"/>
      <c r="K812" s="169"/>
      <c r="L812" s="146"/>
      <c r="M812" s="147"/>
      <c r="N812" s="173" t="s">
        <v>6</v>
      </c>
      <c r="O812" s="159"/>
      <c r="P812" s="57"/>
      <c r="Q812" s="159" t="s">
        <v>7</v>
      </c>
      <c r="R812" s="159"/>
      <c r="S812" s="57"/>
      <c r="T812" s="159" t="s">
        <v>8</v>
      </c>
      <c r="U812" s="160"/>
      <c r="V812" s="175"/>
      <c r="X812" s="214"/>
    </row>
    <row r="813" spans="2:24" ht="10.95" customHeight="1" x14ac:dyDescent="0.25">
      <c r="B813" s="54"/>
      <c r="C813" s="76"/>
      <c r="D813" s="56"/>
      <c r="E813" s="156"/>
      <c r="F813" s="170"/>
      <c r="G813" s="171"/>
      <c r="H813" s="171"/>
      <c r="I813" s="171"/>
      <c r="J813" s="171"/>
      <c r="K813" s="172"/>
      <c r="L813" s="148"/>
      <c r="M813" s="144"/>
      <c r="N813" s="174"/>
      <c r="O813" s="161"/>
      <c r="P813" s="27"/>
      <c r="Q813" s="161"/>
      <c r="R813" s="161"/>
      <c r="S813" s="27"/>
      <c r="T813" s="161"/>
      <c r="U813" s="162"/>
      <c r="V813" s="176"/>
      <c r="X813" s="214"/>
    </row>
    <row r="814" spans="2:24" ht="10.95" customHeight="1" x14ac:dyDescent="0.25">
      <c r="B814" s="41"/>
      <c r="C814" s="77"/>
      <c r="D814" s="42"/>
      <c r="E814" s="154">
        <f t="shared" ref="E814" si="2">E810+1</f>
        <v>105</v>
      </c>
      <c r="F814" s="145" t="str">
        <f>_xlfn.IFNA(VLOOKUP(E814,'Data Kyu'!$A$6:$I$471,3,0),"")</f>
        <v/>
      </c>
      <c r="G814" s="142"/>
      <c r="H814" s="66"/>
      <c r="I814" s="66"/>
      <c r="J814" s="66"/>
      <c r="K814" s="66"/>
      <c r="L814" s="145" t="str">
        <f>_xlfn.IFNA(VLOOKUP(E814,'Data Kyu'!$A$6:$I$471,9,0),"")</f>
        <v/>
      </c>
      <c r="M814" s="142"/>
      <c r="N814" s="145" t="str">
        <f>_xlfn.IFNA(VLOOKUP(E814,'Data Kyu'!$A$6:$I$471,6,0),"")</f>
        <v/>
      </c>
      <c r="O814" s="141"/>
      <c r="P814" s="139" t="s">
        <v>5</v>
      </c>
      <c r="Q814" s="141" t="str">
        <f>_xlfn.IFNA(VLOOKUP(E814,'Data Kyu'!$A$6:$I$471,7,0),"")</f>
        <v/>
      </c>
      <c r="R814" s="141"/>
      <c r="S814" s="139" t="s">
        <v>5</v>
      </c>
      <c r="T814" s="141" t="str">
        <f>_xlfn.IFNA(VLOOKUP(E814,'Data Kyu'!$A$6:$I$471,8,0),"")</f>
        <v/>
      </c>
      <c r="U814" s="142"/>
      <c r="V814" s="142" t="str">
        <f>_xlfn.IFNA(VLOOKUP(E814,'Data Kyu'!$A$6:$I$471,4,0),"")</f>
        <v/>
      </c>
      <c r="X814" s="214" t="str">
        <f>_xlfn.IFNA(VLOOKUP(F814,'Data Kyu'!$C$6:$N$997,12,0),"No Data")</f>
        <v>No Data</v>
      </c>
    </row>
    <row r="815" spans="2:24" ht="10.95" customHeight="1" x14ac:dyDescent="0.25">
      <c r="B815" s="52"/>
      <c r="C815" s="165" t="str">
        <f>IF(X814="LULUS","V","")</f>
        <v/>
      </c>
      <c r="D815" s="53"/>
      <c r="E815" s="155"/>
      <c r="F815" s="148"/>
      <c r="G815" s="144"/>
      <c r="H815" s="67"/>
      <c r="I815" s="67"/>
      <c r="J815" s="67"/>
      <c r="K815" s="67"/>
      <c r="L815" s="146"/>
      <c r="M815" s="147"/>
      <c r="N815" s="148"/>
      <c r="O815" s="143"/>
      <c r="P815" s="140"/>
      <c r="Q815" s="143"/>
      <c r="R815" s="143"/>
      <c r="S815" s="140"/>
      <c r="T815" s="143"/>
      <c r="U815" s="144"/>
      <c r="V815" s="147"/>
      <c r="X815" s="214"/>
    </row>
    <row r="816" spans="2:24" ht="10.95" customHeight="1" x14ac:dyDescent="0.25">
      <c r="B816" s="52"/>
      <c r="C816" s="166"/>
      <c r="D816" s="53"/>
      <c r="E816" s="155"/>
      <c r="F816" s="167" t="str">
        <f>_xlfn.IFNA(VLOOKUP(E814,'Data Kyu'!$A$6:$I$471,2,0),"")</f>
        <v/>
      </c>
      <c r="G816" s="168"/>
      <c r="H816" s="168"/>
      <c r="I816" s="168"/>
      <c r="J816" s="168"/>
      <c r="K816" s="169"/>
      <c r="L816" s="146"/>
      <c r="M816" s="147"/>
      <c r="N816" s="173" t="s">
        <v>6</v>
      </c>
      <c r="O816" s="159"/>
      <c r="P816" s="57"/>
      <c r="Q816" s="159" t="s">
        <v>7</v>
      </c>
      <c r="R816" s="159"/>
      <c r="S816" s="57"/>
      <c r="T816" s="159" t="s">
        <v>8</v>
      </c>
      <c r="U816" s="160"/>
      <c r="V816" s="175"/>
      <c r="X816" s="214"/>
    </row>
    <row r="817" spans="2:24" ht="10.95" customHeight="1" x14ac:dyDescent="0.25">
      <c r="B817" s="54"/>
      <c r="C817" s="76"/>
      <c r="D817" s="56"/>
      <c r="E817" s="156"/>
      <c r="F817" s="170"/>
      <c r="G817" s="171"/>
      <c r="H817" s="171"/>
      <c r="I817" s="171"/>
      <c r="J817" s="171"/>
      <c r="K817" s="172"/>
      <c r="L817" s="148"/>
      <c r="M817" s="144"/>
      <c r="N817" s="174"/>
      <c r="O817" s="161"/>
      <c r="P817" s="27"/>
      <c r="Q817" s="161"/>
      <c r="R817" s="161"/>
      <c r="S817" s="27"/>
      <c r="T817" s="161"/>
      <c r="U817" s="162"/>
      <c r="V817" s="176"/>
      <c r="X817" s="214"/>
    </row>
    <row r="818" spans="2:24" ht="10.95" customHeight="1" x14ac:dyDescent="0.25">
      <c r="B818" s="41"/>
      <c r="C818" s="77"/>
      <c r="D818" s="42"/>
      <c r="E818" s="154">
        <f t="shared" ref="E818" si="3">E814+1</f>
        <v>106</v>
      </c>
      <c r="F818" s="145" t="str">
        <f>_xlfn.IFNA(VLOOKUP(E818,'Data Kyu'!$A$6:$I$471,3,0),"")</f>
        <v/>
      </c>
      <c r="G818" s="142"/>
      <c r="H818" s="66"/>
      <c r="I818" s="66"/>
      <c r="J818" s="66"/>
      <c r="K818" s="66"/>
      <c r="L818" s="145" t="str">
        <f>_xlfn.IFNA(VLOOKUP(E818,'Data Kyu'!$A$6:$I$471,9,0),"")</f>
        <v/>
      </c>
      <c r="M818" s="142"/>
      <c r="N818" s="145" t="str">
        <f>_xlfn.IFNA(VLOOKUP(E818,'Data Kyu'!$A$6:$I$471,6,0),"")</f>
        <v/>
      </c>
      <c r="O818" s="141"/>
      <c r="P818" s="139" t="s">
        <v>5</v>
      </c>
      <c r="Q818" s="141" t="str">
        <f>_xlfn.IFNA(VLOOKUP(E818,'Data Kyu'!$A$6:$I$471,7,0),"")</f>
        <v/>
      </c>
      <c r="R818" s="141"/>
      <c r="S818" s="139" t="s">
        <v>5</v>
      </c>
      <c r="T818" s="141" t="str">
        <f>_xlfn.IFNA(VLOOKUP(E818,'Data Kyu'!$A$6:$I$471,8,0),"")</f>
        <v/>
      </c>
      <c r="U818" s="142"/>
      <c r="V818" s="142" t="str">
        <f>_xlfn.IFNA(VLOOKUP(E818,'Data Kyu'!$A$6:$I$471,4,0),"")</f>
        <v/>
      </c>
      <c r="X818" s="214" t="str">
        <f>_xlfn.IFNA(VLOOKUP(F818,'Data Kyu'!$C$6:$N$997,12,0),"No Data")</f>
        <v>No Data</v>
      </c>
    </row>
    <row r="819" spans="2:24" ht="10.95" customHeight="1" x14ac:dyDescent="0.25">
      <c r="B819" s="52"/>
      <c r="C819" s="165" t="str">
        <f>IF(X818="LULUS","V","")</f>
        <v/>
      </c>
      <c r="D819" s="53"/>
      <c r="E819" s="155"/>
      <c r="F819" s="148"/>
      <c r="G819" s="144"/>
      <c r="H819" s="67"/>
      <c r="I819" s="67"/>
      <c r="J819" s="67"/>
      <c r="K819" s="67"/>
      <c r="L819" s="146"/>
      <c r="M819" s="147"/>
      <c r="N819" s="148"/>
      <c r="O819" s="143"/>
      <c r="P819" s="140"/>
      <c r="Q819" s="143"/>
      <c r="R819" s="143"/>
      <c r="S819" s="140"/>
      <c r="T819" s="143"/>
      <c r="U819" s="144"/>
      <c r="V819" s="147"/>
      <c r="X819" s="214"/>
    </row>
    <row r="820" spans="2:24" ht="10.95" customHeight="1" x14ac:dyDescent="0.25">
      <c r="B820" s="52"/>
      <c r="C820" s="166"/>
      <c r="D820" s="53"/>
      <c r="E820" s="155"/>
      <c r="F820" s="167" t="str">
        <f>_xlfn.IFNA(VLOOKUP(E818,'Data Kyu'!$A$6:$I$471,2,0),"")</f>
        <v/>
      </c>
      <c r="G820" s="168"/>
      <c r="H820" s="168"/>
      <c r="I820" s="168"/>
      <c r="J820" s="168"/>
      <c r="K820" s="169"/>
      <c r="L820" s="146"/>
      <c r="M820" s="147"/>
      <c r="N820" s="173" t="s">
        <v>6</v>
      </c>
      <c r="O820" s="159"/>
      <c r="P820" s="57"/>
      <c r="Q820" s="159" t="s">
        <v>7</v>
      </c>
      <c r="R820" s="159"/>
      <c r="S820" s="57"/>
      <c r="T820" s="159" t="s">
        <v>8</v>
      </c>
      <c r="U820" s="160"/>
      <c r="V820" s="175"/>
      <c r="X820" s="214"/>
    </row>
    <row r="821" spans="2:24" ht="10.95" customHeight="1" x14ac:dyDescent="0.25">
      <c r="B821" s="54"/>
      <c r="C821" s="76"/>
      <c r="D821" s="56"/>
      <c r="E821" s="156"/>
      <c r="F821" s="170"/>
      <c r="G821" s="171"/>
      <c r="H821" s="171"/>
      <c r="I821" s="171"/>
      <c r="J821" s="171"/>
      <c r="K821" s="172"/>
      <c r="L821" s="148"/>
      <c r="M821" s="144"/>
      <c r="N821" s="174"/>
      <c r="O821" s="161"/>
      <c r="P821" s="27"/>
      <c r="Q821" s="161"/>
      <c r="R821" s="161"/>
      <c r="S821" s="27"/>
      <c r="T821" s="161"/>
      <c r="U821" s="162"/>
      <c r="V821" s="176"/>
      <c r="X821" s="214"/>
    </row>
    <row r="822" spans="2:24" ht="10.95" customHeight="1" x14ac:dyDescent="0.25">
      <c r="B822" s="41"/>
      <c r="C822" s="77"/>
      <c r="D822" s="42"/>
      <c r="E822" s="154">
        <f t="shared" ref="E822" si="4">E818+1</f>
        <v>107</v>
      </c>
      <c r="F822" s="145" t="str">
        <f>_xlfn.IFNA(VLOOKUP(E822,'Data Kyu'!$A$6:$I$471,3,0),"")</f>
        <v/>
      </c>
      <c r="G822" s="142"/>
      <c r="H822" s="66"/>
      <c r="I822" s="66"/>
      <c r="J822" s="66"/>
      <c r="K822" s="66"/>
      <c r="L822" s="145" t="str">
        <f>_xlfn.IFNA(VLOOKUP(E822,'Data Kyu'!$A$6:$I$471,9,0),"")</f>
        <v/>
      </c>
      <c r="M822" s="142"/>
      <c r="N822" s="145" t="str">
        <f>_xlfn.IFNA(VLOOKUP(E822,'Data Kyu'!$A$6:$I$471,6,0),"")</f>
        <v/>
      </c>
      <c r="O822" s="141"/>
      <c r="P822" s="139" t="s">
        <v>5</v>
      </c>
      <c r="Q822" s="141" t="str">
        <f>_xlfn.IFNA(VLOOKUP(E822,'Data Kyu'!$A$6:$I$471,7,0),"")</f>
        <v/>
      </c>
      <c r="R822" s="141"/>
      <c r="S822" s="139" t="s">
        <v>5</v>
      </c>
      <c r="T822" s="141" t="str">
        <f>_xlfn.IFNA(VLOOKUP(E822,'Data Kyu'!$A$6:$I$471,8,0),"")</f>
        <v/>
      </c>
      <c r="U822" s="142"/>
      <c r="V822" s="142" t="str">
        <f>_xlfn.IFNA(VLOOKUP(E822,'Data Kyu'!$A$6:$I$471,4,0),"")</f>
        <v/>
      </c>
      <c r="X822" s="214" t="str">
        <f>_xlfn.IFNA(VLOOKUP(F822,'Data Kyu'!$C$6:$N$997,12,0),"No Data")</f>
        <v>No Data</v>
      </c>
    </row>
    <row r="823" spans="2:24" ht="10.95" customHeight="1" x14ac:dyDescent="0.25">
      <c r="B823" s="52"/>
      <c r="C823" s="165" t="str">
        <f>IF(X822="LULUS","V","")</f>
        <v/>
      </c>
      <c r="D823" s="53"/>
      <c r="E823" s="155"/>
      <c r="F823" s="148"/>
      <c r="G823" s="144"/>
      <c r="H823" s="67"/>
      <c r="I823" s="67"/>
      <c r="J823" s="67"/>
      <c r="K823" s="67"/>
      <c r="L823" s="146"/>
      <c r="M823" s="147"/>
      <c r="N823" s="148"/>
      <c r="O823" s="143"/>
      <c r="P823" s="140"/>
      <c r="Q823" s="143"/>
      <c r="R823" s="143"/>
      <c r="S823" s="140"/>
      <c r="T823" s="143"/>
      <c r="U823" s="144"/>
      <c r="V823" s="147"/>
      <c r="X823" s="214"/>
    </row>
    <row r="824" spans="2:24" ht="10.95" customHeight="1" x14ac:dyDescent="0.25">
      <c r="B824" s="52"/>
      <c r="C824" s="166"/>
      <c r="D824" s="53"/>
      <c r="E824" s="155"/>
      <c r="F824" s="167" t="str">
        <f>_xlfn.IFNA(VLOOKUP(E822,'Data Kyu'!$A$6:$I$471,2,0),"")</f>
        <v/>
      </c>
      <c r="G824" s="168"/>
      <c r="H824" s="168"/>
      <c r="I824" s="168"/>
      <c r="J824" s="168"/>
      <c r="K824" s="169"/>
      <c r="L824" s="146"/>
      <c r="M824" s="147"/>
      <c r="N824" s="173" t="s">
        <v>6</v>
      </c>
      <c r="O824" s="159"/>
      <c r="P824" s="57"/>
      <c r="Q824" s="159" t="s">
        <v>7</v>
      </c>
      <c r="R824" s="159"/>
      <c r="S824" s="57"/>
      <c r="T824" s="159" t="s">
        <v>8</v>
      </c>
      <c r="U824" s="160"/>
      <c r="V824" s="175"/>
      <c r="X824" s="214"/>
    </row>
    <row r="825" spans="2:24" ht="10.95" customHeight="1" x14ac:dyDescent="0.25">
      <c r="B825" s="54"/>
      <c r="C825" s="76"/>
      <c r="D825" s="56"/>
      <c r="E825" s="156"/>
      <c r="F825" s="170"/>
      <c r="G825" s="171"/>
      <c r="H825" s="171"/>
      <c r="I825" s="171"/>
      <c r="J825" s="171"/>
      <c r="K825" s="172"/>
      <c r="L825" s="148"/>
      <c r="M825" s="144"/>
      <c r="N825" s="174"/>
      <c r="O825" s="161"/>
      <c r="P825" s="27"/>
      <c r="Q825" s="161"/>
      <c r="R825" s="161"/>
      <c r="S825" s="27"/>
      <c r="T825" s="161"/>
      <c r="U825" s="162"/>
      <c r="V825" s="176"/>
      <c r="X825" s="214"/>
    </row>
    <row r="826" spans="2:24" ht="10.95" customHeight="1" x14ac:dyDescent="0.25">
      <c r="B826" s="41"/>
      <c r="C826" s="77"/>
      <c r="D826" s="42"/>
      <c r="E826" s="154">
        <f t="shared" ref="E826" si="5">E822+1</f>
        <v>108</v>
      </c>
      <c r="F826" s="145" t="str">
        <f>_xlfn.IFNA(VLOOKUP(E826,'Data Kyu'!$A$6:$I$471,3,0),"")</f>
        <v/>
      </c>
      <c r="G826" s="142"/>
      <c r="H826" s="66"/>
      <c r="I826" s="66"/>
      <c r="J826" s="66"/>
      <c r="K826" s="66"/>
      <c r="L826" s="145" t="str">
        <f>_xlfn.IFNA(VLOOKUP(E826,'Data Kyu'!$A$6:$I$471,9,0),"")</f>
        <v/>
      </c>
      <c r="M826" s="142"/>
      <c r="N826" s="145" t="str">
        <f>_xlfn.IFNA(VLOOKUP(E826,'Data Kyu'!$A$6:$I$471,6,0),"")</f>
        <v/>
      </c>
      <c r="O826" s="141"/>
      <c r="P826" s="139" t="s">
        <v>5</v>
      </c>
      <c r="Q826" s="141" t="str">
        <f>_xlfn.IFNA(VLOOKUP(E826,'Data Kyu'!$A$6:$I$471,7,0),"")</f>
        <v/>
      </c>
      <c r="R826" s="141"/>
      <c r="S826" s="139" t="s">
        <v>5</v>
      </c>
      <c r="T826" s="141" t="str">
        <f>_xlfn.IFNA(VLOOKUP(E826,'Data Kyu'!$A$6:$I$471,8,0),"")</f>
        <v/>
      </c>
      <c r="U826" s="142"/>
      <c r="V826" s="142" t="str">
        <f>_xlfn.IFNA(VLOOKUP(E826,'Data Kyu'!$A$6:$I$471,4,0),"")</f>
        <v/>
      </c>
      <c r="X826" s="214" t="str">
        <f>_xlfn.IFNA(VLOOKUP(F826,'Data Kyu'!$C$6:$N$997,12,0),"No Data")</f>
        <v>No Data</v>
      </c>
    </row>
    <row r="827" spans="2:24" ht="10.95" customHeight="1" x14ac:dyDescent="0.25">
      <c r="B827" s="52"/>
      <c r="C827" s="165" t="str">
        <f>IF(X826="LULUS","V","")</f>
        <v/>
      </c>
      <c r="D827" s="53"/>
      <c r="E827" s="155"/>
      <c r="F827" s="148"/>
      <c r="G827" s="144"/>
      <c r="H827" s="67"/>
      <c r="I827" s="67"/>
      <c r="J827" s="67"/>
      <c r="K827" s="67"/>
      <c r="L827" s="146"/>
      <c r="M827" s="147"/>
      <c r="N827" s="148"/>
      <c r="O827" s="143"/>
      <c r="P827" s="140"/>
      <c r="Q827" s="143"/>
      <c r="R827" s="143"/>
      <c r="S827" s="140"/>
      <c r="T827" s="143"/>
      <c r="U827" s="144"/>
      <c r="V827" s="147"/>
      <c r="X827" s="214"/>
    </row>
    <row r="828" spans="2:24" ht="10.95" customHeight="1" x14ac:dyDescent="0.25">
      <c r="B828" s="52"/>
      <c r="C828" s="166"/>
      <c r="D828" s="53"/>
      <c r="E828" s="155"/>
      <c r="F828" s="167" t="str">
        <f>_xlfn.IFNA(VLOOKUP(E826,'Data Kyu'!$A$6:$I$471,2,0),"")</f>
        <v/>
      </c>
      <c r="G828" s="168"/>
      <c r="H828" s="168"/>
      <c r="I828" s="168"/>
      <c r="J828" s="168"/>
      <c r="K828" s="169"/>
      <c r="L828" s="146"/>
      <c r="M828" s="147"/>
      <c r="N828" s="173" t="s">
        <v>6</v>
      </c>
      <c r="O828" s="159"/>
      <c r="P828" s="57"/>
      <c r="Q828" s="159" t="s">
        <v>7</v>
      </c>
      <c r="R828" s="159"/>
      <c r="S828" s="57"/>
      <c r="T828" s="159" t="s">
        <v>8</v>
      </c>
      <c r="U828" s="160"/>
      <c r="V828" s="175"/>
      <c r="X828" s="214"/>
    </row>
    <row r="829" spans="2:24" ht="10.95" customHeight="1" x14ac:dyDescent="0.25">
      <c r="B829" s="54"/>
      <c r="C829" s="76"/>
      <c r="D829" s="56"/>
      <c r="E829" s="156"/>
      <c r="F829" s="170"/>
      <c r="G829" s="171"/>
      <c r="H829" s="171"/>
      <c r="I829" s="171"/>
      <c r="J829" s="171"/>
      <c r="K829" s="172"/>
      <c r="L829" s="148"/>
      <c r="M829" s="144"/>
      <c r="N829" s="174"/>
      <c r="O829" s="161"/>
      <c r="P829" s="27"/>
      <c r="Q829" s="161"/>
      <c r="R829" s="161"/>
      <c r="S829" s="27"/>
      <c r="T829" s="161"/>
      <c r="U829" s="162"/>
      <c r="V829" s="176"/>
      <c r="X829" s="214"/>
    </row>
    <row r="830" spans="2:24" ht="10.95" customHeight="1" x14ac:dyDescent="0.25">
      <c r="B830" s="41"/>
      <c r="C830" s="77"/>
      <c r="D830" s="42"/>
      <c r="E830" s="154">
        <f t="shared" ref="E830" si="6">E826+1</f>
        <v>109</v>
      </c>
      <c r="F830" s="145" t="str">
        <f>_xlfn.IFNA(VLOOKUP(E830,'Data Kyu'!$A$6:$I$471,3,0),"")</f>
        <v/>
      </c>
      <c r="G830" s="142"/>
      <c r="H830" s="66"/>
      <c r="I830" s="66"/>
      <c r="J830" s="66"/>
      <c r="K830" s="66"/>
      <c r="L830" s="145" t="str">
        <f>_xlfn.IFNA(VLOOKUP(E830,'Data Kyu'!$A$6:$I$471,9,0),"")</f>
        <v/>
      </c>
      <c r="M830" s="142"/>
      <c r="N830" s="145" t="str">
        <f>_xlfn.IFNA(VLOOKUP(E830,'Data Kyu'!$A$6:$I$471,6,0),"")</f>
        <v/>
      </c>
      <c r="O830" s="141"/>
      <c r="P830" s="139" t="s">
        <v>5</v>
      </c>
      <c r="Q830" s="141" t="str">
        <f>_xlfn.IFNA(VLOOKUP(E830,'Data Kyu'!$A$6:$I$471,7,0),"")</f>
        <v/>
      </c>
      <c r="R830" s="141"/>
      <c r="S830" s="139" t="s">
        <v>5</v>
      </c>
      <c r="T830" s="141" t="str">
        <f>_xlfn.IFNA(VLOOKUP(E830,'Data Kyu'!$A$6:$I$471,8,0),"")</f>
        <v/>
      </c>
      <c r="U830" s="142"/>
      <c r="V830" s="142" t="str">
        <f>_xlfn.IFNA(VLOOKUP(E830,'Data Kyu'!$A$6:$I$471,4,0),"")</f>
        <v/>
      </c>
      <c r="X830" s="214" t="str">
        <f>_xlfn.IFNA(VLOOKUP(F830,'Data Kyu'!$C$6:$N$997,12,0),"No Data")</f>
        <v>No Data</v>
      </c>
    </row>
    <row r="831" spans="2:24" ht="10.95" customHeight="1" x14ac:dyDescent="0.25">
      <c r="B831" s="52"/>
      <c r="C831" s="165" t="str">
        <f>IF(X830="LULUS","V","")</f>
        <v/>
      </c>
      <c r="D831" s="53"/>
      <c r="E831" s="155"/>
      <c r="F831" s="148"/>
      <c r="G831" s="144"/>
      <c r="H831" s="67"/>
      <c r="I831" s="67"/>
      <c r="J831" s="67"/>
      <c r="K831" s="67"/>
      <c r="L831" s="146"/>
      <c r="M831" s="147"/>
      <c r="N831" s="148"/>
      <c r="O831" s="143"/>
      <c r="P831" s="140"/>
      <c r="Q831" s="143"/>
      <c r="R831" s="143"/>
      <c r="S831" s="140"/>
      <c r="T831" s="143"/>
      <c r="U831" s="144"/>
      <c r="V831" s="147"/>
      <c r="X831" s="214"/>
    </row>
    <row r="832" spans="2:24" ht="10.95" customHeight="1" x14ac:dyDescent="0.25">
      <c r="B832" s="52"/>
      <c r="C832" s="166"/>
      <c r="D832" s="53"/>
      <c r="E832" s="155"/>
      <c r="F832" s="167" t="str">
        <f>_xlfn.IFNA(VLOOKUP(E830,'Data Kyu'!$A$6:$I$471,2,0),"")</f>
        <v/>
      </c>
      <c r="G832" s="168"/>
      <c r="H832" s="168"/>
      <c r="I832" s="168"/>
      <c r="J832" s="168"/>
      <c r="K832" s="169"/>
      <c r="L832" s="146"/>
      <c r="M832" s="147"/>
      <c r="N832" s="173" t="s">
        <v>6</v>
      </c>
      <c r="O832" s="159"/>
      <c r="P832" s="57"/>
      <c r="Q832" s="159" t="s">
        <v>7</v>
      </c>
      <c r="R832" s="159"/>
      <c r="S832" s="57"/>
      <c r="T832" s="159" t="s">
        <v>8</v>
      </c>
      <c r="U832" s="160"/>
      <c r="V832" s="175"/>
      <c r="X832" s="214"/>
    </row>
    <row r="833" spans="2:24" ht="10.95" customHeight="1" x14ac:dyDescent="0.25">
      <c r="B833" s="54"/>
      <c r="C833" s="76"/>
      <c r="D833" s="56"/>
      <c r="E833" s="156"/>
      <c r="F833" s="170"/>
      <c r="G833" s="171"/>
      <c r="H833" s="171"/>
      <c r="I833" s="171"/>
      <c r="J833" s="171"/>
      <c r="K833" s="172"/>
      <c r="L833" s="148"/>
      <c r="M833" s="144"/>
      <c r="N833" s="174"/>
      <c r="O833" s="161"/>
      <c r="P833" s="27"/>
      <c r="Q833" s="161"/>
      <c r="R833" s="161"/>
      <c r="S833" s="27"/>
      <c r="T833" s="161"/>
      <c r="U833" s="162"/>
      <c r="V833" s="176"/>
      <c r="X833" s="214"/>
    </row>
    <row r="834" spans="2:24" ht="10.95" customHeight="1" x14ac:dyDescent="0.25">
      <c r="B834" s="41"/>
      <c r="C834" s="77"/>
      <c r="D834" s="42"/>
      <c r="E834" s="154">
        <f t="shared" ref="E834" si="7">E830+1</f>
        <v>110</v>
      </c>
      <c r="F834" s="145" t="str">
        <f>_xlfn.IFNA(VLOOKUP(E834,'Data Kyu'!$A$6:$I$471,3,0),"")</f>
        <v/>
      </c>
      <c r="G834" s="142"/>
      <c r="H834" s="66"/>
      <c r="I834" s="66"/>
      <c r="J834" s="66"/>
      <c r="K834" s="66"/>
      <c r="L834" s="145" t="str">
        <f>_xlfn.IFNA(VLOOKUP(E834,'Data Kyu'!$A$6:$I$471,9,0),"")</f>
        <v/>
      </c>
      <c r="M834" s="142"/>
      <c r="N834" s="145" t="str">
        <f>_xlfn.IFNA(VLOOKUP(E834,'Data Kyu'!$A$6:$I$471,6,0),"")</f>
        <v/>
      </c>
      <c r="O834" s="141"/>
      <c r="P834" s="139" t="s">
        <v>5</v>
      </c>
      <c r="Q834" s="141" t="str">
        <f>_xlfn.IFNA(VLOOKUP(E834,'Data Kyu'!$A$6:$I$471,7,0),"")</f>
        <v/>
      </c>
      <c r="R834" s="141"/>
      <c r="S834" s="139" t="s">
        <v>5</v>
      </c>
      <c r="T834" s="141" t="str">
        <f>_xlfn.IFNA(VLOOKUP(E834,'Data Kyu'!$A$6:$I$471,8,0),"")</f>
        <v/>
      </c>
      <c r="U834" s="142"/>
      <c r="V834" s="142" t="str">
        <f>_xlfn.IFNA(VLOOKUP(E834,'Data Kyu'!$A$6:$I$471,4,0),"")</f>
        <v/>
      </c>
      <c r="X834" s="214" t="str">
        <f>_xlfn.IFNA(VLOOKUP(F834,'Data Kyu'!$C$6:$N$997,12,0),"No Data")</f>
        <v>No Data</v>
      </c>
    </row>
    <row r="835" spans="2:24" ht="10.95" customHeight="1" x14ac:dyDescent="0.25">
      <c r="B835" s="52"/>
      <c r="C835" s="165" t="str">
        <f>IF(X834="LULUS","V","")</f>
        <v/>
      </c>
      <c r="D835" s="53"/>
      <c r="E835" s="155"/>
      <c r="F835" s="148"/>
      <c r="G835" s="144"/>
      <c r="H835" s="67"/>
      <c r="I835" s="67"/>
      <c r="J835" s="67"/>
      <c r="K835" s="67"/>
      <c r="L835" s="146"/>
      <c r="M835" s="147"/>
      <c r="N835" s="148"/>
      <c r="O835" s="143"/>
      <c r="P835" s="140"/>
      <c r="Q835" s="143"/>
      <c r="R835" s="143"/>
      <c r="S835" s="140"/>
      <c r="T835" s="143"/>
      <c r="U835" s="144"/>
      <c r="V835" s="147"/>
      <c r="X835" s="214"/>
    </row>
    <row r="836" spans="2:24" ht="10.95" customHeight="1" x14ac:dyDescent="0.25">
      <c r="B836" s="52"/>
      <c r="C836" s="166"/>
      <c r="D836" s="53"/>
      <c r="E836" s="155"/>
      <c r="F836" s="167" t="str">
        <f>_xlfn.IFNA(VLOOKUP(E834,'Data Kyu'!$A$6:$I$471,2,0),"")</f>
        <v/>
      </c>
      <c r="G836" s="168"/>
      <c r="H836" s="168"/>
      <c r="I836" s="168"/>
      <c r="J836" s="168"/>
      <c r="K836" s="169"/>
      <c r="L836" s="146"/>
      <c r="M836" s="147"/>
      <c r="N836" s="173" t="s">
        <v>6</v>
      </c>
      <c r="O836" s="159"/>
      <c r="P836" s="57"/>
      <c r="Q836" s="159" t="s">
        <v>7</v>
      </c>
      <c r="R836" s="159"/>
      <c r="S836" s="57"/>
      <c r="T836" s="159" t="s">
        <v>8</v>
      </c>
      <c r="U836" s="160"/>
      <c r="V836" s="175"/>
      <c r="X836" s="214"/>
    </row>
    <row r="837" spans="2:24" ht="10.95" customHeight="1" x14ac:dyDescent="0.25">
      <c r="B837" s="54"/>
      <c r="C837" s="55"/>
      <c r="D837" s="56"/>
      <c r="E837" s="156"/>
      <c r="F837" s="170"/>
      <c r="G837" s="171"/>
      <c r="H837" s="171"/>
      <c r="I837" s="171"/>
      <c r="J837" s="171"/>
      <c r="K837" s="172"/>
      <c r="L837" s="148"/>
      <c r="M837" s="144"/>
      <c r="N837" s="174"/>
      <c r="O837" s="161"/>
      <c r="P837" s="27"/>
      <c r="Q837" s="161"/>
      <c r="R837" s="161"/>
      <c r="S837" s="27"/>
      <c r="T837" s="161"/>
      <c r="U837" s="162"/>
      <c r="V837" s="176"/>
      <c r="X837" s="214"/>
    </row>
    <row r="838" spans="2:24" ht="7.5" customHeight="1" x14ac:dyDescent="0.25"/>
    <row r="839" spans="2:24" s="34" customFormat="1" x14ac:dyDescent="0.25">
      <c r="E839" s="35" t="s">
        <v>30</v>
      </c>
      <c r="K839" s="35" t="s">
        <v>28</v>
      </c>
    </row>
    <row r="840" spans="2:24" x14ac:dyDescent="0.25">
      <c r="E840" s="33" t="s">
        <v>31</v>
      </c>
      <c r="F840" s="149"/>
      <c r="G840" s="149"/>
      <c r="H840" s="149"/>
      <c r="I840" s="149"/>
      <c r="J840" s="149"/>
      <c r="K840" s="33" t="s">
        <v>29</v>
      </c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</row>
    <row r="841" spans="2:24" ht="6.75" customHeight="1" x14ac:dyDescent="0.25">
      <c r="F841" s="34"/>
      <c r="G841" s="34"/>
      <c r="H841" s="34"/>
      <c r="I841" s="34"/>
      <c r="J841" s="34"/>
    </row>
    <row r="842" spans="2:24" s="34" customFormat="1" x14ac:dyDescent="0.25">
      <c r="E842" s="35" t="s">
        <v>32</v>
      </c>
      <c r="K842" s="35" t="s">
        <v>36</v>
      </c>
    </row>
    <row r="843" spans="2:24" x14ac:dyDescent="0.25">
      <c r="E843" s="33" t="s">
        <v>33</v>
      </c>
      <c r="F843" s="149"/>
      <c r="G843" s="149"/>
      <c r="H843" s="149"/>
      <c r="I843" s="149"/>
      <c r="J843" s="149"/>
      <c r="K843" s="33" t="s">
        <v>29</v>
      </c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</row>
    <row r="844" spans="2:24" ht="6.75" customHeight="1" x14ac:dyDescent="0.25">
      <c r="F844" s="34"/>
      <c r="G844" s="34"/>
      <c r="H844" s="34"/>
      <c r="I844" s="34"/>
      <c r="J844" s="34"/>
    </row>
    <row r="845" spans="2:24" s="34" customFormat="1" ht="13.8" x14ac:dyDescent="0.25">
      <c r="E845" s="35" t="s">
        <v>34</v>
      </c>
      <c r="F845" s="177" t="str">
        <f>IF(F798&lt;&gt;"",$F$65,"")</f>
        <v/>
      </c>
      <c r="G845" s="177"/>
      <c r="H845" s="177"/>
      <c r="I845" s="177"/>
      <c r="J845" s="177"/>
      <c r="K845" s="35" t="s">
        <v>28</v>
      </c>
      <c r="X845" s="70" t="s">
        <v>107</v>
      </c>
    </row>
    <row r="846" spans="2:24" ht="13.8" x14ac:dyDescent="0.25">
      <c r="E846" s="33" t="s">
        <v>35</v>
      </c>
      <c r="F846" s="178"/>
      <c r="G846" s="178"/>
      <c r="H846" s="178"/>
      <c r="I846" s="178"/>
      <c r="J846" s="178"/>
      <c r="K846" s="33" t="s">
        <v>29</v>
      </c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X846" s="70" t="s">
        <v>105</v>
      </c>
    </row>
    <row r="847" spans="2:24" ht="12.75" customHeight="1" thickBot="1" x14ac:dyDescent="0.3"/>
    <row r="848" spans="2:24" ht="13.8" thickTop="1" x14ac:dyDescent="0.25">
      <c r="B848" s="34" t="s">
        <v>37</v>
      </c>
      <c r="C848" s="34"/>
      <c r="D848" s="34"/>
      <c r="H848" s="150" t="s">
        <v>40</v>
      </c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</row>
    <row r="849" spans="2:24" x14ac:dyDescent="0.25">
      <c r="B849" s="34" t="s">
        <v>38</v>
      </c>
      <c r="C849" s="34"/>
      <c r="D849" s="34"/>
      <c r="H849" s="152"/>
      <c r="I849" s="153"/>
      <c r="J849" s="153"/>
      <c r="K849" s="153"/>
      <c r="L849" s="153"/>
      <c r="M849" s="153"/>
      <c r="N849" s="153"/>
      <c r="O849" s="153"/>
      <c r="P849" s="153"/>
      <c r="Q849" s="153"/>
      <c r="R849" s="153"/>
      <c r="S849" s="153"/>
      <c r="T849" s="153"/>
      <c r="U849" s="153"/>
      <c r="V849" s="153"/>
    </row>
    <row r="850" spans="2:24" ht="12.75" customHeight="1" x14ac:dyDescent="0.25">
      <c r="B850" s="163" t="s">
        <v>39</v>
      </c>
      <c r="C850" s="163"/>
      <c r="D850" s="163"/>
      <c r="E850" s="163"/>
      <c r="F850" s="163"/>
      <c r="H850" s="37" t="s">
        <v>41</v>
      </c>
    </row>
    <row r="851" spans="2:24" ht="13.8" x14ac:dyDescent="0.25">
      <c r="B851" s="163"/>
      <c r="C851" s="163"/>
      <c r="D851" s="163"/>
      <c r="E851" s="163"/>
      <c r="F851" s="163"/>
      <c r="H851" s="38" t="s">
        <v>42</v>
      </c>
    </row>
    <row r="852" spans="2:24" x14ac:dyDescent="0.25">
      <c r="B852" s="163"/>
      <c r="C852" s="163"/>
      <c r="D852" s="163"/>
      <c r="E852" s="163"/>
      <c r="F852" s="163"/>
      <c r="H852" s="36"/>
    </row>
    <row r="853" spans="2:24" x14ac:dyDescent="0.25">
      <c r="B853" s="163"/>
      <c r="C853" s="163"/>
      <c r="D853" s="163"/>
      <c r="E853" s="163"/>
      <c r="F853" s="163"/>
      <c r="H853" s="36"/>
    </row>
    <row r="854" spans="2:24" x14ac:dyDescent="0.25">
      <c r="H854" s="36"/>
    </row>
    <row r="855" spans="2:24" x14ac:dyDescent="0.25">
      <c r="H855" s="36"/>
    </row>
    <row r="856" spans="2:24" x14ac:dyDescent="0.25">
      <c r="H856" s="36"/>
    </row>
    <row r="857" spans="2:24" x14ac:dyDescent="0.25">
      <c r="H857" s="36"/>
    </row>
    <row r="858" spans="2:24" ht="13.8" x14ac:dyDescent="0.25">
      <c r="H858" s="157" t="str">
        <f>IF(F798&lt;&gt;"",$H$78,"")</f>
        <v/>
      </c>
      <c r="I858" s="158"/>
      <c r="J858" s="158"/>
      <c r="K858" s="158"/>
      <c r="L858" s="158"/>
      <c r="M858" s="158"/>
      <c r="N858" s="158"/>
      <c r="O858" s="158"/>
      <c r="P858" s="158"/>
      <c r="Q858" s="158"/>
      <c r="R858" s="158"/>
      <c r="S858" s="158"/>
      <c r="T858" s="158"/>
      <c r="U858" s="158"/>
      <c r="V858" s="158"/>
    </row>
    <row r="859" spans="2:24" x14ac:dyDescent="0.25">
      <c r="H859" s="36"/>
    </row>
    <row r="860" spans="2:24" ht="28.5" customHeight="1" x14ac:dyDescent="0.3">
      <c r="B860" s="193" t="s">
        <v>43</v>
      </c>
      <c r="C860" s="193"/>
      <c r="D860" s="193"/>
      <c r="E860" s="194"/>
      <c r="F860" s="194"/>
      <c r="G860" s="194"/>
      <c r="H860" s="194"/>
      <c r="I860" s="2"/>
      <c r="J860" s="2"/>
      <c r="K860" s="13" t="s">
        <v>25</v>
      </c>
      <c r="L860" s="195" t="s">
        <v>14</v>
      </c>
      <c r="M860" s="196"/>
      <c r="N860" s="196"/>
      <c r="O860" s="196"/>
      <c r="P860" s="196"/>
      <c r="Q860" s="196"/>
      <c r="R860" s="196"/>
      <c r="S860" s="196"/>
      <c r="T860" s="196"/>
      <c r="U860" s="196"/>
      <c r="V860" s="197"/>
      <c r="X860" s="1"/>
    </row>
    <row r="861" spans="2:24" ht="26.25" customHeight="1" x14ac:dyDescent="0.4">
      <c r="B861" s="39" t="s">
        <v>44</v>
      </c>
      <c r="C861" s="39"/>
      <c r="D861" s="39"/>
      <c r="E861" s="2"/>
      <c r="F861" s="2"/>
      <c r="G861" s="2"/>
      <c r="H861" s="2"/>
      <c r="I861" s="2"/>
      <c r="J861" s="2"/>
      <c r="K861" s="29" t="s">
        <v>13</v>
      </c>
      <c r="L861" s="15">
        <v>4</v>
      </c>
      <c r="M861" s="16">
        <v>1</v>
      </c>
      <c r="N861" s="15">
        <v>0</v>
      </c>
      <c r="O861" s="198">
        <v>0</v>
      </c>
      <c r="P861" s="199"/>
      <c r="Q861" s="14">
        <v>0</v>
      </c>
      <c r="R861" s="200">
        <v>1</v>
      </c>
      <c r="S861" s="201"/>
      <c r="T861" s="6"/>
      <c r="U861" s="6"/>
      <c r="V861" s="7"/>
      <c r="X861" s="1"/>
    </row>
    <row r="862" spans="2:24" ht="21" customHeight="1" x14ac:dyDescent="0.25">
      <c r="B862" s="26" t="s">
        <v>45</v>
      </c>
      <c r="C862" s="26"/>
      <c r="D862" s="26"/>
      <c r="E862" s="25"/>
      <c r="F862" s="25"/>
      <c r="G862" s="25"/>
      <c r="H862" s="25"/>
      <c r="I862" s="25"/>
      <c r="J862" s="25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X862" s="1"/>
    </row>
    <row r="863" spans="2:24" ht="13.5" customHeight="1" x14ac:dyDescent="0.25">
      <c r="B863" s="40" t="s">
        <v>24</v>
      </c>
      <c r="C863" s="40"/>
      <c r="D863" s="40"/>
      <c r="E863" s="25"/>
      <c r="F863" s="25"/>
      <c r="G863" s="25"/>
      <c r="H863" s="25"/>
      <c r="I863" s="25"/>
      <c r="J863" s="25"/>
      <c r="K863" s="28" t="s">
        <v>6</v>
      </c>
      <c r="L863" s="202" t="str">
        <f>IF(F876&lt;&gt;"",$L$5,"")</f>
        <v/>
      </c>
      <c r="M863" s="203"/>
      <c r="N863" s="204" t="s">
        <v>15</v>
      </c>
      <c r="O863" s="204"/>
      <c r="P863" s="204"/>
      <c r="Q863" s="205" t="str">
        <f>IF(F876&lt;&gt;"",$Q$5,"")</f>
        <v/>
      </c>
      <c r="R863" s="206"/>
      <c r="S863" s="207" t="s">
        <v>16</v>
      </c>
      <c r="T863" s="204"/>
      <c r="U863" s="82" t="str">
        <f>IF(F876&lt;&gt;"",$U$5,"")</f>
        <v/>
      </c>
      <c r="V863" s="63"/>
      <c r="X863" s="1"/>
    </row>
    <row r="864" spans="2:24" ht="8.25" customHeight="1" x14ac:dyDescent="0.25"/>
    <row r="865" spans="2:24" ht="11.25" customHeight="1" x14ac:dyDescent="0.25">
      <c r="B865" s="24" t="s">
        <v>17</v>
      </c>
      <c r="C865" s="24"/>
      <c r="D865" s="24"/>
    </row>
    <row r="866" spans="2:24" ht="11.25" customHeight="1" x14ac:dyDescent="0.25">
      <c r="B866" s="8" t="s">
        <v>18</v>
      </c>
      <c r="C866" s="8"/>
      <c r="D866" s="8"/>
    </row>
    <row r="867" spans="2:24" ht="5.25" customHeight="1" x14ac:dyDescent="0.25">
      <c r="B867" s="8"/>
      <c r="C867" s="8"/>
      <c r="D867" s="8"/>
    </row>
    <row r="868" spans="2:24" x14ac:dyDescent="0.25">
      <c r="B868" s="179" t="s">
        <v>19</v>
      </c>
      <c r="C868" s="179"/>
      <c r="D868" s="179"/>
      <c r="E868" s="179"/>
      <c r="F868" s="179"/>
      <c r="G868" s="18" t="s">
        <v>6</v>
      </c>
      <c r="H868" s="64" t="str">
        <f>IF(F876&lt;&gt;"",$H$10,"")</f>
        <v/>
      </c>
      <c r="I868" s="9" t="s">
        <v>15</v>
      </c>
      <c r="J868" s="83" t="str">
        <f>IF(F876&lt;&gt;"",$J$10,"")</f>
        <v/>
      </c>
      <c r="K868" s="9" t="s">
        <v>16</v>
      </c>
      <c r="L868" s="180" t="str">
        <f>IF(F876&lt;&gt;"",$L$10,"")</f>
        <v/>
      </c>
      <c r="M868" s="181"/>
      <c r="X868" s="32"/>
    </row>
    <row r="869" spans="2:24" ht="5.25" customHeight="1" x14ac:dyDescent="0.25">
      <c r="B869" s="8"/>
      <c r="C869" s="8"/>
      <c r="D869" s="8"/>
      <c r="E869" s="8"/>
      <c r="F869" s="8"/>
      <c r="G869" s="19"/>
      <c r="H869" s="20"/>
      <c r="I869" s="21"/>
      <c r="J869" s="20"/>
      <c r="K869" s="10"/>
      <c r="L869" s="22"/>
      <c r="X869" s="32"/>
    </row>
    <row r="870" spans="2:24" s="73" customFormat="1" ht="14.4" customHeight="1" x14ac:dyDescent="0.25">
      <c r="B870" s="72" t="s">
        <v>20</v>
      </c>
      <c r="C870" s="72"/>
      <c r="D870" s="72"/>
      <c r="X870" s="74"/>
    </row>
    <row r="871" spans="2:24" s="73" customFormat="1" ht="14.4" customHeight="1" x14ac:dyDescent="0.25">
      <c r="B871" s="75" t="s">
        <v>21</v>
      </c>
      <c r="C871" s="10"/>
      <c r="D871" s="10"/>
      <c r="E871" s="22" t="s">
        <v>22</v>
      </c>
      <c r="X871" s="74"/>
    </row>
    <row r="872" spans="2:24" s="73" customFormat="1" ht="14.4" customHeight="1" x14ac:dyDescent="0.25">
      <c r="B872" s="22"/>
      <c r="C872" s="22"/>
      <c r="D872" s="22"/>
      <c r="E872" s="22" t="s">
        <v>23</v>
      </c>
      <c r="X872" s="164" t="s">
        <v>102</v>
      </c>
    </row>
    <row r="873" spans="2:24" ht="7.5" customHeight="1" x14ac:dyDescent="0.25">
      <c r="B873" s="8"/>
      <c r="C873" s="8"/>
      <c r="D873" s="8"/>
      <c r="X873" s="164"/>
    </row>
    <row r="874" spans="2:24" ht="17.25" customHeight="1" x14ac:dyDescent="0.25">
      <c r="B874" s="182"/>
      <c r="C874" s="59"/>
      <c r="D874" s="60"/>
      <c r="E874" s="184" t="s">
        <v>0</v>
      </c>
      <c r="F874" s="186" t="s">
        <v>1</v>
      </c>
      <c r="G874" s="187"/>
      <c r="H874" s="4"/>
      <c r="I874" s="4"/>
      <c r="J874" s="4"/>
      <c r="K874" s="5"/>
      <c r="L874" s="145" t="s">
        <v>3</v>
      </c>
      <c r="M874" s="142"/>
      <c r="N874" s="188" t="s">
        <v>10</v>
      </c>
      <c r="O874" s="188"/>
      <c r="P874" s="188"/>
      <c r="Q874" s="188"/>
      <c r="R874" s="188"/>
      <c r="S874" s="188"/>
      <c r="T874" s="188"/>
      <c r="U874" s="189"/>
      <c r="V874" s="3" t="s">
        <v>12</v>
      </c>
      <c r="X874" s="68" t="s">
        <v>200</v>
      </c>
    </row>
    <row r="875" spans="2:24" ht="17.25" customHeight="1" x14ac:dyDescent="0.25">
      <c r="B875" s="183"/>
      <c r="C875" s="61"/>
      <c r="D875" s="62"/>
      <c r="E875" s="185"/>
      <c r="F875" s="30" t="s">
        <v>2</v>
      </c>
      <c r="G875" s="17"/>
      <c r="H875" s="6"/>
      <c r="I875" s="6"/>
      <c r="J875" s="6"/>
      <c r="K875" s="7"/>
      <c r="L875" s="190" t="s">
        <v>4</v>
      </c>
      <c r="M875" s="191"/>
      <c r="N875" s="192" t="s">
        <v>9</v>
      </c>
      <c r="O875" s="192"/>
      <c r="P875" s="192"/>
      <c r="Q875" s="192"/>
      <c r="R875" s="192"/>
      <c r="S875" s="192"/>
      <c r="T875" s="192"/>
      <c r="U875" s="191"/>
      <c r="V875" s="31" t="s">
        <v>11</v>
      </c>
      <c r="X875" s="69"/>
    </row>
    <row r="876" spans="2:24" ht="10.95" customHeight="1" x14ac:dyDescent="0.25">
      <c r="B876" s="41"/>
      <c r="C876" s="51"/>
      <c r="D876" s="42"/>
      <c r="E876" s="154">
        <v>111</v>
      </c>
      <c r="F876" s="145" t="str">
        <f>_xlfn.IFNA(VLOOKUP(E876,'Data Kyu'!$A$6:$I$471,3,0),"")</f>
        <v/>
      </c>
      <c r="G876" s="142"/>
      <c r="H876" s="66"/>
      <c r="I876" s="66"/>
      <c r="J876" s="66"/>
      <c r="K876" s="66"/>
      <c r="L876" s="145" t="str">
        <f>_xlfn.IFNA(VLOOKUP(E876,'Data Kyu'!$A$6:$I$471,9,0),"")</f>
        <v/>
      </c>
      <c r="M876" s="142"/>
      <c r="N876" s="145" t="str">
        <f>_xlfn.IFNA(VLOOKUP(E876,'Data Kyu'!$A$6:$I$471,6,0),"")</f>
        <v/>
      </c>
      <c r="O876" s="141"/>
      <c r="P876" s="139" t="s">
        <v>5</v>
      </c>
      <c r="Q876" s="141" t="str">
        <f>_xlfn.IFNA(VLOOKUP(E876,'Data Kyu'!$A$6:$I$471,7,0),"")</f>
        <v/>
      </c>
      <c r="R876" s="141"/>
      <c r="S876" s="139" t="s">
        <v>5</v>
      </c>
      <c r="T876" s="141" t="str">
        <f>_xlfn.IFNA(VLOOKUP(E876,'Data Kyu'!$A$6:$I$471,8,0),"")</f>
        <v/>
      </c>
      <c r="U876" s="142"/>
      <c r="V876" s="142" t="str">
        <f>_xlfn.IFNA(VLOOKUP(E876,'Data Kyu'!$A$6:$I$471,4,0),"")</f>
        <v/>
      </c>
      <c r="X876" s="214" t="str">
        <f>_xlfn.IFNA(VLOOKUP(F876,'Data Kyu'!$C$6:$N$997,12,0),"No Data")</f>
        <v>No Data</v>
      </c>
    </row>
    <row r="877" spans="2:24" ht="10.95" customHeight="1" x14ac:dyDescent="0.25">
      <c r="B877" s="52"/>
      <c r="C877" s="165" t="str">
        <f>IF(X876="LULUS","V","")</f>
        <v/>
      </c>
      <c r="D877" s="53"/>
      <c r="E877" s="155"/>
      <c r="F877" s="148"/>
      <c r="G877" s="144"/>
      <c r="H877" s="67"/>
      <c r="I877" s="67"/>
      <c r="J877" s="67"/>
      <c r="K877" s="67"/>
      <c r="L877" s="146"/>
      <c r="M877" s="147"/>
      <c r="N877" s="148"/>
      <c r="O877" s="143"/>
      <c r="P877" s="140"/>
      <c r="Q877" s="143"/>
      <c r="R877" s="143"/>
      <c r="S877" s="140"/>
      <c r="T877" s="143"/>
      <c r="U877" s="144"/>
      <c r="V877" s="147"/>
      <c r="X877" s="214"/>
    </row>
    <row r="878" spans="2:24" ht="10.95" customHeight="1" x14ac:dyDescent="0.25">
      <c r="B878" s="52"/>
      <c r="C878" s="166"/>
      <c r="D878" s="53"/>
      <c r="E878" s="155"/>
      <c r="F878" s="167" t="str">
        <f>_xlfn.IFNA(VLOOKUP(E876,'Data Kyu'!$A$6:$I$471,2,0),"")</f>
        <v/>
      </c>
      <c r="G878" s="168"/>
      <c r="H878" s="168"/>
      <c r="I878" s="168"/>
      <c r="J878" s="168"/>
      <c r="K878" s="169"/>
      <c r="L878" s="146"/>
      <c r="M878" s="147"/>
      <c r="N878" s="173" t="s">
        <v>6</v>
      </c>
      <c r="O878" s="159"/>
      <c r="P878" s="57"/>
      <c r="Q878" s="159" t="s">
        <v>7</v>
      </c>
      <c r="R878" s="159"/>
      <c r="S878" s="57"/>
      <c r="T878" s="159" t="s">
        <v>8</v>
      </c>
      <c r="U878" s="160"/>
      <c r="V878" s="175"/>
      <c r="X878" s="214"/>
    </row>
    <row r="879" spans="2:24" ht="10.95" customHeight="1" x14ac:dyDescent="0.25">
      <c r="B879" s="54"/>
      <c r="C879" s="76"/>
      <c r="D879" s="56"/>
      <c r="E879" s="156"/>
      <c r="F879" s="170"/>
      <c r="G879" s="171"/>
      <c r="H879" s="171"/>
      <c r="I879" s="171"/>
      <c r="J879" s="171"/>
      <c r="K879" s="172"/>
      <c r="L879" s="148"/>
      <c r="M879" s="144"/>
      <c r="N879" s="174"/>
      <c r="O879" s="161"/>
      <c r="P879" s="27"/>
      <c r="Q879" s="161"/>
      <c r="R879" s="161"/>
      <c r="S879" s="27"/>
      <c r="T879" s="161"/>
      <c r="U879" s="162"/>
      <c r="V879" s="176"/>
      <c r="X879" s="214"/>
    </row>
    <row r="880" spans="2:24" ht="10.95" customHeight="1" x14ac:dyDescent="0.25">
      <c r="B880" s="41"/>
      <c r="C880" s="77"/>
      <c r="D880" s="42"/>
      <c r="E880" s="154">
        <f>E876+1</f>
        <v>112</v>
      </c>
      <c r="F880" s="145" t="str">
        <f>_xlfn.IFNA(VLOOKUP(E880,'Data Kyu'!$A$6:$I$471,3,0),"")</f>
        <v/>
      </c>
      <c r="G880" s="142"/>
      <c r="H880" s="66"/>
      <c r="I880" s="66"/>
      <c r="J880" s="66"/>
      <c r="K880" s="66"/>
      <c r="L880" s="145" t="str">
        <f>_xlfn.IFNA(VLOOKUP(E880,'Data Kyu'!$A$6:$I$471,9,0),"")</f>
        <v/>
      </c>
      <c r="M880" s="142"/>
      <c r="N880" s="145" t="str">
        <f>_xlfn.IFNA(VLOOKUP(E880,'Data Kyu'!$A$6:$I$471,6,0),"")</f>
        <v/>
      </c>
      <c r="O880" s="141"/>
      <c r="P880" s="139" t="s">
        <v>5</v>
      </c>
      <c r="Q880" s="141" t="str">
        <f>_xlfn.IFNA(VLOOKUP(E880,'Data Kyu'!$A$6:$I$471,7,0),"")</f>
        <v/>
      </c>
      <c r="R880" s="141"/>
      <c r="S880" s="139" t="s">
        <v>5</v>
      </c>
      <c r="T880" s="141" t="str">
        <f>_xlfn.IFNA(VLOOKUP(E880,'Data Kyu'!$A$6:$I$471,8,0),"")</f>
        <v/>
      </c>
      <c r="U880" s="142"/>
      <c r="V880" s="142" t="str">
        <f>_xlfn.IFNA(VLOOKUP(E880,'Data Kyu'!$A$6:$I$471,4,0),"")</f>
        <v/>
      </c>
      <c r="X880" s="214" t="str">
        <f>_xlfn.IFNA(VLOOKUP(F880,'Data Kyu'!$C$6:$N$997,12,0),"No Data")</f>
        <v>No Data</v>
      </c>
    </row>
    <row r="881" spans="2:24" ht="10.95" customHeight="1" x14ac:dyDescent="0.25">
      <c r="B881" s="52"/>
      <c r="C881" s="165" t="str">
        <f>IF(X880="LULUS","V","")</f>
        <v/>
      </c>
      <c r="D881" s="53"/>
      <c r="E881" s="155"/>
      <c r="F881" s="148"/>
      <c r="G881" s="144"/>
      <c r="H881" s="67"/>
      <c r="I881" s="67"/>
      <c r="J881" s="67"/>
      <c r="K881" s="67"/>
      <c r="L881" s="146"/>
      <c r="M881" s="147"/>
      <c r="N881" s="148"/>
      <c r="O881" s="143"/>
      <c r="P881" s="140"/>
      <c r="Q881" s="143"/>
      <c r="R881" s="143"/>
      <c r="S881" s="140"/>
      <c r="T881" s="143"/>
      <c r="U881" s="144"/>
      <c r="V881" s="147"/>
      <c r="X881" s="214"/>
    </row>
    <row r="882" spans="2:24" ht="10.95" customHeight="1" x14ac:dyDescent="0.25">
      <c r="B882" s="52"/>
      <c r="C882" s="166"/>
      <c r="D882" s="53"/>
      <c r="E882" s="155"/>
      <c r="F882" s="167" t="str">
        <f>_xlfn.IFNA(VLOOKUP(E880,'Data Kyu'!$A$6:$I$471,2,0),"")</f>
        <v/>
      </c>
      <c r="G882" s="168"/>
      <c r="H882" s="168"/>
      <c r="I882" s="168"/>
      <c r="J882" s="168"/>
      <c r="K882" s="169"/>
      <c r="L882" s="146"/>
      <c r="M882" s="147"/>
      <c r="N882" s="173" t="s">
        <v>6</v>
      </c>
      <c r="O882" s="159"/>
      <c r="P882" s="57"/>
      <c r="Q882" s="159" t="s">
        <v>7</v>
      </c>
      <c r="R882" s="159"/>
      <c r="S882" s="57"/>
      <c r="T882" s="159" t="s">
        <v>8</v>
      </c>
      <c r="U882" s="160"/>
      <c r="V882" s="175"/>
      <c r="X882" s="214"/>
    </row>
    <row r="883" spans="2:24" ht="10.95" customHeight="1" x14ac:dyDescent="0.25">
      <c r="B883" s="54"/>
      <c r="C883" s="76"/>
      <c r="D883" s="56"/>
      <c r="E883" s="156"/>
      <c r="F883" s="170"/>
      <c r="G883" s="171"/>
      <c r="H883" s="171"/>
      <c r="I883" s="171"/>
      <c r="J883" s="171"/>
      <c r="K883" s="172"/>
      <c r="L883" s="148"/>
      <c r="M883" s="144"/>
      <c r="N883" s="174"/>
      <c r="O883" s="161"/>
      <c r="P883" s="27"/>
      <c r="Q883" s="161"/>
      <c r="R883" s="161"/>
      <c r="S883" s="27"/>
      <c r="T883" s="161"/>
      <c r="U883" s="162"/>
      <c r="V883" s="176"/>
      <c r="X883" s="214"/>
    </row>
    <row r="884" spans="2:24" ht="10.95" customHeight="1" x14ac:dyDescent="0.25">
      <c r="B884" s="41"/>
      <c r="C884" s="77"/>
      <c r="D884" s="42"/>
      <c r="E884" s="154">
        <f t="shared" ref="E884" si="8">E880+1</f>
        <v>113</v>
      </c>
      <c r="F884" s="145" t="str">
        <f>_xlfn.IFNA(VLOOKUP(E884,'Data Kyu'!$A$6:$I$471,3,0),"")</f>
        <v/>
      </c>
      <c r="G884" s="142"/>
      <c r="H884" s="66"/>
      <c r="I884" s="66"/>
      <c r="J884" s="66"/>
      <c r="K884" s="66"/>
      <c r="L884" s="145" t="str">
        <f>_xlfn.IFNA(VLOOKUP(E884,'Data Kyu'!$A$6:$I$471,9,0),"")</f>
        <v/>
      </c>
      <c r="M884" s="142"/>
      <c r="N884" s="145" t="str">
        <f>_xlfn.IFNA(VLOOKUP(E884,'Data Kyu'!$A$6:$I$471,6,0),"")</f>
        <v/>
      </c>
      <c r="O884" s="141"/>
      <c r="P884" s="139" t="s">
        <v>5</v>
      </c>
      <c r="Q884" s="141" t="str">
        <f>_xlfn.IFNA(VLOOKUP(E884,'Data Kyu'!$A$6:$I$471,7,0),"")</f>
        <v/>
      </c>
      <c r="R884" s="141"/>
      <c r="S884" s="139" t="s">
        <v>5</v>
      </c>
      <c r="T884" s="141" t="str">
        <f>_xlfn.IFNA(VLOOKUP(E884,'Data Kyu'!$A$6:$I$471,8,0),"")</f>
        <v/>
      </c>
      <c r="U884" s="142"/>
      <c r="V884" s="142" t="str">
        <f>_xlfn.IFNA(VLOOKUP(E884,'Data Kyu'!$A$6:$I$471,4,0),"")</f>
        <v/>
      </c>
      <c r="X884" s="214" t="str">
        <f>_xlfn.IFNA(VLOOKUP(F884,'Data Kyu'!$C$6:$N$997,12,0),"No Data")</f>
        <v>No Data</v>
      </c>
    </row>
    <row r="885" spans="2:24" ht="10.95" customHeight="1" x14ac:dyDescent="0.25">
      <c r="B885" s="52"/>
      <c r="C885" s="165" t="str">
        <f>IF(X884="LULUS","V","")</f>
        <v/>
      </c>
      <c r="D885" s="53"/>
      <c r="E885" s="155"/>
      <c r="F885" s="148"/>
      <c r="G885" s="144"/>
      <c r="H885" s="67"/>
      <c r="I885" s="67"/>
      <c r="J885" s="67"/>
      <c r="K885" s="67"/>
      <c r="L885" s="146"/>
      <c r="M885" s="147"/>
      <c r="N885" s="148"/>
      <c r="O885" s="143"/>
      <c r="P885" s="140"/>
      <c r="Q885" s="143"/>
      <c r="R885" s="143"/>
      <c r="S885" s="140"/>
      <c r="T885" s="143"/>
      <c r="U885" s="144"/>
      <c r="V885" s="147"/>
      <c r="X885" s="214"/>
    </row>
    <row r="886" spans="2:24" ht="10.95" customHeight="1" x14ac:dyDescent="0.25">
      <c r="B886" s="52"/>
      <c r="C886" s="166"/>
      <c r="D886" s="53"/>
      <c r="E886" s="155"/>
      <c r="F886" s="167" t="str">
        <f>_xlfn.IFNA(VLOOKUP(E884,'Data Kyu'!$A$6:$I$471,2,0),"")</f>
        <v/>
      </c>
      <c r="G886" s="168"/>
      <c r="H886" s="168"/>
      <c r="I886" s="168"/>
      <c r="J886" s="168"/>
      <c r="K886" s="169"/>
      <c r="L886" s="146"/>
      <c r="M886" s="147"/>
      <c r="N886" s="173" t="s">
        <v>6</v>
      </c>
      <c r="O886" s="159"/>
      <c r="P886" s="57"/>
      <c r="Q886" s="159" t="s">
        <v>7</v>
      </c>
      <c r="R886" s="159"/>
      <c r="S886" s="57"/>
      <c r="T886" s="159" t="s">
        <v>8</v>
      </c>
      <c r="U886" s="160"/>
      <c r="V886" s="175"/>
      <c r="X886" s="214"/>
    </row>
    <row r="887" spans="2:24" ht="10.95" customHeight="1" x14ac:dyDescent="0.25">
      <c r="B887" s="54"/>
      <c r="C887" s="76"/>
      <c r="D887" s="56"/>
      <c r="E887" s="156"/>
      <c r="F887" s="170"/>
      <c r="G887" s="171"/>
      <c r="H887" s="171"/>
      <c r="I887" s="171"/>
      <c r="J887" s="171"/>
      <c r="K887" s="172"/>
      <c r="L887" s="148"/>
      <c r="M887" s="144"/>
      <c r="N887" s="174"/>
      <c r="O887" s="161"/>
      <c r="P887" s="27"/>
      <c r="Q887" s="161"/>
      <c r="R887" s="161"/>
      <c r="S887" s="27"/>
      <c r="T887" s="161"/>
      <c r="U887" s="162"/>
      <c r="V887" s="176"/>
      <c r="X887" s="214"/>
    </row>
    <row r="888" spans="2:24" ht="10.95" customHeight="1" x14ac:dyDescent="0.25">
      <c r="B888" s="41"/>
      <c r="C888" s="77"/>
      <c r="D888" s="42"/>
      <c r="E888" s="154">
        <f t="shared" ref="E888" si="9">E884+1</f>
        <v>114</v>
      </c>
      <c r="F888" s="145" t="str">
        <f>_xlfn.IFNA(VLOOKUP(E888,'Data Kyu'!$A$6:$I$471,3,0),"")</f>
        <v/>
      </c>
      <c r="G888" s="142"/>
      <c r="H888" s="66"/>
      <c r="I888" s="66"/>
      <c r="J888" s="66"/>
      <c r="K888" s="66"/>
      <c r="L888" s="145" t="str">
        <f>_xlfn.IFNA(VLOOKUP(E888,'Data Kyu'!$A$6:$I$471,9,0),"")</f>
        <v/>
      </c>
      <c r="M888" s="142"/>
      <c r="N888" s="145" t="str">
        <f>_xlfn.IFNA(VLOOKUP(E888,'Data Kyu'!$A$6:$I$471,6,0),"")</f>
        <v/>
      </c>
      <c r="O888" s="141"/>
      <c r="P888" s="139" t="s">
        <v>5</v>
      </c>
      <c r="Q888" s="141" t="str">
        <f>_xlfn.IFNA(VLOOKUP(E888,'Data Kyu'!$A$6:$I$471,7,0),"")</f>
        <v/>
      </c>
      <c r="R888" s="141"/>
      <c r="S888" s="139" t="s">
        <v>5</v>
      </c>
      <c r="T888" s="141" t="str">
        <f>_xlfn.IFNA(VLOOKUP(E888,'Data Kyu'!$A$6:$I$471,8,0),"")</f>
        <v/>
      </c>
      <c r="U888" s="142"/>
      <c r="V888" s="142" t="str">
        <f>_xlfn.IFNA(VLOOKUP(E888,'Data Kyu'!$A$6:$I$471,4,0),"")</f>
        <v/>
      </c>
      <c r="X888" s="214" t="str">
        <f>_xlfn.IFNA(VLOOKUP(F888,'Data Kyu'!$C$6:$N$997,12,0),"No Data")</f>
        <v>No Data</v>
      </c>
    </row>
    <row r="889" spans="2:24" ht="10.95" customHeight="1" x14ac:dyDescent="0.25">
      <c r="B889" s="52"/>
      <c r="C889" s="165" t="str">
        <f>IF(X888="LULUS","V","")</f>
        <v/>
      </c>
      <c r="D889" s="53"/>
      <c r="E889" s="155"/>
      <c r="F889" s="148"/>
      <c r="G889" s="144"/>
      <c r="H889" s="67"/>
      <c r="I889" s="67"/>
      <c r="J889" s="67"/>
      <c r="K889" s="67"/>
      <c r="L889" s="146"/>
      <c r="M889" s="147"/>
      <c r="N889" s="148"/>
      <c r="O889" s="143"/>
      <c r="P889" s="140"/>
      <c r="Q889" s="143"/>
      <c r="R889" s="143"/>
      <c r="S889" s="140"/>
      <c r="T889" s="143"/>
      <c r="U889" s="144"/>
      <c r="V889" s="147"/>
      <c r="X889" s="214"/>
    </row>
    <row r="890" spans="2:24" ht="10.95" customHeight="1" x14ac:dyDescent="0.25">
      <c r="B890" s="52"/>
      <c r="C890" s="166"/>
      <c r="D890" s="53"/>
      <c r="E890" s="155"/>
      <c r="F890" s="167" t="str">
        <f>_xlfn.IFNA(VLOOKUP(E888,'Data Kyu'!$A$6:$I$471,2,0),"")</f>
        <v/>
      </c>
      <c r="G890" s="168"/>
      <c r="H890" s="168"/>
      <c r="I890" s="168"/>
      <c r="J890" s="168"/>
      <c r="K890" s="169"/>
      <c r="L890" s="146"/>
      <c r="M890" s="147"/>
      <c r="N890" s="173" t="s">
        <v>6</v>
      </c>
      <c r="O890" s="159"/>
      <c r="P890" s="57"/>
      <c r="Q890" s="159" t="s">
        <v>7</v>
      </c>
      <c r="R890" s="159"/>
      <c r="S890" s="57"/>
      <c r="T890" s="159" t="s">
        <v>8</v>
      </c>
      <c r="U890" s="160"/>
      <c r="V890" s="175"/>
      <c r="X890" s="214"/>
    </row>
    <row r="891" spans="2:24" ht="10.95" customHeight="1" x14ac:dyDescent="0.25">
      <c r="B891" s="54"/>
      <c r="C891" s="76"/>
      <c r="D891" s="56"/>
      <c r="E891" s="156"/>
      <c r="F891" s="170"/>
      <c r="G891" s="171"/>
      <c r="H891" s="171"/>
      <c r="I891" s="171"/>
      <c r="J891" s="171"/>
      <c r="K891" s="172"/>
      <c r="L891" s="148"/>
      <c r="M891" s="144"/>
      <c r="N891" s="174"/>
      <c r="O891" s="161"/>
      <c r="P891" s="27"/>
      <c r="Q891" s="161"/>
      <c r="R891" s="161"/>
      <c r="S891" s="27"/>
      <c r="T891" s="161"/>
      <c r="U891" s="162"/>
      <c r="V891" s="176"/>
      <c r="X891" s="214"/>
    </row>
    <row r="892" spans="2:24" ht="10.95" customHeight="1" x14ac:dyDescent="0.25">
      <c r="B892" s="41"/>
      <c r="C892" s="77"/>
      <c r="D892" s="42"/>
      <c r="E892" s="154">
        <f t="shared" ref="E892" si="10">E888+1</f>
        <v>115</v>
      </c>
      <c r="F892" s="145" t="str">
        <f>_xlfn.IFNA(VLOOKUP(E892,'Data Kyu'!$A$6:$I$471,3,0),"")</f>
        <v/>
      </c>
      <c r="G892" s="142"/>
      <c r="H892" s="66"/>
      <c r="I892" s="66"/>
      <c r="J892" s="66"/>
      <c r="K892" s="66"/>
      <c r="L892" s="145" t="str">
        <f>_xlfn.IFNA(VLOOKUP(E892,'Data Kyu'!$A$6:$I$471,9,0),"")</f>
        <v/>
      </c>
      <c r="M892" s="142"/>
      <c r="N892" s="145" t="str">
        <f>_xlfn.IFNA(VLOOKUP(E892,'Data Kyu'!$A$6:$I$471,6,0),"")</f>
        <v/>
      </c>
      <c r="O892" s="141"/>
      <c r="P892" s="139" t="s">
        <v>5</v>
      </c>
      <c r="Q892" s="141" t="str">
        <f>_xlfn.IFNA(VLOOKUP(E892,'Data Kyu'!$A$6:$I$471,7,0),"")</f>
        <v/>
      </c>
      <c r="R892" s="141"/>
      <c r="S892" s="139" t="s">
        <v>5</v>
      </c>
      <c r="T892" s="141" t="str">
        <f>_xlfn.IFNA(VLOOKUP(E892,'Data Kyu'!$A$6:$I$471,8,0),"")</f>
        <v/>
      </c>
      <c r="U892" s="142"/>
      <c r="V892" s="142" t="str">
        <f>_xlfn.IFNA(VLOOKUP(E892,'Data Kyu'!$A$6:$I$471,4,0),"")</f>
        <v/>
      </c>
      <c r="X892" s="214" t="str">
        <f>_xlfn.IFNA(VLOOKUP(F892,'Data Kyu'!$C$6:$N$997,12,0),"No Data")</f>
        <v>No Data</v>
      </c>
    </row>
    <row r="893" spans="2:24" ht="10.95" customHeight="1" x14ac:dyDescent="0.25">
      <c r="B893" s="52"/>
      <c r="C893" s="165" t="str">
        <f>IF(X892="LULUS","V","")</f>
        <v/>
      </c>
      <c r="D893" s="53"/>
      <c r="E893" s="155"/>
      <c r="F893" s="148"/>
      <c r="G893" s="144"/>
      <c r="H893" s="67"/>
      <c r="I893" s="67"/>
      <c r="J893" s="67"/>
      <c r="K893" s="67"/>
      <c r="L893" s="146"/>
      <c r="M893" s="147"/>
      <c r="N893" s="148"/>
      <c r="O893" s="143"/>
      <c r="P893" s="140"/>
      <c r="Q893" s="143"/>
      <c r="R893" s="143"/>
      <c r="S893" s="140"/>
      <c r="T893" s="143"/>
      <c r="U893" s="144"/>
      <c r="V893" s="147"/>
      <c r="X893" s="214"/>
    </row>
    <row r="894" spans="2:24" ht="10.95" customHeight="1" x14ac:dyDescent="0.25">
      <c r="B894" s="52"/>
      <c r="C894" s="166"/>
      <c r="D894" s="53"/>
      <c r="E894" s="155"/>
      <c r="F894" s="167" t="str">
        <f>_xlfn.IFNA(VLOOKUP(E892,'Data Kyu'!$A$6:$I$471,2,0),"")</f>
        <v/>
      </c>
      <c r="G894" s="168"/>
      <c r="H894" s="168"/>
      <c r="I894" s="168"/>
      <c r="J894" s="168"/>
      <c r="K894" s="169"/>
      <c r="L894" s="146"/>
      <c r="M894" s="147"/>
      <c r="N894" s="173" t="s">
        <v>6</v>
      </c>
      <c r="O894" s="159"/>
      <c r="P894" s="57"/>
      <c r="Q894" s="159" t="s">
        <v>7</v>
      </c>
      <c r="R894" s="159"/>
      <c r="S894" s="57"/>
      <c r="T894" s="159" t="s">
        <v>8</v>
      </c>
      <c r="U894" s="160"/>
      <c r="V894" s="175"/>
      <c r="X894" s="214"/>
    </row>
    <row r="895" spans="2:24" ht="10.95" customHeight="1" x14ac:dyDescent="0.25">
      <c r="B895" s="54"/>
      <c r="C895" s="76"/>
      <c r="D895" s="56"/>
      <c r="E895" s="156"/>
      <c r="F895" s="170"/>
      <c r="G895" s="171"/>
      <c r="H895" s="171"/>
      <c r="I895" s="171"/>
      <c r="J895" s="171"/>
      <c r="K895" s="172"/>
      <c r="L895" s="148"/>
      <c r="M895" s="144"/>
      <c r="N895" s="174"/>
      <c r="O895" s="161"/>
      <c r="P895" s="27"/>
      <c r="Q895" s="161"/>
      <c r="R895" s="161"/>
      <c r="S895" s="27"/>
      <c r="T895" s="161"/>
      <c r="U895" s="162"/>
      <c r="V895" s="176"/>
      <c r="X895" s="214"/>
    </row>
    <row r="896" spans="2:24" ht="10.95" customHeight="1" x14ac:dyDescent="0.25">
      <c r="B896" s="41"/>
      <c r="C896" s="77"/>
      <c r="D896" s="42"/>
      <c r="E896" s="154">
        <f t="shared" ref="E896" si="11">E892+1</f>
        <v>116</v>
      </c>
      <c r="F896" s="145" t="str">
        <f>_xlfn.IFNA(VLOOKUP(E896,'Data Kyu'!$A$6:$I$471,3,0),"")</f>
        <v/>
      </c>
      <c r="G896" s="142"/>
      <c r="H896" s="66"/>
      <c r="I896" s="66"/>
      <c r="J896" s="66"/>
      <c r="K896" s="66"/>
      <c r="L896" s="145" t="str">
        <f>_xlfn.IFNA(VLOOKUP(E896,'Data Kyu'!$A$6:$I$471,9,0),"")</f>
        <v/>
      </c>
      <c r="M896" s="142"/>
      <c r="N896" s="145" t="str">
        <f>_xlfn.IFNA(VLOOKUP(E896,'Data Kyu'!$A$6:$I$471,6,0),"")</f>
        <v/>
      </c>
      <c r="O896" s="141"/>
      <c r="P896" s="139" t="s">
        <v>5</v>
      </c>
      <c r="Q896" s="141" t="str">
        <f>_xlfn.IFNA(VLOOKUP(E896,'Data Kyu'!$A$6:$I$471,7,0),"")</f>
        <v/>
      </c>
      <c r="R896" s="141"/>
      <c r="S896" s="139" t="s">
        <v>5</v>
      </c>
      <c r="T896" s="141" t="str">
        <f>_xlfn.IFNA(VLOOKUP(E896,'Data Kyu'!$A$6:$I$471,8,0),"")</f>
        <v/>
      </c>
      <c r="U896" s="142"/>
      <c r="V896" s="142" t="str">
        <f>_xlfn.IFNA(VLOOKUP(E896,'Data Kyu'!$A$6:$I$471,4,0),"")</f>
        <v/>
      </c>
      <c r="X896" s="214" t="str">
        <f>_xlfn.IFNA(VLOOKUP(F896,'Data Kyu'!$C$6:$N$997,12,0),"No Data")</f>
        <v>No Data</v>
      </c>
    </row>
    <row r="897" spans="2:24" ht="10.95" customHeight="1" x14ac:dyDescent="0.25">
      <c r="B897" s="52"/>
      <c r="C897" s="165" t="str">
        <f>IF(X896="LULUS","V","")</f>
        <v/>
      </c>
      <c r="D897" s="53"/>
      <c r="E897" s="155"/>
      <c r="F897" s="148"/>
      <c r="G897" s="144"/>
      <c r="H897" s="67"/>
      <c r="I897" s="67"/>
      <c r="J897" s="67"/>
      <c r="K897" s="67"/>
      <c r="L897" s="146"/>
      <c r="M897" s="147"/>
      <c r="N897" s="148"/>
      <c r="O897" s="143"/>
      <c r="P897" s="140"/>
      <c r="Q897" s="143"/>
      <c r="R897" s="143"/>
      <c r="S897" s="140"/>
      <c r="T897" s="143"/>
      <c r="U897" s="144"/>
      <c r="V897" s="147"/>
      <c r="X897" s="214"/>
    </row>
    <row r="898" spans="2:24" ht="10.95" customHeight="1" x14ac:dyDescent="0.25">
      <c r="B898" s="52"/>
      <c r="C898" s="166"/>
      <c r="D898" s="53"/>
      <c r="E898" s="155"/>
      <c r="F898" s="167" t="str">
        <f>_xlfn.IFNA(VLOOKUP(E896,'Data Kyu'!$A$6:$I$471,2,0),"")</f>
        <v/>
      </c>
      <c r="G898" s="168"/>
      <c r="H898" s="168"/>
      <c r="I898" s="168"/>
      <c r="J898" s="168"/>
      <c r="K898" s="169"/>
      <c r="L898" s="146"/>
      <c r="M898" s="147"/>
      <c r="N898" s="173" t="s">
        <v>6</v>
      </c>
      <c r="O898" s="159"/>
      <c r="P898" s="57"/>
      <c r="Q898" s="159" t="s">
        <v>7</v>
      </c>
      <c r="R898" s="159"/>
      <c r="S898" s="57"/>
      <c r="T898" s="159" t="s">
        <v>8</v>
      </c>
      <c r="U898" s="160"/>
      <c r="V898" s="175"/>
      <c r="X898" s="214"/>
    </row>
    <row r="899" spans="2:24" ht="10.95" customHeight="1" x14ac:dyDescent="0.25">
      <c r="B899" s="54"/>
      <c r="C899" s="76"/>
      <c r="D899" s="56"/>
      <c r="E899" s="156"/>
      <c r="F899" s="170"/>
      <c r="G899" s="171"/>
      <c r="H899" s="171"/>
      <c r="I899" s="171"/>
      <c r="J899" s="171"/>
      <c r="K899" s="172"/>
      <c r="L899" s="148"/>
      <c r="M899" s="144"/>
      <c r="N899" s="174"/>
      <c r="O899" s="161"/>
      <c r="P899" s="27"/>
      <c r="Q899" s="161"/>
      <c r="R899" s="161"/>
      <c r="S899" s="27"/>
      <c r="T899" s="161"/>
      <c r="U899" s="162"/>
      <c r="V899" s="176"/>
      <c r="X899" s="214"/>
    </row>
    <row r="900" spans="2:24" ht="10.95" customHeight="1" x14ac:dyDescent="0.25">
      <c r="B900" s="41"/>
      <c r="C900" s="77"/>
      <c r="D900" s="42"/>
      <c r="E900" s="154">
        <f t="shared" ref="E900" si="12">E896+1</f>
        <v>117</v>
      </c>
      <c r="F900" s="145" t="str">
        <f>_xlfn.IFNA(VLOOKUP(E900,'Data Kyu'!$A$6:$I$471,3,0),"")</f>
        <v/>
      </c>
      <c r="G900" s="142"/>
      <c r="H900" s="66"/>
      <c r="I900" s="66"/>
      <c r="J900" s="66"/>
      <c r="K900" s="66"/>
      <c r="L900" s="145" t="str">
        <f>_xlfn.IFNA(VLOOKUP(E900,'Data Kyu'!$A$6:$I$471,9,0),"")</f>
        <v/>
      </c>
      <c r="M900" s="142"/>
      <c r="N900" s="145" t="str">
        <f>_xlfn.IFNA(VLOOKUP(E900,'Data Kyu'!$A$6:$I$471,6,0),"")</f>
        <v/>
      </c>
      <c r="O900" s="141"/>
      <c r="P900" s="139" t="s">
        <v>5</v>
      </c>
      <c r="Q900" s="141" t="str">
        <f>_xlfn.IFNA(VLOOKUP(E900,'Data Kyu'!$A$6:$I$471,7,0),"")</f>
        <v/>
      </c>
      <c r="R900" s="141"/>
      <c r="S900" s="139" t="s">
        <v>5</v>
      </c>
      <c r="T900" s="141" t="str">
        <f>_xlfn.IFNA(VLOOKUP(E900,'Data Kyu'!$A$6:$I$471,8,0),"")</f>
        <v/>
      </c>
      <c r="U900" s="142"/>
      <c r="V900" s="142" t="str">
        <f>_xlfn.IFNA(VLOOKUP(E900,'Data Kyu'!$A$6:$I$471,4,0),"")</f>
        <v/>
      </c>
      <c r="X900" s="214" t="str">
        <f>_xlfn.IFNA(VLOOKUP(F900,'Data Kyu'!$C$6:$N$997,12,0),"No Data")</f>
        <v>No Data</v>
      </c>
    </row>
    <row r="901" spans="2:24" ht="10.95" customHeight="1" x14ac:dyDescent="0.25">
      <c r="B901" s="52"/>
      <c r="C901" s="165" t="str">
        <f>IF(X900="LULUS","V","")</f>
        <v/>
      </c>
      <c r="D901" s="53"/>
      <c r="E901" s="155"/>
      <c r="F901" s="148"/>
      <c r="G901" s="144"/>
      <c r="H901" s="67"/>
      <c r="I901" s="67"/>
      <c r="J901" s="67"/>
      <c r="K901" s="67"/>
      <c r="L901" s="146"/>
      <c r="M901" s="147"/>
      <c r="N901" s="148"/>
      <c r="O901" s="143"/>
      <c r="P901" s="140"/>
      <c r="Q901" s="143"/>
      <c r="R901" s="143"/>
      <c r="S901" s="140"/>
      <c r="T901" s="143"/>
      <c r="U901" s="144"/>
      <c r="V901" s="147"/>
      <c r="X901" s="214"/>
    </row>
    <row r="902" spans="2:24" ht="10.95" customHeight="1" x14ac:dyDescent="0.25">
      <c r="B902" s="52"/>
      <c r="C902" s="166"/>
      <c r="D902" s="53"/>
      <c r="E902" s="155"/>
      <c r="F902" s="167" t="str">
        <f>_xlfn.IFNA(VLOOKUP(E900,'Data Kyu'!$A$6:$I$471,2,0),"")</f>
        <v/>
      </c>
      <c r="G902" s="168"/>
      <c r="H902" s="168"/>
      <c r="I902" s="168"/>
      <c r="J902" s="168"/>
      <c r="K902" s="169"/>
      <c r="L902" s="146"/>
      <c r="M902" s="147"/>
      <c r="N902" s="173" t="s">
        <v>6</v>
      </c>
      <c r="O902" s="159"/>
      <c r="P902" s="57"/>
      <c r="Q902" s="159" t="s">
        <v>7</v>
      </c>
      <c r="R902" s="159"/>
      <c r="S902" s="57"/>
      <c r="T902" s="159" t="s">
        <v>8</v>
      </c>
      <c r="U902" s="160"/>
      <c r="V902" s="175"/>
      <c r="X902" s="214"/>
    </row>
    <row r="903" spans="2:24" ht="10.95" customHeight="1" x14ac:dyDescent="0.25">
      <c r="B903" s="54"/>
      <c r="C903" s="76"/>
      <c r="D903" s="56"/>
      <c r="E903" s="156"/>
      <c r="F903" s="170"/>
      <c r="G903" s="171"/>
      <c r="H903" s="171"/>
      <c r="I903" s="171"/>
      <c r="J903" s="171"/>
      <c r="K903" s="172"/>
      <c r="L903" s="148"/>
      <c r="M903" s="144"/>
      <c r="N903" s="174"/>
      <c r="O903" s="161"/>
      <c r="P903" s="27"/>
      <c r="Q903" s="161"/>
      <c r="R903" s="161"/>
      <c r="S903" s="27"/>
      <c r="T903" s="161"/>
      <c r="U903" s="162"/>
      <c r="V903" s="176"/>
      <c r="X903" s="214"/>
    </row>
    <row r="904" spans="2:24" ht="10.95" customHeight="1" x14ac:dyDescent="0.25">
      <c r="B904" s="41"/>
      <c r="C904" s="77"/>
      <c r="D904" s="42"/>
      <c r="E904" s="154">
        <f t="shared" ref="E904" si="13">E900+1</f>
        <v>118</v>
      </c>
      <c r="F904" s="145" t="str">
        <f>_xlfn.IFNA(VLOOKUP(E904,'Data Kyu'!$A$6:$I$471,3,0),"")</f>
        <v/>
      </c>
      <c r="G904" s="142"/>
      <c r="H904" s="66"/>
      <c r="I904" s="66"/>
      <c r="J904" s="66"/>
      <c r="K904" s="66"/>
      <c r="L904" s="145" t="str">
        <f>_xlfn.IFNA(VLOOKUP(E904,'Data Kyu'!$A$6:$I$471,9,0),"")</f>
        <v/>
      </c>
      <c r="M904" s="142"/>
      <c r="N904" s="145" t="str">
        <f>_xlfn.IFNA(VLOOKUP(E904,'Data Kyu'!$A$6:$I$471,6,0),"")</f>
        <v/>
      </c>
      <c r="O904" s="141"/>
      <c r="P904" s="139" t="s">
        <v>5</v>
      </c>
      <c r="Q904" s="141" t="str">
        <f>_xlfn.IFNA(VLOOKUP(E904,'Data Kyu'!$A$6:$I$471,7,0),"")</f>
        <v/>
      </c>
      <c r="R904" s="141"/>
      <c r="S904" s="139" t="s">
        <v>5</v>
      </c>
      <c r="T904" s="141" t="str">
        <f>_xlfn.IFNA(VLOOKUP(E904,'Data Kyu'!$A$6:$I$471,8,0),"")</f>
        <v/>
      </c>
      <c r="U904" s="142"/>
      <c r="V904" s="142" t="str">
        <f>_xlfn.IFNA(VLOOKUP(E904,'Data Kyu'!$A$6:$I$471,4,0),"")</f>
        <v/>
      </c>
      <c r="X904" s="214" t="str">
        <f>_xlfn.IFNA(VLOOKUP(F904,'Data Kyu'!$C$6:$N$997,12,0),"No Data")</f>
        <v>No Data</v>
      </c>
    </row>
    <row r="905" spans="2:24" ht="10.95" customHeight="1" x14ac:dyDescent="0.25">
      <c r="B905" s="52"/>
      <c r="C905" s="165" t="str">
        <f>IF(X904="LULUS","V","")</f>
        <v/>
      </c>
      <c r="D905" s="53"/>
      <c r="E905" s="155"/>
      <c r="F905" s="148"/>
      <c r="G905" s="144"/>
      <c r="H905" s="67"/>
      <c r="I905" s="67"/>
      <c r="J905" s="67"/>
      <c r="K905" s="67"/>
      <c r="L905" s="146"/>
      <c r="M905" s="147"/>
      <c r="N905" s="148"/>
      <c r="O905" s="143"/>
      <c r="P905" s="140"/>
      <c r="Q905" s="143"/>
      <c r="R905" s="143"/>
      <c r="S905" s="140"/>
      <c r="T905" s="143"/>
      <c r="U905" s="144"/>
      <c r="V905" s="147"/>
      <c r="X905" s="214"/>
    </row>
    <row r="906" spans="2:24" ht="10.95" customHeight="1" x14ac:dyDescent="0.25">
      <c r="B906" s="52"/>
      <c r="C906" s="166"/>
      <c r="D906" s="53"/>
      <c r="E906" s="155"/>
      <c r="F906" s="167" t="str">
        <f>_xlfn.IFNA(VLOOKUP(E904,'Data Kyu'!$A$6:$I$471,2,0),"")</f>
        <v/>
      </c>
      <c r="G906" s="168"/>
      <c r="H906" s="168"/>
      <c r="I906" s="168"/>
      <c r="J906" s="168"/>
      <c r="K906" s="169"/>
      <c r="L906" s="146"/>
      <c r="M906" s="147"/>
      <c r="N906" s="173" t="s">
        <v>6</v>
      </c>
      <c r="O906" s="159"/>
      <c r="P906" s="57"/>
      <c r="Q906" s="159" t="s">
        <v>7</v>
      </c>
      <c r="R906" s="159"/>
      <c r="S906" s="57"/>
      <c r="T906" s="159" t="s">
        <v>8</v>
      </c>
      <c r="U906" s="160"/>
      <c r="V906" s="175"/>
      <c r="X906" s="214"/>
    </row>
    <row r="907" spans="2:24" ht="10.95" customHeight="1" x14ac:dyDescent="0.25">
      <c r="B907" s="54"/>
      <c r="C907" s="76"/>
      <c r="D907" s="56"/>
      <c r="E907" s="156"/>
      <c r="F907" s="170"/>
      <c r="G907" s="171"/>
      <c r="H907" s="171"/>
      <c r="I907" s="171"/>
      <c r="J907" s="171"/>
      <c r="K907" s="172"/>
      <c r="L907" s="148"/>
      <c r="M907" s="144"/>
      <c r="N907" s="174"/>
      <c r="O907" s="161"/>
      <c r="P907" s="27"/>
      <c r="Q907" s="161"/>
      <c r="R907" s="161"/>
      <c r="S907" s="27"/>
      <c r="T907" s="161"/>
      <c r="U907" s="162"/>
      <c r="V907" s="176"/>
      <c r="X907" s="214"/>
    </row>
    <row r="908" spans="2:24" ht="10.95" customHeight="1" x14ac:dyDescent="0.25">
      <c r="B908" s="41"/>
      <c r="C908" s="77"/>
      <c r="D908" s="42"/>
      <c r="E908" s="154">
        <f t="shared" ref="E908" si="14">E904+1</f>
        <v>119</v>
      </c>
      <c r="F908" s="145" t="str">
        <f>_xlfn.IFNA(VLOOKUP(E908,'Data Kyu'!$A$6:$I$471,3,0),"")</f>
        <v/>
      </c>
      <c r="G908" s="142"/>
      <c r="H908" s="66"/>
      <c r="I908" s="66"/>
      <c r="J908" s="66"/>
      <c r="K908" s="66"/>
      <c r="L908" s="145" t="str">
        <f>_xlfn.IFNA(VLOOKUP(E908,'Data Kyu'!$A$6:$I$471,9,0),"")</f>
        <v/>
      </c>
      <c r="M908" s="142"/>
      <c r="N908" s="145" t="str">
        <f>_xlfn.IFNA(VLOOKUP(E908,'Data Kyu'!$A$6:$I$471,6,0),"")</f>
        <v/>
      </c>
      <c r="O908" s="141"/>
      <c r="P908" s="139" t="s">
        <v>5</v>
      </c>
      <c r="Q908" s="141" t="str">
        <f>_xlfn.IFNA(VLOOKUP(E908,'Data Kyu'!$A$6:$I$471,7,0),"")</f>
        <v/>
      </c>
      <c r="R908" s="141"/>
      <c r="S908" s="139" t="s">
        <v>5</v>
      </c>
      <c r="T908" s="141" t="str">
        <f>_xlfn.IFNA(VLOOKUP(E908,'Data Kyu'!$A$6:$I$471,8,0),"")</f>
        <v/>
      </c>
      <c r="U908" s="142"/>
      <c r="V908" s="142" t="str">
        <f>_xlfn.IFNA(VLOOKUP(E908,'Data Kyu'!$A$6:$I$471,4,0),"")</f>
        <v/>
      </c>
      <c r="X908" s="214" t="str">
        <f>_xlfn.IFNA(VLOOKUP(F908,'Data Kyu'!$C$6:$N$997,12,0),"No Data")</f>
        <v>No Data</v>
      </c>
    </row>
    <row r="909" spans="2:24" ht="10.95" customHeight="1" x14ac:dyDescent="0.25">
      <c r="B909" s="52"/>
      <c r="C909" s="165" t="str">
        <f>IF(X908="LULUS","V","")</f>
        <v/>
      </c>
      <c r="D909" s="53"/>
      <c r="E909" s="155"/>
      <c r="F909" s="148"/>
      <c r="G909" s="144"/>
      <c r="H909" s="67"/>
      <c r="I909" s="67"/>
      <c r="J909" s="67"/>
      <c r="K909" s="67"/>
      <c r="L909" s="146"/>
      <c r="M909" s="147"/>
      <c r="N909" s="148"/>
      <c r="O909" s="143"/>
      <c r="P909" s="140"/>
      <c r="Q909" s="143"/>
      <c r="R909" s="143"/>
      <c r="S909" s="140"/>
      <c r="T909" s="143"/>
      <c r="U909" s="144"/>
      <c r="V909" s="147"/>
      <c r="X909" s="214"/>
    </row>
    <row r="910" spans="2:24" ht="10.95" customHeight="1" x14ac:dyDescent="0.25">
      <c r="B910" s="52"/>
      <c r="C910" s="166"/>
      <c r="D910" s="53"/>
      <c r="E910" s="155"/>
      <c r="F910" s="167" t="str">
        <f>_xlfn.IFNA(VLOOKUP(E908,'Data Kyu'!$A$6:$I$471,2,0),"")</f>
        <v/>
      </c>
      <c r="G910" s="168"/>
      <c r="H910" s="168"/>
      <c r="I910" s="168"/>
      <c r="J910" s="168"/>
      <c r="K910" s="169"/>
      <c r="L910" s="146"/>
      <c r="M910" s="147"/>
      <c r="N910" s="173" t="s">
        <v>6</v>
      </c>
      <c r="O910" s="159"/>
      <c r="P910" s="57"/>
      <c r="Q910" s="159" t="s">
        <v>7</v>
      </c>
      <c r="R910" s="159"/>
      <c r="S910" s="57"/>
      <c r="T910" s="159" t="s">
        <v>8</v>
      </c>
      <c r="U910" s="160"/>
      <c r="V910" s="175"/>
      <c r="X910" s="214"/>
    </row>
    <row r="911" spans="2:24" ht="10.95" customHeight="1" x14ac:dyDescent="0.25">
      <c r="B911" s="54"/>
      <c r="C911" s="76"/>
      <c r="D911" s="56"/>
      <c r="E911" s="156"/>
      <c r="F911" s="170"/>
      <c r="G911" s="171"/>
      <c r="H911" s="171"/>
      <c r="I911" s="171"/>
      <c r="J911" s="171"/>
      <c r="K911" s="172"/>
      <c r="L911" s="148"/>
      <c r="M911" s="144"/>
      <c r="N911" s="174"/>
      <c r="O911" s="161"/>
      <c r="P911" s="27"/>
      <c r="Q911" s="161"/>
      <c r="R911" s="161"/>
      <c r="S911" s="27"/>
      <c r="T911" s="161"/>
      <c r="U911" s="162"/>
      <c r="V911" s="176"/>
      <c r="X911" s="214"/>
    </row>
    <row r="912" spans="2:24" ht="10.95" customHeight="1" x14ac:dyDescent="0.25">
      <c r="B912" s="41"/>
      <c r="C912" s="77"/>
      <c r="D912" s="42"/>
      <c r="E912" s="154">
        <f t="shared" ref="E912" si="15">E908+1</f>
        <v>120</v>
      </c>
      <c r="F912" s="145" t="str">
        <f>_xlfn.IFNA(VLOOKUP(E912,'Data Kyu'!$A$6:$I$471,3,0),"")</f>
        <v/>
      </c>
      <c r="G912" s="142"/>
      <c r="H912" s="66"/>
      <c r="I912" s="66"/>
      <c r="J912" s="66"/>
      <c r="K912" s="66"/>
      <c r="L912" s="145" t="str">
        <f>_xlfn.IFNA(VLOOKUP(E912,'Data Kyu'!$A$6:$I$471,9,0),"")</f>
        <v/>
      </c>
      <c r="M912" s="142"/>
      <c r="N912" s="145" t="str">
        <f>_xlfn.IFNA(VLOOKUP(E912,'Data Kyu'!$A$6:$I$471,6,0),"")</f>
        <v/>
      </c>
      <c r="O912" s="141"/>
      <c r="P912" s="139" t="s">
        <v>5</v>
      </c>
      <c r="Q912" s="141" t="str">
        <f>_xlfn.IFNA(VLOOKUP(E912,'Data Kyu'!$A$6:$I$471,7,0),"")</f>
        <v/>
      </c>
      <c r="R912" s="141"/>
      <c r="S912" s="139" t="s">
        <v>5</v>
      </c>
      <c r="T912" s="141" t="str">
        <f>_xlfn.IFNA(VLOOKUP(E912,'Data Kyu'!$A$6:$I$471,8,0),"")</f>
        <v/>
      </c>
      <c r="U912" s="142"/>
      <c r="V912" s="142" t="str">
        <f>_xlfn.IFNA(VLOOKUP(E912,'Data Kyu'!$A$6:$I$471,4,0),"")</f>
        <v/>
      </c>
      <c r="X912" s="214" t="str">
        <f>_xlfn.IFNA(VLOOKUP(F912,'Data Kyu'!$C$6:$N$997,12,0),"No Data")</f>
        <v>No Data</v>
      </c>
    </row>
    <row r="913" spans="2:24" ht="10.95" customHeight="1" x14ac:dyDescent="0.25">
      <c r="B913" s="52"/>
      <c r="C913" s="165" t="str">
        <f>IF(X912="LULUS","V","")</f>
        <v/>
      </c>
      <c r="D913" s="53"/>
      <c r="E913" s="155"/>
      <c r="F913" s="148"/>
      <c r="G913" s="144"/>
      <c r="H913" s="67"/>
      <c r="I913" s="67"/>
      <c r="J913" s="67"/>
      <c r="K913" s="67"/>
      <c r="L913" s="146"/>
      <c r="M913" s="147"/>
      <c r="N913" s="148"/>
      <c r="O913" s="143"/>
      <c r="P913" s="140"/>
      <c r="Q913" s="143"/>
      <c r="R913" s="143"/>
      <c r="S913" s="140"/>
      <c r="T913" s="143"/>
      <c r="U913" s="144"/>
      <c r="V913" s="147"/>
      <c r="X913" s="214"/>
    </row>
    <row r="914" spans="2:24" ht="10.95" customHeight="1" x14ac:dyDescent="0.25">
      <c r="B914" s="52"/>
      <c r="C914" s="166"/>
      <c r="D914" s="53"/>
      <c r="E914" s="155"/>
      <c r="F914" s="167" t="str">
        <f>_xlfn.IFNA(VLOOKUP(E912,'Data Kyu'!$A$6:$I$471,2,0),"")</f>
        <v/>
      </c>
      <c r="G914" s="168"/>
      <c r="H914" s="168"/>
      <c r="I914" s="168"/>
      <c r="J914" s="168"/>
      <c r="K914" s="169"/>
      <c r="L914" s="146"/>
      <c r="M914" s="147"/>
      <c r="N914" s="173" t="s">
        <v>6</v>
      </c>
      <c r="O914" s="159"/>
      <c r="P914" s="57"/>
      <c r="Q914" s="159" t="s">
        <v>7</v>
      </c>
      <c r="R914" s="159"/>
      <c r="S914" s="57"/>
      <c r="T914" s="159" t="s">
        <v>8</v>
      </c>
      <c r="U914" s="160"/>
      <c r="V914" s="175"/>
      <c r="X914" s="214"/>
    </row>
    <row r="915" spans="2:24" ht="10.95" customHeight="1" x14ac:dyDescent="0.25">
      <c r="B915" s="54"/>
      <c r="C915" s="55"/>
      <c r="D915" s="56"/>
      <c r="E915" s="156"/>
      <c r="F915" s="170"/>
      <c r="G915" s="171"/>
      <c r="H915" s="171"/>
      <c r="I915" s="171"/>
      <c r="J915" s="171"/>
      <c r="K915" s="172"/>
      <c r="L915" s="148"/>
      <c r="M915" s="144"/>
      <c r="N915" s="174"/>
      <c r="O915" s="161"/>
      <c r="P915" s="27"/>
      <c r="Q915" s="161"/>
      <c r="R915" s="161"/>
      <c r="S915" s="27"/>
      <c r="T915" s="161"/>
      <c r="U915" s="162"/>
      <c r="V915" s="176"/>
      <c r="X915" s="214"/>
    </row>
    <row r="916" spans="2:24" ht="7.5" customHeight="1" x14ac:dyDescent="0.25"/>
    <row r="917" spans="2:24" s="34" customFormat="1" x14ac:dyDescent="0.25">
      <c r="E917" s="35" t="s">
        <v>30</v>
      </c>
      <c r="K917" s="35" t="s">
        <v>28</v>
      </c>
    </row>
    <row r="918" spans="2:24" x14ac:dyDescent="0.25">
      <c r="E918" s="33" t="s">
        <v>31</v>
      </c>
      <c r="F918" s="149"/>
      <c r="G918" s="149"/>
      <c r="H918" s="149"/>
      <c r="I918" s="149"/>
      <c r="J918" s="149"/>
      <c r="K918" s="33" t="s">
        <v>29</v>
      </c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</row>
    <row r="919" spans="2:24" ht="6.75" customHeight="1" x14ac:dyDescent="0.25">
      <c r="F919" s="34"/>
      <c r="G919" s="34"/>
      <c r="H919" s="34"/>
      <c r="I919" s="34"/>
      <c r="J919" s="34"/>
    </row>
    <row r="920" spans="2:24" s="34" customFormat="1" x14ac:dyDescent="0.25">
      <c r="E920" s="35" t="s">
        <v>32</v>
      </c>
      <c r="K920" s="35" t="s">
        <v>36</v>
      </c>
    </row>
    <row r="921" spans="2:24" x14ac:dyDescent="0.25">
      <c r="E921" s="33" t="s">
        <v>33</v>
      </c>
      <c r="F921" s="149"/>
      <c r="G921" s="149"/>
      <c r="H921" s="149"/>
      <c r="I921" s="149"/>
      <c r="J921" s="149"/>
      <c r="K921" s="33" t="s">
        <v>29</v>
      </c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</row>
    <row r="922" spans="2:24" ht="6.75" customHeight="1" x14ac:dyDescent="0.25">
      <c r="F922" s="34"/>
      <c r="G922" s="34"/>
      <c r="H922" s="34"/>
      <c r="I922" s="34"/>
      <c r="J922" s="34"/>
    </row>
    <row r="923" spans="2:24" s="34" customFormat="1" ht="13.8" x14ac:dyDescent="0.25">
      <c r="E923" s="35" t="s">
        <v>34</v>
      </c>
      <c r="F923" s="177" t="str">
        <f>IF(F876&lt;&gt;"",$F$65,"")</f>
        <v/>
      </c>
      <c r="G923" s="177"/>
      <c r="H923" s="177"/>
      <c r="I923" s="177"/>
      <c r="J923" s="177"/>
      <c r="K923" s="35" t="s">
        <v>28</v>
      </c>
      <c r="X923" s="70" t="s">
        <v>107</v>
      </c>
    </row>
    <row r="924" spans="2:24" ht="13.8" x14ac:dyDescent="0.25">
      <c r="E924" s="33" t="s">
        <v>35</v>
      </c>
      <c r="F924" s="178"/>
      <c r="G924" s="178"/>
      <c r="H924" s="178"/>
      <c r="I924" s="178"/>
      <c r="J924" s="178"/>
      <c r="K924" s="33" t="s">
        <v>29</v>
      </c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X924" s="70" t="s">
        <v>105</v>
      </c>
    </row>
    <row r="925" spans="2:24" ht="12.75" customHeight="1" thickBot="1" x14ac:dyDescent="0.3"/>
    <row r="926" spans="2:24" ht="13.8" thickTop="1" x14ac:dyDescent="0.25">
      <c r="B926" s="34" t="s">
        <v>37</v>
      </c>
      <c r="C926" s="34"/>
      <c r="D926" s="34"/>
      <c r="H926" s="150" t="s">
        <v>40</v>
      </c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</row>
    <row r="927" spans="2:24" x14ac:dyDescent="0.25">
      <c r="B927" s="34" t="s">
        <v>38</v>
      </c>
      <c r="C927" s="34"/>
      <c r="D927" s="34"/>
      <c r="H927" s="152"/>
      <c r="I927" s="153"/>
      <c r="J927" s="153"/>
      <c r="K927" s="153"/>
      <c r="L927" s="153"/>
      <c r="M927" s="153"/>
      <c r="N927" s="153"/>
      <c r="O927" s="153"/>
      <c r="P927" s="153"/>
      <c r="Q927" s="153"/>
      <c r="R927" s="153"/>
      <c r="S927" s="153"/>
      <c r="T927" s="153"/>
      <c r="U927" s="153"/>
      <c r="V927" s="153"/>
    </row>
    <row r="928" spans="2:24" ht="12.75" customHeight="1" x14ac:dyDescent="0.25">
      <c r="B928" s="163" t="s">
        <v>39</v>
      </c>
      <c r="C928" s="163"/>
      <c r="D928" s="163"/>
      <c r="E928" s="163"/>
      <c r="F928" s="163"/>
      <c r="H928" s="37" t="s">
        <v>41</v>
      </c>
    </row>
    <row r="929" spans="2:24" ht="13.8" x14ac:dyDescent="0.25">
      <c r="B929" s="163"/>
      <c r="C929" s="163"/>
      <c r="D929" s="163"/>
      <c r="E929" s="163"/>
      <c r="F929" s="163"/>
      <c r="H929" s="38" t="s">
        <v>42</v>
      </c>
    </row>
    <row r="930" spans="2:24" x14ac:dyDescent="0.25">
      <c r="B930" s="163"/>
      <c r="C930" s="163"/>
      <c r="D930" s="163"/>
      <c r="E930" s="163"/>
      <c r="F930" s="163"/>
      <c r="H930" s="36"/>
    </row>
    <row r="931" spans="2:24" x14ac:dyDescent="0.25">
      <c r="B931" s="163"/>
      <c r="C931" s="163"/>
      <c r="D931" s="163"/>
      <c r="E931" s="163"/>
      <c r="F931" s="163"/>
      <c r="H931" s="36"/>
    </row>
    <row r="932" spans="2:24" x14ac:dyDescent="0.25">
      <c r="H932" s="36"/>
    </row>
    <row r="933" spans="2:24" x14ac:dyDescent="0.25">
      <c r="H933" s="36"/>
    </row>
    <row r="934" spans="2:24" x14ac:dyDescent="0.25">
      <c r="H934" s="36"/>
    </row>
    <row r="935" spans="2:24" x14ac:dyDescent="0.25">
      <c r="H935" s="36"/>
    </row>
    <row r="936" spans="2:24" ht="13.8" x14ac:dyDescent="0.25">
      <c r="H936" s="157" t="str">
        <f>IF(F876&lt;&gt;"",$H$78,"")</f>
        <v/>
      </c>
      <c r="I936" s="158"/>
      <c r="J936" s="158"/>
      <c r="K936" s="158"/>
      <c r="L936" s="158"/>
      <c r="M936" s="158"/>
      <c r="N936" s="158"/>
      <c r="O936" s="158"/>
      <c r="P936" s="158"/>
      <c r="Q936" s="158"/>
      <c r="R936" s="158"/>
      <c r="S936" s="158"/>
      <c r="T936" s="158"/>
      <c r="U936" s="158"/>
      <c r="V936" s="158"/>
    </row>
    <row r="937" spans="2:24" x14ac:dyDescent="0.25">
      <c r="H937" s="36"/>
    </row>
    <row r="938" spans="2:24" ht="28.5" customHeight="1" x14ac:dyDescent="0.3">
      <c r="B938" s="193" t="s">
        <v>43</v>
      </c>
      <c r="C938" s="193"/>
      <c r="D938" s="193"/>
      <c r="E938" s="194"/>
      <c r="F938" s="194"/>
      <c r="G938" s="194"/>
      <c r="H938" s="194"/>
      <c r="I938" s="2"/>
      <c r="J938" s="2"/>
      <c r="K938" s="13" t="s">
        <v>25</v>
      </c>
      <c r="L938" s="195" t="s">
        <v>14</v>
      </c>
      <c r="M938" s="196"/>
      <c r="N938" s="196"/>
      <c r="O938" s="196"/>
      <c r="P938" s="196"/>
      <c r="Q938" s="196"/>
      <c r="R938" s="196"/>
      <c r="S938" s="196"/>
      <c r="T938" s="196"/>
      <c r="U938" s="196"/>
      <c r="V938" s="197"/>
      <c r="X938" s="1"/>
    </row>
    <row r="939" spans="2:24" ht="26.25" customHeight="1" x14ac:dyDescent="0.4">
      <c r="B939" s="39" t="s">
        <v>44</v>
      </c>
      <c r="C939" s="39"/>
      <c r="D939" s="39"/>
      <c r="E939" s="2"/>
      <c r="F939" s="2"/>
      <c r="G939" s="2"/>
      <c r="H939" s="2"/>
      <c r="I939" s="2"/>
      <c r="J939" s="2"/>
      <c r="K939" s="29" t="s">
        <v>13</v>
      </c>
      <c r="L939" s="15">
        <v>4</v>
      </c>
      <c r="M939" s="16">
        <v>1</v>
      </c>
      <c r="N939" s="15">
        <v>0</v>
      </c>
      <c r="O939" s="198">
        <v>0</v>
      </c>
      <c r="P939" s="199"/>
      <c r="Q939" s="14">
        <v>0</v>
      </c>
      <c r="R939" s="200">
        <v>1</v>
      </c>
      <c r="S939" s="201"/>
      <c r="T939" s="6"/>
      <c r="U939" s="6"/>
      <c r="V939" s="7"/>
      <c r="X939" s="1"/>
    </row>
    <row r="940" spans="2:24" ht="21" customHeight="1" x14ac:dyDescent="0.25">
      <c r="B940" s="26" t="s">
        <v>45</v>
      </c>
      <c r="C940" s="26"/>
      <c r="D940" s="26"/>
      <c r="E940" s="25"/>
      <c r="F940" s="25"/>
      <c r="G940" s="25"/>
      <c r="H940" s="25"/>
      <c r="I940" s="25"/>
      <c r="J940" s="25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X940" s="1"/>
    </row>
    <row r="941" spans="2:24" ht="13.5" customHeight="1" x14ac:dyDescent="0.25">
      <c r="B941" s="40" t="s">
        <v>24</v>
      </c>
      <c r="C941" s="40"/>
      <c r="D941" s="40"/>
      <c r="E941" s="25"/>
      <c r="F941" s="25"/>
      <c r="G941" s="25"/>
      <c r="H941" s="25"/>
      <c r="I941" s="25"/>
      <c r="J941" s="25"/>
      <c r="K941" s="28" t="s">
        <v>6</v>
      </c>
      <c r="L941" s="202" t="str">
        <f>IF(F954&lt;&gt;"",$L$5,"")</f>
        <v/>
      </c>
      <c r="M941" s="203"/>
      <c r="N941" s="204" t="s">
        <v>15</v>
      </c>
      <c r="O941" s="204"/>
      <c r="P941" s="204"/>
      <c r="Q941" s="205" t="str">
        <f>IF(F954&lt;&gt;"",$Q$5,"")</f>
        <v/>
      </c>
      <c r="R941" s="206"/>
      <c r="S941" s="207" t="s">
        <v>16</v>
      </c>
      <c r="T941" s="204"/>
      <c r="U941" s="82" t="str">
        <f>IF(F954&lt;&gt;"",$U$5,"")</f>
        <v/>
      </c>
      <c r="V941" s="63"/>
      <c r="X941" s="1"/>
    </row>
    <row r="942" spans="2:24" ht="8.25" customHeight="1" x14ac:dyDescent="0.25"/>
    <row r="943" spans="2:24" ht="11.25" customHeight="1" x14ac:dyDescent="0.25">
      <c r="B943" s="24" t="s">
        <v>17</v>
      </c>
      <c r="C943" s="24"/>
      <c r="D943" s="24"/>
    </row>
    <row r="944" spans="2:24" ht="11.25" customHeight="1" x14ac:dyDescent="0.25">
      <c r="B944" s="8" t="s">
        <v>18</v>
      </c>
      <c r="C944" s="8"/>
      <c r="D944" s="8"/>
    </row>
    <row r="945" spans="2:24" ht="5.25" customHeight="1" x14ac:dyDescent="0.25">
      <c r="B945" s="8"/>
      <c r="C945" s="8"/>
      <c r="D945" s="8"/>
    </row>
    <row r="946" spans="2:24" x14ac:dyDescent="0.25">
      <c r="B946" s="179" t="s">
        <v>19</v>
      </c>
      <c r="C946" s="179"/>
      <c r="D946" s="179"/>
      <c r="E946" s="179"/>
      <c r="F946" s="179"/>
      <c r="G946" s="18" t="s">
        <v>6</v>
      </c>
      <c r="H946" s="64" t="str">
        <f>IF(F954&lt;&gt;"",$H$10,"")</f>
        <v/>
      </c>
      <c r="I946" s="9" t="s">
        <v>15</v>
      </c>
      <c r="J946" s="83" t="str">
        <f>IF(F954&lt;&gt;"",$J$10,"")</f>
        <v/>
      </c>
      <c r="K946" s="9" t="s">
        <v>16</v>
      </c>
      <c r="L946" s="180" t="str">
        <f>IF(F954&lt;&gt;"",$L$10,"")</f>
        <v/>
      </c>
      <c r="M946" s="181"/>
      <c r="X946" s="32"/>
    </row>
    <row r="947" spans="2:24" ht="5.25" customHeight="1" x14ac:dyDescent="0.25">
      <c r="B947" s="8"/>
      <c r="C947" s="8"/>
      <c r="D947" s="8"/>
      <c r="E947" s="8"/>
      <c r="F947" s="8"/>
      <c r="G947" s="19"/>
      <c r="H947" s="20"/>
      <c r="I947" s="21"/>
      <c r="J947" s="20"/>
      <c r="K947" s="10"/>
      <c r="L947" s="22"/>
      <c r="X947" s="32"/>
    </row>
    <row r="948" spans="2:24" s="73" customFormat="1" ht="14.4" customHeight="1" x14ac:dyDescent="0.25">
      <c r="B948" s="72" t="s">
        <v>20</v>
      </c>
      <c r="C948" s="72"/>
      <c r="D948" s="72"/>
      <c r="X948" s="74"/>
    </row>
    <row r="949" spans="2:24" s="73" customFormat="1" ht="14.4" customHeight="1" x14ac:dyDescent="0.25">
      <c r="B949" s="75" t="s">
        <v>21</v>
      </c>
      <c r="C949" s="10"/>
      <c r="D949" s="10"/>
      <c r="E949" s="22" t="s">
        <v>22</v>
      </c>
      <c r="X949" s="74"/>
    </row>
    <row r="950" spans="2:24" s="73" customFormat="1" ht="14.4" customHeight="1" x14ac:dyDescent="0.25">
      <c r="B950" s="22"/>
      <c r="C950" s="22"/>
      <c r="D950" s="22"/>
      <c r="E950" s="22" t="s">
        <v>23</v>
      </c>
      <c r="X950" s="164" t="s">
        <v>102</v>
      </c>
    </row>
    <row r="951" spans="2:24" ht="7.5" customHeight="1" x14ac:dyDescent="0.25">
      <c r="B951" s="8"/>
      <c r="C951" s="8"/>
      <c r="D951" s="8"/>
      <c r="X951" s="164"/>
    </row>
    <row r="952" spans="2:24" ht="17.25" customHeight="1" x14ac:dyDescent="0.25">
      <c r="B952" s="182"/>
      <c r="C952" s="59"/>
      <c r="D952" s="60"/>
      <c r="E952" s="184" t="s">
        <v>0</v>
      </c>
      <c r="F952" s="186" t="s">
        <v>1</v>
      </c>
      <c r="G952" s="187"/>
      <c r="H952" s="4"/>
      <c r="I952" s="4"/>
      <c r="J952" s="4"/>
      <c r="K952" s="5"/>
      <c r="L952" s="145" t="s">
        <v>3</v>
      </c>
      <c r="M952" s="142"/>
      <c r="N952" s="188" t="s">
        <v>10</v>
      </c>
      <c r="O952" s="188"/>
      <c r="P952" s="188"/>
      <c r="Q952" s="188"/>
      <c r="R952" s="188"/>
      <c r="S952" s="188"/>
      <c r="T952" s="188"/>
      <c r="U952" s="189"/>
      <c r="V952" s="3" t="s">
        <v>12</v>
      </c>
      <c r="X952" s="68" t="s">
        <v>200</v>
      </c>
    </row>
    <row r="953" spans="2:24" ht="17.25" customHeight="1" x14ac:dyDescent="0.25">
      <c r="B953" s="183"/>
      <c r="C953" s="61"/>
      <c r="D953" s="62"/>
      <c r="E953" s="185"/>
      <c r="F953" s="30" t="s">
        <v>2</v>
      </c>
      <c r="G953" s="17"/>
      <c r="H953" s="6"/>
      <c r="I953" s="6"/>
      <c r="J953" s="6"/>
      <c r="K953" s="7"/>
      <c r="L953" s="190" t="s">
        <v>4</v>
      </c>
      <c r="M953" s="191"/>
      <c r="N953" s="192" t="s">
        <v>9</v>
      </c>
      <c r="O953" s="192"/>
      <c r="P953" s="192"/>
      <c r="Q953" s="192"/>
      <c r="R953" s="192"/>
      <c r="S953" s="192"/>
      <c r="T953" s="192"/>
      <c r="U953" s="191"/>
      <c r="V953" s="31" t="s">
        <v>11</v>
      </c>
      <c r="X953" s="69"/>
    </row>
    <row r="954" spans="2:24" ht="10.95" customHeight="1" x14ac:dyDescent="0.25">
      <c r="B954" s="41"/>
      <c r="C954" s="51"/>
      <c r="D954" s="42"/>
      <c r="E954" s="154">
        <v>121</v>
      </c>
      <c r="F954" s="145" t="str">
        <f>_xlfn.IFNA(VLOOKUP(E954,'Data Kyu'!$A$6:$I$471,3,0),"")</f>
        <v/>
      </c>
      <c r="G954" s="142"/>
      <c r="H954" s="66"/>
      <c r="I954" s="66"/>
      <c r="J954" s="66"/>
      <c r="K954" s="66"/>
      <c r="L954" s="145" t="str">
        <f>_xlfn.IFNA(VLOOKUP(E954,'Data Kyu'!$A$6:$I$471,9,0),"")</f>
        <v/>
      </c>
      <c r="M954" s="142"/>
      <c r="N954" s="145" t="str">
        <f>_xlfn.IFNA(VLOOKUP(E954,'Data Kyu'!$A$6:$I$471,6,0),"")</f>
        <v/>
      </c>
      <c r="O954" s="141"/>
      <c r="P954" s="139" t="s">
        <v>5</v>
      </c>
      <c r="Q954" s="141" t="str">
        <f>_xlfn.IFNA(VLOOKUP(E954,'Data Kyu'!$A$6:$I$471,7,0),"")</f>
        <v/>
      </c>
      <c r="R954" s="141"/>
      <c r="S954" s="139" t="s">
        <v>5</v>
      </c>
      <c r="T954" s="141" t="str">
        <f>_xlfn.IFNA(VLOOKUP(E954,'Data Kyu'!$A$6:$I$471,8,0),"")</f>
        <v/>
      </c>
      <c r="U954" s="142"/>
      <c r="V954" s="142" t="str">
        <f>_xlfn.IFNA(VLOOKUP(E954,'Data Kyu'!$A$6:$I$471,4,0),"")</f>
        <v/>
      </c>
      <c r="X954" s="214" t="str">
        <f>_xlfn.IFNA(VLOOKUP(F954,'Data Kyu'!$C$6:$N$997,12,0),"No Data")</f>
        <v>No Data</v>
      </c>
    </row>
    <row r="955" spans="2:24" ht="10.95" customHeight="1" x14ac:dyDescent="0.25">
      <c r="B955" s="52"/>
      <c r="C955" s="165" t="str">
        <f>IF(X954="LULUS","V","")</f>
        <v/>
      </c>
      <c r="D955" s="53"/>
      <c r="E955" s="155"/>
      <c r="F955" s="148"/>
      <c r="G955" s="144"/>
      <c r="H955" s="67"/>
      <c r="I955" s="67"/>
      <c r="J955" s="67"/>
      <c r="K955" s="67"/>
      <c r="L955" s="146"/>
      <c r="M955" s="147"/>
      <c r="N955" s="148"/>
      <c r="O955" s="143"/>
      <c r="P955" s="140"/>
      <c r="Q955" s="143"/>
      <c r="R955" s="143"/>
      <c r="S955" s="140"/>
      <c r="T955" s="143"/>
      <c r="U955" s="144"/>
      <c r="V955" s="147"/>
      <c r="X955" s="214"/>
    </row>
    <row r="956" spans="2:24" ht="10.95" customHeight="1" x14ac:dyDescent="0.25">
      <c r="B956" s="52"/>
      <c r="C956" s="166"/>
      <c r="D956" s="53"/>
      <c r="E956" s="155"/>
      <c r="F956" s="167" t="str">
        <f>_xlfn.IFNA(VLOOKUP(E954,'Data Kyu'!$A$6:$I$471,2,0),"")</f>
        <v/>
      </c>
      <c r="G956" s="168"/>
      <c r="H956" s="168"/>
      <c r="I956" s="168"/>
      <c r="J956" s="168"/>
      <c r="K956" s="169"/>
      <c r="L956" s="146"/>
      <c r="M956" s="147"/>
      <c r="N956" s="173" t="s">
        <v>6</v>
      </c>
      <c r="O956" s="159"/>
      <c r="P956" s="57"/>
      <c r="Q956" s="159" t="s">
        <v>7</v>
      </c>
      <c r="R956" s="159"/>
      <c r="S956" s="57"/>
      <c r="T956" s="159" t="s">
        <v>8</v>
      </c>
      <c r="U956" s="160"/>
      <c r="V956" s="175"/>
      <c r="X956" s="214"/>
    </row>
    <row r="957" spans="2:24" ht="10.95" customHeight="1" x14ac:dyDescent="0.25">
      <c r="B957" s="54"/>
      <c r="C957" s="76"/>
      <c r="D957" s="56"/>
      <c r="E957" s="156"/>
      <c r="F957" s="170"/>
      <c r="G957" s="171"/>
      <c r="H957" s="171"/>
      <c r="I957" s="171"/>
      <c r="J957" s="171"/>
      <c r="K957" s="172"/>
      <c r="L957" s="148"/>
      <c r="M957" s="144"/>
      <c r="N957" s="174"/>
      <c r="O957" s="161"/>
      <c r="P957" s="27"/>
      <c r="Q957" s="161"/>
      <c r="R957" s="161"/>
      <c r="S957" s="27"/>
      <c r="T957" s="161"/>
      <c r="U957" s="162"/>
      <c r="V957" s="176"/>
      <c r="X957" s="214"/>
    </row>
    <row r="958" spans="2:24" ht="10.95" customHeight="1" x14ac:dyDescent="0.25">
      <c r="B958" s="41"/>
      <c r="C958" s="77"/>
      <c r="D958" s="42"/>
      <c r="E958" s="154">
        <f>E954+1</f>
        <v>122</v>
      </c>
      <c r="F958" s="145" t="str">
        <f>_xlfn.IFNA(VLOOKUP(E958,'Data Kyu'!$A$6:$I$471,3,0),"")</f>
        <v/>
      </c>
      <c r="G958" s="142"/>
      <c r="H958" s="66"/>
      <c r="I958" s="66"/>
      <c r="J958" s="66"/>
      <c r="K958" s="66"/>
      <c r="L958" s="145" t="str">
        <f>_xlfn.IFNA(VLOOKUP(E958,'Data Kyu'!$A$6:$I$471,9,0),"")</f>
        <v/>
      </c>
      <c r="M958" s="142"/>
      <c r="N958" s="145" t="str">
        <f>_xlfn.IFNA(VLOOKUP(E958,'Data Kyu'!$A$6:$I$471,6,0),"")</f>
        <v/>
      </c>
      <c r="O958" s="141"/>
      <c r="P958" s="139" t="s">
        <v>5</v>
      </c>
      <c r="Q958" s="141" t="str">
        <f>_xlfn.IFNA(VLOOKUP(E958,'Data Kyu'!$A$6:$I$471,7,0),"")</f>
        <v/>
      </c>
      <c r="R958" s="141"/>
      <c r="S958" s="139" t="s">
        <v>5</v>
      </c>
      <c r="T958" s="141" t="str">
        <f>_xlfn.IFNA(VLOOKUP(E958,'Data Kyu'!$A$6:$I$471,8,0),"")</f>
        <v/>
      </c>
      <c r="U958" s="142"/>
      <c r="V958" s="142" t="str">
        <f>_xlfn.IFNA(VLOOKUP(E958,'Data Kyu'!$A$6:$I$471,4,0),"")</f>
        <v/>
      </c>
      <c r="X958" s="214" t="str">
        <f>_xlfn.IFNA(VLOOKUP(F958,'Data Kyu'!$C$6:$N$997,12,0),"No Data")</f>
        <v>No Data</v>
      </c>
    </row>
    <row r="959" spans="2:24" ht="10.95" customHeight="1" x14ac:dyDescent="0.25">
      <c r="B959" s="52"/>
      <c r="C959" s="165" t="str">
        <f>IF(X958="LULUS","V","")</f>
        <v/>
      </c>
      <c r="D959" s="53"/>
      <c r="E959" s="155"/>
      <c r="F959" s="148"/>
      <c r="G959" s="144"/>
      <c r="H959" s="67"/>
      <c r="I959" s="67"/>
      <c r="J959" s="67"/>
      <c r="K959" s="67"/>
      <c r="L959" s="146"/>
      <c r="M959" s="147"/>
      <c r="N959" s="148"/>
      <c r="O959" s="143"/>
      <c r="P959" s="140"/>
      <c r="Q959" s="143"/>
      <c r="R959" s="143"/>
      <c r="S959" s="140"/>
      <c r="T959" s="143"/>
      <c r="U959" s="144"/>
      <c r="V959" s="147"/>
      <c r="X959" s="214"/>
    </row>
    <row r="960" spans="2:24" ht="10.95" customHeight="1" x14ac:dyDescent="0.25">
      <c r="B960" s="52"/>
      <c r="C960" s="166"/>
      <c r="D960" s="53"/>
      <c r="E960" s="155"/>
      <c r="F960" s="167" t="str">
        <f>_xlfn.IFNA(VLOOKUP(E958,'Data Kyu'!$A$6:$I$471,2,0),"")</f>
        <v/>
      </c>
      <c r="G960" s="168"/>
      <c r="H960" s="168"/>
      <c r="I960" s="168"/>
      <c r="J960" s="168"/>
      <c r="K960" s="169"/>
      <c r="L960" s="146"/>
      <c r="M960" s="147"/>
      <c r="N960" s="173" t="s">
        <v>6</v>
      </c>
      <c r="O960" s="159"/>
      <c r="P960" s="57"/>
      <c r="Q960" s="159" t="s">
        <v>7</v>
      </c>
      <c r="R960" s="159"/>
      <c r="S960" s="57"/>
      <c r="T960" s="159" t="s">
        <v>8</v>
      </c>
      <c r="U960" s="160"/>
      <c r="V960" s="175"/>
      <c r="X960" s="214"/>
    </row>
    <row r="961" spans="2:24" ht="10.95" customHeight="1" x14ac:dyDescent="0.25">
      <c r="B961" s="54"/>
      <c r="C961" s="76"/>
      <c r="D961" s="56"/>
      <c r="E961" s="156"/>
      <c r="F961" s="170"/>
      <c r="G961" s="171"/>
      <c r="H961" s="171"/>
      <c r="I961" s="171"/>
      <c r="J961" s="171"/>
      <c r="K961" s="172"/>
      <c r="L961" s="148"/>
      <c r="M961" s="144"/>
      <c r="N961" s="174"/>
      <c r="O961" s="161"/>
      <c r="P961" s="27"/>
      <c r="Q961" s="161"/>
      <c r="R961" s="161"/>
      <c r="S961" s="27"/>
      <c r="T961" s="161"/>
      <c r="U961" s="162"/>
      <c r="V961" s="176"/>
      <c r="X961" s="214"/>
    </row>
    <row r="962" spans="2:24" ht="10.95" customHeight="1" x14ac:dyDescent="0.25">
      <c r="B962" s="41"/>
      <c r="C962" s="77"/>
      <c r="D962" s="42"/>
      <c r="E962" s="154">
        <f t="shared" ref="E962" si="16">E958+1</f>
        <v>123</v>
      </c>
      <c r="F962" s="145" t="str">
        <f>_xlfn.IFNA(VLOOKUP(E962,'Data Kyu'!$A$6:$I$471,3,0),"")</f>
        <v/>
      </c>
      <c r="G962" s="142"/>
      <c r="H962" s="66"/>
      <c r="I962" s="66"/>
      <c r="J962" s="66"/>
      <c r="K962" s="66"/>
      <c r="L962" s="145" t="str">
        <f>_xlfn.IFNA(VLOOKUP(E962,'Data Kyu'!$A$6:$I$471,9,0),"")</f>
        <v/>
      </c>
      <c r="M962" s="142"/>
      <c r="N962" s="145" t="str">
        <f>_xlfn.IFNA(VLOOKUP(E962,'Data Kyu'!$A$6:$I$471,6,0),"")</f>
        <v/>
      </c>
      <c r="O962" s="141"/>
      <c r="P962" s="139" t="s">
        <v>5</v>
      </c>
      <c r="Q962" s="141" t="str">
        <f>_xlfn.IFNA(VLOOKUP(E962,'Data Kyu'!$A$6:$I$471,7,0),"")</f>
        <v/>
      </c>
      <c r="R962" s="141"/>
      <c r="S962" s="139" t="s">
        <v>5</v>
      </c>
      <c r="T962" s="141" t="str">
        <f>_xlfn.IFNA(VLOOKUP(E962,'Data Kyu'!$A$6:$I$471,8,0),"")</f>
        <v/>
      </c>
      <c r="U962" s="142"/>
      <c r="V962" s="142" t="str">
        <f>_xlfn.IFNA(VLOOKUP(E962,'Data Kyu'!$A$6:$I$471,4,0),"")</f>
        <v/>
      </c>
      <c r="X962" s="214" t="str">
        <f>_xlfn.IFNA(VLOOKUP(F962,'Data Kyu'!$C$6:$N$997,12,0),"No Data")</f>
        <v>No Data</v>
      </c>
    </row>
    <row r="963" spans="2:24" ht="10.95" customHeight="1" x14ac:dyDescent="0.25">
      <c r="B963" s="52"/>
      <c r="C963" s="165" t="str">
        <f>IF(X962="LULUS","V","")</f>
        <v/>
      </c>
      <c r="D963" s="53"/>
      <c r="E963" s="155"/>
      <c r="F963" s="148"/>
      <c r="G963" s="144"/>
      <c r="H963" s="67"/>
      <c r="I963" s="67"/>
      <c r="J963" s="67"/>
      <c r="K963" s="67"/>
      <c r="L963" s="146"/>
      <c r="M963" s="147"/>
      <c r="N963" s="148"/>
      <c r="O963" s="143"/>
      <c r="P963" s="140"/>
      <c r="Q963" s="143"/>
      <c r="R963" s="143"/>
      <c r="S963" s="140"/>
      <c r="T963" s="143"/>
      <c r="U963" s="144"/>
      <c r="V963" s="147"/>
      <c r="X963" s="214"/>
    </row>
    <row r="964" spans="2:24" ht="10.95" customHeight="1" x14ac:dyDescent="0.25">
      <c r="B964" s="52"/>
      <c r="C964" s="166"/>
      <c r="D964" s="53"/>
      <c r="E964" s="155"/>
      <c r="F964" s="167" t="str">
        <f>_xlfn.IFNA(VLOOKUP(E962,'Data Kyu'!$A$6:$I$471,2,0),"")</f>
        <v/>
      </c>
      <c r="G964" s="168"/>
      <c r="H964" s="168"/>
      <c r="I964" s="168"/>
      <c r="J964" s="168"/>
      <c r="K964" s="169"/>
      <c r="L964" s="146"/>
      <c r="M964" s="147"/>
      <c r="N964" s="173" t="s">
        <v>6</v>
      </c>
      <c r="O964" s="159"/>
      <c r="P964" s="57"/>
      <c r="Q964" s="159" t="s">
        <v>7</v>
      </c>
      <c r="R964" s="159"/>
      <c r="S964" s="57"/>
      <c r="T964" s="159" t="s">
        <v>8</v>
      </c>
      <c r="U964" s="160"/>
      <c r="V964" s="175"/>
      <c r="X964" s="214"/>
    </row>
    <row r="965" spans="2:24" ht="10.95" customHeight="1" x14ac:dyDescent="0.25">
      <c r="B965" s="54"/>
      <c r="C965" s="76"/>
      <c r="D965" s="56"/>
      <c r="E965" s="156"/>
      <c r="F965" s="170"/>
      <c r="G965" s="171"/>
      <c r="H965" s="171"/>
      <c r="I965" s="171"/>
      <c r="J965" s="171"/>
      <c r="K965" s="172"/>
      <c r="L965" s="148"/>
      <c r="M965" s="144"/>
      <c r="N965" s="174"/>
      <c r="O965" s="161"/>
      <c r="P965" s="27"/>
      <c r="Q965" s="161"/>
      <c r="R965" s="161"/>
      <c r="S965" s="27"/>
      <c r="T965" s="161"/>
      <c r="U965" s="162"/>
      <c r="V965" s="176"/>
      <c r="X965" s="214"/>
    </row>
    <row r="966" spans="2:24" ht="10.95" customHeight="1" x14ac:dyDescent="0.25">
      <c r="B966" s="41"/>
      <c r="C966" s="77"/>
      <c r="D966" s="42"/>
      <c r="E966" s="154">
        <f t="shared" ref="E966" si="17">E962+1</f>
        <v>124</v>
      </c>
      <c r="F966" s="145" t="str">
        <f>_xlfn.IFNA(VLOOKUP(E966,'Data Kyu'!$A$6:$I$471,3,0),"")</f>
        <v/>
      </c>
      <c r="G966" s="142"/>
      <c r="H966" s="66"/>
      <c r="I966" s="66"/>
      <c r="J966" s="66"/>
      <c r="K966" s="66"/>
      <c r="L966" s="145" t="str">
        <f>_xlfn.IFNA(VLOOKUP(E966,'Data Kyu'!$A$6:$I$471,9,0),"")</f>
        <v/>
      </c>
      <c r="M966" s="142"/>
      <c r="N966" s="145" t="str">
        <f>_xlfn.IFNA(VLOOKUP(E966,'Data Kyu'!$A$6:$I$471,6,0),"")</f>
        <v/>
      </c>
      <c r="O966" s="141"/>
      <c r="P966" s="139" t="s">
        <v>5</v>
      </c>
      <c r="Q966" s="141" t="str">
        <f>_xlfn.IFNA(VLOOKUP(E966,'Data Kyu'!$A$6:$I$471,7,0),"")</f>
        <v/>
      </c>
      <c r="R966" s="141"/>
      <c r="S966" s="139" t="s">
        <v>5</v>
      </c>
      <c r="T966" s="141" t="str">
        <f>_xlfn.IFNA(VLOOKUP(E966,'Data Kyu'!$A$6:$I$471,8,0),"")</f>
        <v/>
      </c>
      <c r="U966" s="142"/>
      <c r="V966" s="142" t="str">
        <f>_xlfn.IFNA(VLOOKUP(E966,'Data Kyu'!$A$6:$I$471,4,0),"")</f>
        <v/>
      </c>
      <c r="X966" s="214" t="str">
        <f>_xlfn.IFNA(VLOOKUP(F966,'Data Kyu'!$C$6:$N$997,12,0),"No Data")</f>
        <v>No Data</v>
      </c>
    </row>
    <row r="967" spans="2:24" ht="10.95" customHeight="1" x14ac:dyDescent="0.25">
      <c r="B967" s="52"/>
      <c r="C967" s="165" t="str">
        <f>IF(X966="LULUS","V","")</f>
        <v/>
      </c>
      <c r="D967" s="53"/>
      <c r="E967" s="155"/>
      <c r="F967" s="148"/>
      <c r="G967" s="144"/>
      <c r="H967" s="67"/>
      <c r="I967" s="67"/>
      <c r="J967" s="67"/>
      <c r="K967" s="67"/>
      <c r="L967" s="146"/>
      <c r="M967" s="147"/>
      <c r="N967" s="148"/>
      <c r="O967" s="143"/>
      <c r="P967" s="140"/>
      <c r="Q967" s="143"/>
      <c r="R967" s="143"/>
      <c r="S967" s="140"/>
      <c r="T967" s="143"/>
      <c r="U967" s="144"/>
      <c r="V967" s="147"/>
      <c r="X967" s="214"/>
    </row>
    <row r="968" spans="2:24" ht="10.95" customHeight="1" x14ac:dyDescent="0.25">
      <c r="B968" s="52"/>
      <c r="C968" s="166"/>
      <c r="D968" s="53"/>
      <c r="E968" s="155"/>
      <c r="F968" s="167" t="str">
        <f>_xlfn.IFNA(VLOOKUP(E966,'Data Kyu'!$A$6:$I$471,2,0),"")</f>
        <v/>
      </c>
      <c r="G968" s="168"/>
      <c r="H968" s="168"/>
      <c r="I968" s="168"/>
      <c r="J968" s="168"/>
      <c r="K968" s="169"/>
      <c r="L968" s="146"/>
      <c r="M968" s="147"/>
      <c r="N968" s="173" t="s">
        <v>6</v>
      </c>
      <c r="O968" s="159"/>
      <c r="P968" s="57"/>
      <c r="Q968" s="159" t="s">
        <v>7</v>
      </c>
      <c r="R968" s="159"/>
      <c r="S968" s="57"/>
      <c r="T968" s="159" t="s">
        <v>8</v>
      </c>
      <c r="U968" s="160"/>
      <c r="V968" s="175"/>
      <c r="X968" s="214"/>
    </row>
    <row r="969" spans="2:24" ht="10.95" customHeight="1" x14ac:dyDescent="0.25">
      <c r="B969" s="54"/>
      <c r="C969" s="76"/>
      <c r="D969" s="56"/>
      <c r="E969" s="156"/>
      <c r="F969" s="170"/>
      <c r="G969" s="171"/>
      <c r="H969" s="171"/>
      <c r="I969" s="171"/>
      <c r="J969" s="171"/>
      <c r="K969" s="172"/>
      <c r="L969" s="148"/>
      <c r="M969" s="144"/>
      <c r="N969" s="174"/>
      <c r="O969" s="161"/>
      <c r="P969" s="27"/>
      <c r="Q969" s="161"/>
      <c r="R969" s="161"/>
      <c r="S969" s="27"/>
      <c r="T969" s="161"/>
      <c r="U969" s="162"/>
      <c r="V969" s="176"/>
      <c r="X969" s="214"/>
    </row>
    <row r="970" spans="2:24" ht="10.95" customHeight="1" x14ac:dyDescent="0.25">
      <c r="B970" s="41"/>
      <c r="C970" s="77"/>
      <c r="D970" s="42"/>
      <c r="E970" s="154">
        <f t="shared" ref="E970" si="18">E966+1</f>
        <v>125</v>
      </c>
      <c r="F970" s="145" t="str">
        <f>_xlfn.IFNA(VLOOKUP(E970,'Data Kyu'!$A$6:$I$471,3,0),"")</f>
        <v/>
      </c>
      <c r="G970" s="142"/>
      <c r="H970" s="66"/>
      <c r="I970" s="66"/>
      <c r="J970" s="66"/>
      <c r="K970" s="66"/>
      <c r="L970" s="145" t="str">
        <f>_xlfn.IFNA(VLOOKUP(E970,'Data Kyu'!$A$6:$I$471,9,0),"")</f>
        <v/>
      </c>
      <c r="M970" s="142"/>
      <c r="N970" s="145" t="str">
        <f>_xlfn.IFNA(VLOOKUP(E970,'Data Kyu'!$A$6:$I$471,6,0),"")</f>
        <v/>
      </c>
      <c r="O970" s="141"/>
      <c r="P970" s="139" t="s">
        <v>5</v>
      </c>
      <c r="Q970" s="141" t="str">
        <f>_xlfn.IFNA(VLOOKUP(E970,'Data Kyu'!$A$6:$I$471,7,0),"")</f>
        <v/>
      </c>
      <c r="R970" s="141"/>
      <c r="S970" s="139" t="s">
        <v>5</v>
      </c>
      <c r="T970" s="141" t="str">
        <f>_xlfn.IFNA(VLOOKUP(E970,'Data Kyu'!$A$6:$I$471,8,0),"")</f>
        <v/>
      </c>
      <c r="U970" s="142"/>
      <c r="V970" s="142" t="str">
        <f>_xlfn.IFNA(VLOOKUP(E970,'Data Kyu'!$A$6:$I$471,4,0),"")</f>
        <v/>
      </c>
      <c r="X970" s="214" t="str">
        <f>_xlfn.IFNA(VLOOKUP(F970,'Data Kyu'!$C$6:$N$997,12,0),"No Data")</f>
        <v>No Data</v>
      </c>
    </row>
    <row r="971" spans="2:24" ht="10.95" customHeight="1" x14ac:dyDescent="0.25">
      <c r="B971" s="52"/>
      <c r="C971" s="165" t="str">
        <f>IF(X970="LULUS","V","")</f>
        <v/>
      </c>
      <c r="D971" s="53"/>
      <c r="E971" s="155"/>
      <c r="F971" s="148"/>
      <c r="G971" s="144"/>
      <c r="H971" s="67"/>
      <c r="I971" s="67"/>
      <c r="J971" s="67"/>
      <c r="K971" s="67"/>
      <c r="L971" s="146"/>
      <c r="M971" s="147"/>
      <c r="N971" s="148"/>
      <c r="O971" s="143"/>
      <c r="P971" s="140"/>
      <c r="Q971" s="143"/>
      <c r="R971" s="143"/>
      <c r="S971" s="140"/>
      <c r="T971" s="143"/>
      <c r="U971" s="144"/>
      <c r="V971" s="147"/>
      <c r="X971" s="214"/>
    </row>
    <row r="972" spans="2:24" ht="10.95" customHeight="1" x14ac:dyDescent="0.25">
      <c r="B972" s="52"/>
      <c r="C972" s="166"/>
      <c r="D972" s="53"/>
      <c r="E972" s="155"/>
      <c r="F972" s="167" t="str">
        <f>_xlfn.IFNA(VLOOKUP(E970,'Data Kyu'!$A$6:$I$471,2,0),"")</f>
        <v/>
      </c>
      <c r="G972" s="168"/>
      <c r="H972" s="168"/>
      <c r="I972" s="168"/>
      <c r="J972" s="168"/>
      <c r="K972" s="169"/>
      <c r="L972" s="146"/>
      <c r="M972" s="147"/>
      <c r="N972" s="173" t="s">
        <v>6</v>
      </c>
      <c r="O972" s="159"/>
      <c r="P972" s="57"/>
      <c r="Q972" s="159" t="s">
        <v>7</v>
      </c>
      <c r="R972" s="159"/>
      <c r="S972" s="57"/>
      <c r="T972" s="159" t="s">
        <v>8</v>
      </c>
      <c r="U972" s="160"/>
      <c r="V972" s="175"/>
      <c r="X972" s="214"/>
    </row>
    <row r="973" spans="2:24" ht="10.95" customHeight="1" x14ac:dyDescent="0.25">
      <c r="B973" s="54"/>
      <c r="C973" s="76"/>
      <c r="D973" s="56"/>
      <c r="E973" s="156"/>
      <c r="F973" s="170"/>
      <c r="G973" s="171"/>
      <c r="H973" s="171"/>
      <c r="I973" s="171"/>
      <c r="J973" s="171"/>
      <c r="K973" s="172"/>
      <c r="L973" s="148"/>
      <c r="M973" s="144"/>
      <c r="N973" s="174"/>
      <c r="O973" s="161"/>
      <c r="P973" s="27"/>
      <c r="Q973" s="161"/>
      <c r="R973" s="161"/>
      <c r="S973" s="27"/>
      <c r="T973" s="161"/>
      <c r="U973" s="162"/>
      <c r="V973" s="176"/>
      <c r="X973" s="214"/>
    </row>
    <row r="974" spans="2:24" ht="10.95" customHeight="1" x14ac:dyDescent="0.25">
      <c r="B974" s="41"/>
      <c r="C974" s="77"/>
      <c r="D974" s="42"/>
      <c r="E974" s="154">
        <f t="shared" ref="E974" si="19">E970+1</f>
        <v>126</v>
      </c>
      <c r="F974" s="145" t="str">
        <f>_xlfn.IFNA(VLOOKUP(E974,'Data Kyu'!$A$6:$I$471,3,0),"")</f>
        <v/>
      </c>
      <c r="G974" s="142"/>
      <c r="H974" s="66"/>
      <c r="I974" s="66"/>
      <c r="J974" s="66"/>
      <c r="K974" s="66"/>
      <c r="L974" s="145" t="str">
        <f>_xlfn.IFNA(VLOOKUP(E974,'Data Kyu'!$A$6:$I$471,9,0),"")</f>
        <v/>
      </c>
      <c r="M974" s="142"/>
      <c r="N974" s="145" t="str">
        <f>_xlfn.IFNA(VLOOKUP(E974,'Data Kyu'!$A$6:$I$471,6,0),"")</f>
        <v/>
      </c>
      <c r="O974" s="141"/>
      <c r="P974" s="139" t="s">
        <v>5</v>
      </c>
      <c r="Q974" s="141" t="str">
        <f>_xlfn.IFNA(VLOOKUP(E974,'Data Kyu'!$A$6:$I$471,7,0),"")</f>
        <v/>
      </c>
      <c r="R974" s="141"/>
      <c r="S974" s="139" t="s">
        <v>5</v>
      </c>
      <c r="T974" s="141" t="str">
        <f>_xlfn.IFNA(VLOOKUP(E974,'Data Kyu'!$A$6:$I$471,8,0),"")</f>
        <v/>
      </c>
      <c r="U974" s="142"/>
      <c r="V974" s="142" t="str">
        <f>_xlfn.IFNA(VLOOKUP(E974,'Data Kyu'!$A$6:$I$471,4,0),"")</f>
        <v/>
      </c>
      <c r="X974" s="214" t="str">
        <f>_xlfn.IFNA(VLOOKUP(F974,'Data Kyu'!$C$6:$N$997,12,0),"No Data")</f>
        <v>No Data</v>
      </c>
    </row>
    <row r="975" spans="2:24" ht="10.95" customHeight="1" x14ac:dyDescent="0.25">
      <c r="B975" s="52"/>
      <c r="C975" s="165" t="str">
        <f>IF(X974="LULUS","V","")</f>
        <v/>
      </c>
      <c r="D975" s="53"/>
      <c r="E975" s="155"/>
      <c r="F975" s="148"/>
      <c r="G975" s="144"/>
      <c r="H975" s="67"/>
      <c r="I975" s="67"/>
      <c r="J975" s="67"/>
      <c r="K975" s="67"/>
      <c r="L975" s="146"/>
      <c r="M975" s="147"/>
      <c r="N975" s="148"/>
      <c r="O975" s="143"/>
      <c r="P975" s="140"/>
      <c r="Q975" s="143"/>
      <c r="R975" s="143"/>
      <c r="S975" s="140"/>
      <c r="T975" s="143"/>
      <c r="U975" s="144"/>
      <c r="V975" s="147"/>
      <c r="X975" s="214"/>
    </row>
    <row r="976" spans="2:24" ht="10.95" customHeight="1" x14ac:dyDescent="0.25">
      <c r="B976" s="52"/>
      <c r="C976" s="166"/>
      <c r="D976" s="53"/>
      <c r="E976" s="155"/>
      <c r="F976" s="167" t="str">
        <f>_xlfn.IFNA(VLOOKUP(E974,'Data Kyu'!$A$6:$I$471,2,0),"")</f>
        <v/>
      </c>
      <c r="G976" s="168"/>
      <c r="H976" s="168"/>
      <c r="I976" s="168"/>
      <c r="J976" s="168"/>
      <c r="K976" s="169"/>
      <c r="L976" s="146"/>
      <c r="M976" s="147"/>
      <c r="N976" s="173" t="s">
        <v>6</v>
      </c>
      <c r="O976" s="159"/>
      <c r="P976" s="57"/>
      <c r="Q976" s="159" t="s">
        <v>7</v>
      </c>
      <c r="R976" s="159"/>
      <c r="S976" s="57"/>
      <c r="T976" s="159" t="s">
        <v>8</v>
      </c>
      <c r="U976" s="160"/>
      <c r="V976" s="175"/>
      <c r="X976" s="214"/>
    </row>
    <row r="977" spans="2:24" ht="10.95" customHeight="1" x14ac:dyDescent="0.25">
      <c r="B977" s="54"/>
      <c r="C977" s="76"/>
      <c r="D977" s="56"/>
      <c r="E977" s="156"/>
      <c r="F977" s="170"/>
      <c r="G977" s="171"/>
      <c r="H977" s="171"/>
      <c r="I977" s="171"/>
      <c r="J977" s="171"/>
      <c r="K977" s="172"/>
      <c r="L977" s="148"/>
      <c r="M977" s="144"/>
      <c r="N977" s="174"/>
      <c r="O977" s="161"/>
      <c r="P977" s="27"/>
      <c r="Q977" s="161"/>
      <c r="R977" s="161"/>
      <c r="S977" s="27"/>
      <c r="T977" s="161"/>
      <c r="U977" s="162"/>
      <c r="V977" s="176"/>
      <c r="X977" s="214"/>
    </row>
    <row r="978" spans="2:24" ht="10.95" customHeight="1" x14ac:dyDescent="0.25">
      <c r="B978" s="41"/>
      <c r="C978" s="77"/>
      <c r="D978" s="42"/>
      <c r="E978" s="154">
        <f t="shared" ref="E978" si="20">E974+1</f>
        <v>127</v>
      </c>
      <c r="F978" s="145" t="str">
        <f>_xlfn.IFNA(VLOOKUP(E978,'Data Kyu'!$A$6:$I$471,3,0),"")</f>
        <v/>
      </c>
      <c r="G978" s="142"/>
      <c r="H978" s="66"/>
      <c r="I978" s="66"/>
      <c r="J978" s="66"/>
      <c r="K978" s="66"/>
      <c r="L978" s="145" t="str">
        <f>_xlfn.IFNA(VLOOKUP(E978,'Data Kyu'!$A$6:$I$471,9,0),"")</f>
        <v/>
      </c>
      <c r="M978" s="142"/>
      <c r="N978" s="145" t="str">
        <f>_xlfn.IFNA(VLOOKUP(E978,'Data Kyu'!$A$6:$I$471,6,0),"")</f>
        <v/>
      </c>
      <c r="O978" s="141"/>
      <c r="P978" s="139" t="s">
        <v>5</v>
      </c>
      <c r="Q978" s="141" t="str">
        <f>_xlfn.IFNA(VLOOKUP(E978,'Data Kyu'!$A$6:$I$471,7,0),"")</f>
        <v/>
      </c>
      <c r="R978" s="141"/>
      <c r="S978" s="139" t="s">
        <v>5</v>
      </c>
      <c r="T978" s="141" t="str">
        <f>_xlfn.IFNA(VLOOKUP(E978,'Data Kyu'!$A$6:$I$471,8,0),"")</f>
        <v/>
      </c>
      <c r="U978" s="142"/>
      <c r="V978" s="142" t="str">
        <f>_xlfn.IFNA(VLOOKUP(E978,'Data Kyu'!$A$6:$I$471,4,0),"")</f>
        <v/>
      </c>
      <c r="X978" s="214" t="str">
        <f>_xlfn.IFNA(VLOOKUP(F978,'Data Kyu'!$C$6:$N$997,12,0),"No Data")</f>
        <v>No Data</v>
      </c>
    </row>
    <row r="979" spans="2:24" ht="10.95" customHeight="1" x14ac:dyDescent="0.25">
      <c r="B979" s="52"/>
      <c r="C979" s="165" t="str">
        <f>IF(X978="LULUS","V","")</f>
        <v/>
      </c>
      <c r="D979" s="53"/>
      <c r="E979" s="155"/>
      <c r="F979" s="148"/>
      <c r="G979" s="144"/>
      <c r="H979" s="67"/>
      <c r="I979" s="67"/>
      <c r="J979" s="67"/>
      <c r="K979" s="67"/>
      <c r="L979" s="146"/>
      <c r="M979" s="147"/>
      <c r="N979" s="148"/>
      <c r="O979" s="143"/>
      <c r="P979" s="140"/>
      <c r="Q979" s="143"/>
      <c r="R979" s="143"/>
      <c r="S979" s="140"/>
      <c r="T979" s="143"/>
      <c r="U979" s="144"/>
      <c r="V979" s="147"/>
      <c r="X979" s="214"/>
    </row>
    <row r="980" spans="2:24" ht="10.95" customHeight="1" x14ac:dyDescent="0.25">
      <c r="B980" s="52"/>
      <c r="C980" s="166"/>
      <c r="D980" s="53"/>
      <c r="E980" s="155"/>
      <c r="F980" s="167" t="str">
        <f>_xlfn.IFNA(VLOOKUP(E978,'Data Kyu'!$A$6:$I$471,2,0),"")</f>
        <v/>
      </c>
      <c r="G980" s="168"/>
      <c r="H980" s="168"/>
      <c r="I980" s="168"/>
      <c r="J980" s="168"/>
      <c r="K980" s="169"/>
      <c r="L980" s="146"/>
      <c r="M980" s="147"/>
      <c r="N980" s="173" t="s">
        <v>6</v>
      </c>
      <c r="O980" s="159"/>
      <c r="P980" s="57"/>
      <c r="Q980" s="159" t="s">
        <v>7</v>
      </c>
      <c r="R980" s="159"/>
      <c r="S980" s="57"/>
      <c r="T980" s="159" t="s">
        <v>8</v>
      </c>
      <c r="U980" s="160"/>
      <c r="V980" s="175"/>
      <c r="X980" s="214"/>
    </row>
    <row r="981" spans="2:24" ht="10.95" customHeight="1" x14ac:dyDescent="0.25">
      <c r="B981" s="54"/>
      <c r="C981" s="76"/>
      <c r="D981" s="56"/>
      <c r="E981" s="156"/>
      <c r="F981" s="170"/>
      <c r="G981" s="171"/>
      <c r="H981" s="171"/>
      <c r="I981" s="171"/>
      <c r="J981" s="171"/>
      <c r="K981" s="172"/>
      <c r="L981" s="148"/>
      <c r="M981" s="144"/>
      <c r="N981" s="174"/>
      <c r="O981" s="161"/>
      <c r="P981" s="27"/>
      <c r="Q981" s="161"/>
      <c r="R981" s="161"/>
      <c r="S981" s="27"/>
      <c r="T981" s="161"/>
      <c r="U981" s="162"/>
      <c r="V981" s="176"/>
      <c r="X981" s="214"/>
    </row>
    <row r="982" spans="2:24" ht="10.95" customHeight="1" x14ac:dyDescent="0.25">
      <c r="B982" s="41"/>
      <c r="C982" s="77"/>
      <c r="D982" s="42"/>
      <c r="E982" s="154">
        <f t="shared" ref="E982" si="21">E978+1</f>
        <v>128</v>
      </c>
      <c r="F982" s="145" t="str">
        <f>_xlfn.IFNA(VLOOKUP(E982,'Data Kyu'!$A$6:$I$471,3,0),"")</f>
        <v/>
      </c>
      <c r="G982" s="142"/>
      <c r="H982" s="66"/>
      <c r="I982" s="66"/>
      <c r="J982" s="66"/>
      <c r="K982" s="66"/>
      <c r="L982" s="145" t="str">
        <f>_xlfn.IFNA(VLOOKUP(E982,'Data Kyu'!$A$6:$I$471,9,0),"")</f>
        <v/>
      </c>
      <c r="M982" s="142"/>
      <c r="N982" s="145" t="str">
        <f>_xlfn.IFNA(VLOOKUP(E982,'Data Kyu'!$A$6:$I$471,6,0),"")</f>
        <v/>
      </c>
      <c r="O982" s="141"/>
      <c r="P982" s="139" t="s">
        <v>5</v>
      </c>
      <c r="Q982" s="141" t="str">
        <f>_xlfn.IFNA(VLOOKUP(E982,'Data Kyu'!$A$6:$I$471,7,0),"")</f>
        <v/>
      </c>
      <c r="R982" s="141"/>
      <c r="S982" s="139" t="s">
        <v>5</v>
      </c>
      <c r="T982" s="141" t="str">
        <f>_xlfn.IFNA(VLOOKUP(E982,'Data Kyu'!$A$6:$I$471,8,0),"")</f>
        <v/>
      </c>
      <c r="U982" s="142"/>
      <c r="V982" s="142" t="str">
        <f>_xlfn.IFNA(VLOOKUP(E982,'Data Kyu'!$A$6:$I$471,4,0),"")</f>
        <v/>
      </c>
      <c r="X982" s="214" t="str">
        <f>_xlfn.IFNA(VLOOKUP(F982,'Data Kyu'!$C$6:$N$997,12,0),"No Data")</f>
        <v>No Data</v>
      </c>
    </row>
    <row r="983" spans="2:24" ht="10.95" customHeight="1" x14ac:dyDescent="0.25">
      <c r="B983" s="52"/>
      <c r="C983" s="165" t="str">
        <f>IF(X982="LULUS","V","")</f>
        <v/>
      </c>
      <c r="D983" s="53"/>
      <c r="E983" s="155"/>
      <c r="F983" s="148"/>
      <c r="G983" s="144"/>
      <c r="H983" s="67"/>
      <c r="I983" s="67"/>
      <c r="J983" s="67"/>
      <c r="K983" s="67"/>
      <c r="L983" s="146"/>
      <c r="M983" s="147"/>
      <c r="N983" s="148"/>
      <c r="O983" s="143"/>
      <c r="P983" s="140"/>
      <c r="Q983" s="143"/>
      <c r="R983" s="143"/>
      <c r="S983" s="140"/>
      <c r="T983" s="143"/>
      <c r="U983" s="144"/>
      <c r="V983" s="147"/>
      <c r="X983" s="214"/>
    </row>
    <row r="984" spans="2:24" ht="10.95" customHeight="1" x14ac:dyDescent="0.25">
      <c r="B984" s="52"/>
      <c r="C984" s="166"/>
      <c r="D984" s="53"/>
      <c r="E984" s="155"/>
      <c r="F984" s="167" t="str">
        <f>_xlfn.IFNA(VLOOKUP(E982,'Data Kyu'!$A$6:$I$471,2,0),"")</f>
        <v/>
      </c>
      <c r="G984" s="168"/>
      <c r="H984" s="168"/>
      <c r="I984" s="168"/>
      <c r="J984" s="168"/>
      <c r="K984" s="169"/>
      <c r="L984" s="146"/>
      <c r="M984" s="147"/>
      <c r="N984" s="173" t="s">
        <v>6</v>
      </c>
      <c r="O984" s="159"/>
      <c r="P984" s="57"/>
      <c r="Q984" s="159" t="s">
        <v>7</v>
      </c>
      <c r="R984" s="159"/>
      <c r="S984" s="57"/>
      <c r="T984" s="159" t="s">
        <v>8</v>
      </c>
      <c r="U984" s="160"/>
      <c r="V984" s="175"/>
      <c r="X984" s="214"/>
    </row>
    <row r="985" spans="2:24" ht="10.95" customHeight="1" x14ac:dyDescent="0.25">
      <c r="B985" s="54"/>
      <c r="C985" s="76"/>
      <c r="D985" s="56"/>
      <c r="E985" s="156"/>
      <c r="F985" s="170"/>
      <c r="G985" s="171"/>
      <c r="H985" s="171"/>
      <c r="I985" s="171"/>
      <c r="J985" s="171"/>
      <c r="K985" s="172"/>
      <c r="L985" s="148"/>
      <c r="M985" s="144"/>
      <c r="N985" s="174"/>
      <c r="O985" s="161"/>
      <c r="P985" s="27"/>
      <c r="Q985" s="161"/>
      <c r="R985" s="161"/>
      <c r="S985" s="27"/>
      <c r="T985" s="161"/>
      <c r="U985" s="162"/>
      <c r="V985" s="176"/>
      <c r="X985" s="214"/>
    </row>
    <row r="986" spans="2:24" ht="10.95" customHeight="1" x14ac:dyDescent="0.25">
      <c r="B986" s="41"/>
      <c r="C986" s="77"/>
      <c r="D986" s="42"/>
      <c r="E986" s="154">
        <f t="shared" ref="E986" si="22">E982+1</f>
        <v>129</v>
      </c>
      <c r="F986" s="145" t="str">
        <f>_xlfn.IFNA(VLOOKUP(E986,'Data Kyu'!$A$6:$I$471,3,0),"")</f>
        <v/>
      </c>
      <c r="G986" s="142"/>
      <c r="H986" s="66"/>
      <c r="I986" s="66"/>
      <c r="J986" s="66"/>
      <c r="K986" s="66"/>
      <c r="L986" s="145" t="str">
        <f>_xlfn.IFNA(VLOOKUP(E986,'Data Kyu'!$A$6:$I$471,9,0),"")</f>
        <v/>
      </c>
      <c r="M986" s="142"/>
      <c r="N986" s="145" t="str">
        <f>_xlfn.IFNA(VLOOKUP(E986,'Data Kyu'!$A$6:$I$471,6,0),"")</f>
        <v/>
      </c>
      <c r="O986" s="141"/>
      <c r="P986" s="139" t="s">
        <v>5</v>
      </c>
      <c r="Q986" s="141" t="str">
        <f>_xlfn.IFNA(VLOOKUP(E986,'Data Kyu'!$A$6:$I$471,7,0),"")</f>
        <v/>
      </c>
      <c r="R986" s="141"/>
      <c r="S986" s="139" t="s">
        <v>5</v>
      </c>
      <c r="T986" s="141" t="str">
        <f>_xlfn.IFNA(VLOOKUP(E986,'Data Kyu'!$A$6:$I$471,8,0),"")</f>
        <v/>
      </c>
      <c r="U986" s="142"/>
      <c r="V986" s="142" t="str">
        <f>_xlfn.IFNA(VLOOKUP(E986,'Data Kyu'!$A$6:$I$471,4,0),"")</f>
        <v/>
      </c>
      <c r="X986" s="214" t="str">
        <f>_xlfn.IFNA(VLOOKUP(F986,'Data Kyu'!$C$6:$N$997,12,0),"No Data")</f>
        <v>No Data</v>
      </c>
    </row>
    <row r="987" spans="2:24" ht="10.95" customHeight="1" x14ac:dyDescent="0.25">
      <c r="B987" s="52"/>
      <c r="C987" s="165" t="str">
        <f>IF(X986="LULUS","V","")</f>
        <v/>
      </c>
      <c r="D987" s="53"/>
      <c r="E987" s="155"/>
      <c r="F987" s="148"/>
      <c r="G987" s="144"/>
      <c r="H987" s="67"/>
      <c r="I987" s="67"/>
      <c r="J987" s="67"/>
      <c r="K987" s="67"/>
      <c r="L987" s="146"/>
      <c r="M987" s="147"/>
      <c r="N987" s="148"/>
      <c r="O987" s="143"/>
      <c r="P987" s="140"/>
      <c r="Q987" s="143"/>
      <c r="R987" s="143"/>
      <c r="S987" s="140"/>
      <c r="T987" s="143"/>
      <c r="U987" s="144"/>
      <c r="V987" s="147"/>
      <c r="X987" s="214"/>
    </row>
    <row r="988" spans="2:24" ht="10.95" customHeight="1" x14ac:dyDescent="0.25">
      <c r="B988" s="52"/>
      <c r="C988" s="166"/>
      <c r="D988" s="53"/>
      <c r="E988" s="155"/>
      <c r="F988" s="167" t="str">
        <f>_xlfn.IFNA(VLOOKUP(E986,'Data Kyu'!$A$6:$I$471,2,0),"")</f>
        <v/>
      </c>
      <c r="G988" s="168"/>
      <c r="H988" s="168"/>
      <c r="I988" s="168"/>
      <c r="J988" s="168"/>
      <c r="K988" s="169"/>
      <c r="L988" s="146"/>
      <c r="M988" s="147"/>
      <c r="N988" s="173" t="s">
        <v>6</v>
      </c>
      <c r="O988" s="159"/>
      <c r="P988" s="57"/>
      <c r="Q988" s="159" t="s">
        <v>7</v>
      </c>
      <c r="R988" s="159"/>
      <c r="S988" s="57"/>
      <c r="T988" s="159" t="s">
        <v>8</v>
      </c>
      <c r="U988" s="160"/>
      <c r="V988" s="175"/>
      <c r="X988" s="214"/>
    </row>
    <row r="989" spans="2:24" ht="10.95" customHeight="1" x14ac:dyDescent="0.25">
      <c r="B989" s="54"/>
      <c r="C989" s="76"/>
      <c r="D989" s="56"/>
      <c r="E989" s="156"/>
      <c r="F989" s="170"/>
      <c r="G989" s="171"/>
      <c r="H989" s="171"/>
      <c r="I989" s="171"/>
      <c r="J989" s="171"/>
      <c r="K989" s="172"/>
      <c r="L989" s="148"/>
      <c r="M989" s="144"/>
      <c r="N989" s="174"/>
      <c r="O989" s="161"/>
      <c r="P989" s="27"/>
      <c r="Q989" s="161"/>
      <c r="R989" s="161"/>
      <c r="S989" s="27"/>
      <c r="T989" s="161"/>
      <c r="U989" s="162"/>
      <c r="V989" s="176"/>
      <c r="X989" s="214"/>
    </row>
    <row r="990" spans="2:24" ht="10.95" customHeight="1" x14ac:dyDescent="0.25">
      <c r="B990" s="41"/>
      <c r="C990" s="77"/>
      <c r="D990" s="42"/>
      <c r="E990" s="154">
        <f t="shared" ref="E990" si="23">E986+1</f>
        <v>130</v>
      </c>
      <c r="F990" s="145" t="str">
        <f>_xlfn.IFNA(VLOOKUP(E990,'Data Kyu'!$A$6:$I$471,3,0),"")</f>
        <v/>
      </c>
      <c r="G990" s="142"/>
      <c r="H990" s="66"/>
      <c r="I990" s="66"/>
      <c r="J990" s="66"/>
      <c r="K990" s="66"/>
      <c r="L990" s="145" t="str">
        <f>_xlfn.IFNA(VLOOKUP(E990,'Data Kyu'!$A$6:$I$471,9,0),"")</f>
        <v/>
      </c>
      <c r="M990" s="142"/>
      <c r="N990" s="145" t="str">
        <f>_xlfn.IFNA(VLOOKUP(E990,'Data Kyu'!$A$6:$I$471,6,0),"")</f>
        <v/>
      </c>
      <c r="O990" s="141"/>
      <c r="P990" s="139" t="s">
        <v>5</v>
      </c>
      <c r="Q990" s="141" t="str">
        <f>_xlfn.IFNA(VLOOKUP(E990,'Data Kyu'!$A$6:$I$471,7,0),"")</f>
        <v/>
      </c>
      <c r="R990" s="141"/>
      <c r="S990" s="139" t="s">
        <v>5</v>
      </c>
      <c r="T990" s="141" t="str">
        <f>_xlfn.IFNA(VLOOKUP(E990,'Data Kyu'!$A$6:$I$471,8,0),"")</f>
        <v/>
      </c>
      <c r="U990" s="142"/>
      <c r="V990" s="142" t="str">
        <f>_xlfn.IFNA(VLOOKUP(E990,'Data Kyu'!$A$6:$I$471,4,0),"")</f>
        <v/>
      </c>
      <c r="X990" s="214" t="str">
        <f>_xlfn.IFNA(VLOOKUP(F990,'Data Kyu'!$C$6:$N$997,12,0),"No Data")</f>
        <v>No Data</v>
      </c>
    </row>
    <row r="991" spans="2:24" ht="10.95" customHeight="1" x14ac:dyDescent="0.25">
      <c r="B991" s="52"/>
      <c r="C991" s="165" t="str">
        <f>IF(X990="LULUS","V","")</f>
        <v/>
      </c>
      <c r="D991" s="53"/>
      <c r="E991" s="155"/>
      <c r="F991" s="148"/>
      <c r="G991" s="144"/>
      <c r="H991" s="67"/>
      <c r="I991" s="67"/>
      <c r="J991" s="67"/>
      <c r="K991" s="67"/>
      <c r="L991" s="146"/>
      <c r="M991" s="147"/>
      <c r="N991" s="148"/>
      <c r="O991" s="143"/>
      <c r="P991" s="140"/>
      <c r="Q991" s="143"/>
      <c r="R991" s="143"/>
      <c r="S991" s="140"/>
      <c r="T991" s="143"/>
      <c r="U991" s="144"/>
      <c r="V991" s="147"/>
      <c r="X991" s="214"/>
    </row>
    <row r="992" spans="2:24" ht="10.95" customHeight="1" x14ac:dyDescent="0.25">
      <c r="B992" s="52"/>
      <c r="C992" s="166"/>
      <c r="D992" s="53"/>
      <c r="E992" s="155"/>
      <c r="F992" s="167" t="str">
        <f>_xlfn.IFNA(VLOOKUP(E990,'Data Kyu'!$A$6:$I$471,2,0),"")</f>
        <v/>
      </c>
      <c r="G992" s="168"/>
      <c r="H992" s="168"/>
      <c r="I992" s="168"/>
      <c r="J992" s="168"/>
      <c r="K992" s="169"/>
      <c r="L992" s="146"/>
      <c r="M992" s="147"/>
      <c r="N992" s="173" t="s">
        <v>6</v>
      </c>
      <c r="O992" s="159"/>
      <c r="P992" s="57"/>
      <c r="Q992" s="159" t="s">
        <v>7</v>
      </c>
      <c r="R992" s="159"/>
      <c r="S992" s="57"/>
      <c r="T992" s="159" t="s">
        <v>8</v>
      </c>
      <c r="U992" s="160"/>
      <c r="V992" s="175"/>
      <c r="X992" s="214"/>
    </row>
    <row r="993" spans="2:24" ht="10.95" customHeight="1" x14ac:dyDescent="0.25">
      <c r="B993" s="54"/>
      <c r="C993" s="55"/>
      <c r="D993" s="56"/>
      <c r="E993" s="156"/>
      <c r="F993" s="170"/>
      <c r="G993" s="171"/>
      <c r="H993" s="171"/>
      <c r="I993" s="171"/>
      <c r="J993" s="171"/>
      <c r="K993" s="172"/>
      <c r="L993" s="148"/>
      <c r="M993" s="144"/>
      <c r="N993" s="174"/>
      <c r="O993" s="161"/>
      <c r="P993" s="27"/>
      <c r="Q993" s="161"/>
      <c r="R993" s="161"/>
      <c r="S993" s="27"/>
      <c r="T993" s="161"/>
      <c r="U993" s="162"/>
      <c r="V993" s="176"/>
      <c r="X993" s="214"/>
    </row>
    <row r="994" spans="2:24" ht="7.5" customHeight="1" x14ac:dyDescent="0.25"/>
    <row r="995" spans="2:24" s="34" customFormat="1" x14ac:dyDescent="0.25">
      <c r="E995" s="35" t="s">
        <v>30</v>
      </c>
      <c r="K995" s="35" t="s">
        <v>28</v>
      </c>
    </row>
    <row r="996" spans="2:24" x14ac:dyDescent="0.25">
      <c r="E996" s="33" t="s">
        <v>31</v>
      </c>
      <c r="F996" s="149"/>
      <c r="G996" s="149"/>
      <c r="H996" s="149"/>
      <c r="I996" s="149"/>
      <c r="J996" s="149"/>
      <c r="K996" s="33" t="s">
        <v>29</v>
      </c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</row>
    <row r="997" spans="2:24" ht="6.75" customHeight="1" x14ac:dyDescent="0.25">
      <c r="F997" s="34"/>
      <c r="G997" s="34"/>
      <c r="H997" s="34"/>
      <c r="I997" s="34"/>
      <c r="J997" s="34"/>
    </row>
    <row r="998" spans="2:24" s="34" customFormat="1" x14ac:dyDescent="0.25">
      <c r="E998" s="35" t="s">
        <v>32</v>
      </c>
      <c r="K998" s="35" t="s">
        <v>36</v>
      </c>
    </row>
    <row r="999" spans="2:24" x14ac:dyDescent="0.25">
      <c r="E999" s="33" t="s">
        <v>33</v>
      </c>
      <c r="F999" s="149"/>
      <c r="G999" s="149"/>
      <c r="H999" s="149"/>
      <c r="I999" s="149"/>
      <c r="J999" s="149"/>
      <c r="K999" s="33" t="s">
        <v>29</v>
      </c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</row>
    <row r="1000" spans="2:24" ht="6.75" customHeight="1" x14ac:dyDescent="0.25">
      <c r="F1000" s="34"/>
      <c r="G1000" s="34"/>
      <c r="H1000" s="34"/>
      <c r="I1000" s="34"/>
      <c r="J1000" s="34"/>
    </row>
    <row r="1001" spans="2:24" s="34" customFormat="1" ht="13.8" x14ac:dyDescent="0.25">
      <c r="E1001" s="35" t="s">
        <v>34</v>
      </c>
      <c r="F1001" s="177" t="str">
        <f>IF(F954&lt;&gt;"",$F$65,"")</f>
        <v/>
      </c>
      <c r="G1001" s="177"/>
      <c r="H1001" s="177"/>
      <c r="I1001" s="177"/>
      <c r="J1001" s="177"/>
      <c r="K1001" s="35" t="s">
        <v>28</v>
      </c>
      <c r="X1001" s="70" t="s">
        <v>107</v>
      </c>
    </row>
    <row r="1002" spans="2:24" ht="13.8" x14ac:dyDescent="0.25">
      <c r="E1002" s="33" t="s">
        <v>35</v>
      </c>
      <c r="F1002" s="178"/>
      <c r="G1002" s="178"/>
      <c r="H1002" s="178"/>
      <c r="I1002" s="178"/>
      <c r="J1002" s="178"/>
      <c r="K1002" s="33" t="s">
        <v>29</v>
      </c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X1002" s="70" t="s">
        <v>105</v>
      </c>
    </row>
    <row r="1003" spans="2:24" ht="12.75" customHeight="1" thickBot="1" x14ac:dyDescent="0.3"/>
    <row r="1004" spans="2:24" ht="13.8" thickTop="1" x14ac:dyDescent="0.25">
      <c r="B1004" s="34" t="s">
        <v>37</v>
      </c>
      <c r="C1004" s="34"/>
      <c r="D1004" s="34"/>
      <c r="H1004" s="150" t="s">
        <v>40</v>
      </c>
      <c r="I1004" s="151"/>
      <c r="J1004" s="151"/>
      <c r="K1004" s="151"/>
      <c r="L1004" s="151"/>
      <c r="M1004" s="151"/>
      <c r="N1004" s="151"/>
      <c r="O1004" s="151"/>
      <c r="P1004" s="151"/>
      <c r="Q1004" s="151"/>
      <c r="R1004" s="151"/>
      <c r="S1004" s="151"/>
      <c r="T1004" s="151"/>
      <c r="U1004" s="151"/>
      <c r="V1004" s="151"/>
    </row>
    <row r="1005" spans="2:24" x14ac:dyDescent="0.25">
      <c r="B1005" s="34" t="s">
        <v>38</v>
      </c>
      <c r="C1005" s="34"/>
      <c r="D1005" s="34"/>
      <c r="H1005" s="152"/>
      <c r="I1005" s="153"/>
      <c r="J1005" s="153"/>
      <c r="K1005" s="153"/>
      <c r="L1005" s="153"/>
      <c r="M1005" s="153"/>
      <c r="N1005" s="153"/>
      <c r="O1005" s="153"/>
      <c r="P1005" s="153"/>
      <c r="Q1005" s="153"/>
      <c r="R1005" s="153"/>
      <c r="S1005" s="153"/>
      <c r="T1005" s="153"/>
      <c r="U1005" s="153"/>
      <c r="V1005" s="153"/>
    </row>
    <row r="1006" spans="2:24" ht="12.75" customHeight="1" x14ac:dyDescent="0.25">
      <c r="B1006" s="163" t="s">
        <v>39</v>
      </c>
      <c r="C1006" s="163"/>
      <c r="D1006" s="163"/>
      <c r="E1006" s="163"/>
      <c r="F1006" s="163"/>
      <c r="H1006" s="37" t="s">
        <v>41</v>
      </c>
    </row>
    <row r="1007" spans="2:24" ht="13.8" x14ac:dyDescent="0.25">
      <c r="B1007" s="163"/>
      <c r="C1007" s="163"/>
      <c r="D1007" s="163"/>
      <c r="E1007" s="163"/>
      <c r="F1007" s="163"/>
      <c r="H1007" s="38" t="s">
        <v>42</v>
      </c>
    </row>
    <row r="1008" spans="2:24" x14ac:dyDescent="0.25">
      <c r="B1008" s="163"/>
      <c r="C1008" s="163"/>
      <c r="D1008" s="163"/>
      <c r="E1008" s="163"/>
      <c r="F1008" s="163"/>
      <c r="H1008" s="36"/>
    </row>
    <row r="1009" spans="2:24" x14ac:dyDescent="0.25">
      <c r="B1009" s="163"/>
      <c r="C1009" s="163"/>
      <c r="D1009" s="163"/>
      <c r="E1009" s="163"/>
      <c r="F1009" s="163"/>
      <c r="H1009" s="36"/>
    </row>
    <row r="1010" spans="2:24" x14ac:dyDescent="0.25">
      <c r="H1010" s="36"/>
    </row>
    <row r="1011" spans="2:24" x14ac:dyDescent="0.25">
      <c r="H1011" s="36"/>
    </row>
    <row r="1012" spans="2:24" x14ac:dyDescent="0.25">
      <c r="H1012" s="36"/>
    </row>
    <row r="1013" spans="2:24" x14ac:dyDescent="0.25">
      <c r="H1013" s="36"/>
    </row>
    <row r="1014" spans="2:24" ht="13.8" x14ac:dyDescent="0.25">
      <c r="H1014" s="157" t="str">
        <f>IF(F954&lt;&gt;"",$H$78,"")</f>
        <v/>
      </c>
      <c r="I1014" s="158"/>
      <c r="J1014" s="158"/>
      <c r="K1014" s="158"/>
      <c r="L1014" s="158"/>
      <c r="M1014" s="158"/>
      <c r="N1014" s="158"/>
      <c r="O1014" s="158"/>
      <c r="P1014" s="158"/>
      <c r="Q1014" s="158"/>
      <c r="R1014" s="158"/>
      <c r="S1014" s="158"/>
      <c r="T1014" s="158"/>
      <c r="U1014" s="158"/>
      <c r="V1014" s="158"/>
    </row>
    <row r="1015" spans="2:24" x14ac:dyDescent="0.25">
      <c r="H1015" s="36"/>
    </row>
    <row r="1016" spans="2:24" ht="28.5" customHeight="1" x14ac:dyDescent="0.3">
      <c r="B1016" s="193" t="s">
        <v>43</v>
      </c>
      <c r="C1016" s="193"/>
      <c r="D1016" s="193"/>
      <c r="E1016" s="194"/>
      <c r="F1016" s="194"/>
      <c r="G1016" s="194"/>
      <c r="H1016" s="194"/>
      <c r="I1016" s="2"/>
      <c r="J1016" s="2"/>
      <c r="K1016" s="13" t="s">
        <v>25</v>
      </c>
      <c r="L1016" s="195" t="s">
        <v>14</v>
      </c>
      <c r="M1016" s="196"/>
      <c r="N1016" s="196"/>
      <c r="O1016" s="196"/>
      <c r="P1016" s="196"/>
      <c r="Q1016" s="196"/>
      <c r="R1016" s="196"/>
      <c r="S1016" s="196"/>
      <c r="T1016" s="196"/>
      <c r="U1016" s="196"/>
      <c r="V1016" s="197"/>
      <c r="X1016" s="1"/>
    </row>
    <row r="1017" spans="2:24" ht="26.25" customHeight="1" x14ac:dyDescent="0.4">
      <c r="B1017" s="39" t="s">
        <v>44</v>
      </c>
      <c r="C1017" s="39"/>
      <c r="D1017" s="39"/>
      <c r="E1017" s="2"/>
      <c r="F1017" s="2"/>
      <c r="G1017" s="2"/>
      <c r="H1017" s="2"/>
      <c r="I1017" s="2"/>
      <c r="J1017" s="2"/>
      <c r="K1017" s="29" t="s">
        <v>13</v>
      </c>
      <c r="L1017" s="15">
        <v>4</v>
      </c>
      <c r="M1017" s="16">
        <v>1</v>
      </c>
      <c r="N1017" s="15">
        <v>0</v>
      </c>
      <c r="O1017" s="198">
        <v>0</v>
      </c>
      <c r="P1017" s="199"/>
      <c r="Q1017" s="14">
        <v>0</v>
      </c>
      <c r="R1017" s="200">
        <v>1</v>
      </c>
      <c r="S1017" s="201"/>
      <c r="T1017" s="6"/>
      <c r="U1017" s="6"/>
      <c r="V1017" s="7"/>
      <c r="X1017" s="1"/>
    </row>
    <row r="1018" spans="2:24" ht="21" customHeight="1" x14ac:dyDescent="0.25">
      <c r="B1018" s="26" t="s">
        <v>45</v>
      </c>
      <c r="C1018" s="26"/>
      <c r="D1018" s="26"/>
      <c r="E1018" s="25"/>
      <c r="F1018" s="25"/>
      <c r="G1018" s="25"/>
      <c r="H1018" s="25"/>
      <c r="I1018" s="25"/>
      <c r="J1018" s="25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X1018" s="1"/>
    </row>
    <row r="1019" spans="2:24" ht="13.5" customHeight="1" x14ac:dyDescent="0.25">
      <c r="B1019" s="40" t="s">
        <v>24</v>
      </c>
      <c r="C1019" s="40"/>
      <c r="D1019" s="40"/>
      <c r="E1019" s="25"/>
      <c r="F1019" s="25"/>
      <c r="G1019" s="25"/>
      <c r="H1019" s="25"/>
      <c r="I1019" s="25"/>
      <c r="J1019" s="25"/>
      <c r="K1019" s="28" t="s">
        <v>6</v>
      </c>
      <c r="L1019" s="202" t="str">
        <f>IF(F1032&lt;&gt;"",$L$5,"")</f>
        <v/>
      </c>
      <c r="M1019" s="203"/>
      <c r="N1019" s="204" t="s">
        <v>15</v>
      </c>
      <c r="O1019" s="204"/>
      <c r="P1019" s="204"/>
      <c r="Q1019" s="205" t="str">
        <f>IF(F1032&lt;&gt;"",$Q$5,"")</f>
        <v/>
      </c>
      <c r="R1019" s="206"/>
      <c r="S1019" s="207" t="s">
        <v>16</v>
      </c>
      <c r="T1019" s="204"/>
      <c r="U1019" s="82" t="str">
        <f>IF(F1032&lt;&gt;"",$U$5,"")</f>
        <v/>
      </c>
      <c r="V1019" s="63"/>
      <c r="X1019" s="1"/>
    </row>
    <row r="1020" spans="2:24" ht="8.25" customHeight="1" x14ac:dyDescent="0.25"/>
    <row r="1021" spans="2:24" ht="11.25" customHeight="1" x14ac:dyDescent="0.25">
      <c r="B1021" s="24" t="s">
        <v>17</v>
      </c>
      <c r="C1021" s="24"/>
      <c r="D1021" s="24"/>
    </row>
    <row r="1022" spans="2:24" ht="11.25" customHeight="1" x14ac:dyDescent="0.25">
      <c r="B1022" s="8" t="s">
        <v>18</v>
      </c>
      <c r="C1022" s="8"/>
      <c r="D1022" s="8"/>
    </row>
    <row r="1023" spans="2:24" ht="5.25" customHeight="1" x14ac:dyDescent="0.25">
      <c r="B1023" s="8"/>
      <c r="C1023" s="8"/>
      <c r="D1023" s="8"/>
    </row>
    <row r="1024" spans="2:24" x14ac:dyDescent="0.25">
      <c r="B1024" s="179" t="s">
        <v>19</v>
      </c>
      <c r="C1024" s="179"/>
      <c r="D1024" s="179"/>
      <c r="E1024" s="179"/>
      <c r="F1024" s="179"/>
      <c r="G1024" s="18" t="s">
        <v>6</v>
      </c>
      <c r="H1024" s="64" t="str">
        <f>IF(F1032&lt;&gt;"",$H$10,"")</f>
        <v/>
      </c>
      <c r="I1024" s="9" t="s">
        <v>15</v>
      </c>
      <c r="J1024" s="83" t="str">
        <f>IF(F1032&lt;&gt;"",$J$10,"")</f>
        <v/>
      </c>
      <c r="K1024" s="9" t="s">
        <v>16</v>
      </c>
      <c r="L1024" s="180" t="str">
        <f>IF(F1032&lt;&gt;"",$L$10,"")</f>
        <v/>
      </c>
      <c r="M1024" s="181"/>
      <c r="X1024" s="32"/>
    </row>
    <row r="1025" spans="2:24" ht="5.25" customHeight="1" x14ac:dyDescent="0.25">
      <c r="B1025" s="8"/>
      <c r="C1025" s="8"/>
      <c r="D1025" s="8"/>
      <c r="E1025" s="8"/>
      <c r="F1025" s="8"/>
      <c r="G1025" s="19"/>
      <c r="H1025" s="20"/>
      <c r="I1025" s="21"/>
      <c r="J1025" s="20"/>
      <c r="K1025" s="10"/>
      <c r="L1025" s="22"/>
      <c r="X1025" s="32"/>
    </row>
    <row r="1026" spans="2:24" s="73" customFormat="1" ht="14.4" customHeight="1" x14ac:dyDescent="0.25">
      <c r="B1026" s="72" t="s">
        <v>20</v>
      </c>
      <c r="C1026" s="72"/>
      <c r="D1026" s="72"/>
      <c r="X1026" s="74"/>
    </row>
    <row r="1027" spans="2:24" s="73" customFormat="1" ht="14.4" customHeight="1" x14ac:dyDescent="0.25">
      <c r="B1027" s="75" t="s">
        <v>21</v>
      </c>
      <c r="C1027" s="10"/>
      <c r="D1027" s="10"/>
      <c r="E1027" s="22" t="s">
        <v>22</v>
      </c>
      <c r="X1027" s="74"/>
    </row>
    <row r="1028" spans="2:24" s="73" customFormat="1" ht="14.4" customHeight="1" x14ac:dyDescent="0.25">
      <c r="B1028" s="22"/>
      <c r="C1028" s="22"/>
      <c r="D1028" s="22"/>
      <c r="E1028" s="22" t="s">
        <v>23</v>
      </c>
      <c r="X1028" s="164" t="s">
        <v>102</v>
      </c>
    </row>
    <row r="1029" spans="2:24" ht="7.5" customHeight="1" x14ac:dyDescent="0.25">
      <c r="B1029" s="8"/>
      <c r="C1029" s="8"/>
      <c r="D1029" s="8"/>
      <c r="X1029" s="164"/>
    </row>
    <row r="1030" spans="2:24" ht="17.25" customHeight="1" x14ac:dyDescent="0.25">
      <c r="B1030" s="182"/>
      <c r="C1030" s="59"/>
      <c r="D1030" s="60"/>
      <c r="E1030" s="184" t="s">
        <v>0</v>
      </c>
      <c r="F1030" s="186" t="s">
        <v>1</v>
      </c>
      <c r="G1030" s="187"/>
      <c r="H1030" s="4"/>
      <c r="I1030" s="4"/>
      <c r="J1030" s="4"/>
      <c r="K1030" s="5"/>
      <c r="L1030" s="145" t="s">
        <v>3</v>
      </c>
      <c r="M1030" s="142"/>
      <c r="N1030" s="188" t="s">
        <v>10</v>
      </c>
      <c r="O1030" s="188"/>
      <c r="P1030" s="188"/>
      <c r="Q1030" s="188"/>
      <c r="R1030" s="188"/>
      <c r="S1030" s="188"/>
      <c r="T1030" s="188"/>
      <c r="U1030" s="189"/>
      <c r="V1030" s="3" t="s">
        <v>12</v>
      </c>
      <c r="X1030" s="68" t="s">
        <v>200</v>
      </c>
    </row>
    <row r="1031" spans="2:24" ht="17.25" customHeight="1" x14ac:dyDescent="0.25">
      <c r="B1031" s="183"/>
      <c r="C1031" s="61"/>
      <c r="D1031" s="62"/>
      <c r="E1031" s="185"/>
      <c r="F1031" s="30" t="s">
        <v>2</v>
      </c>
      <c r="G1031" s="17"/>
      <c r="H1031" s="6"/>
      <c r="I1031" s="6"/>
      <c r="J1031" s="6"/>
      <c r="K1031" s="7"/>
      <c r="L1031" s="190" t="s">
        <v>4</v>
      </c>
      <c r="M1031" s="191"/>
      <c r="N1031" s="192" t="s">
        <v>9</v>
      </c>
      <c r="O1031" s="192"/>
      <c r="P1031" s="192"/>
      <c r="Q1031" s="192"/>
      <c r="R1031" s="192"/>
      <c r="S1031" s="192"/>
      <c r="T1031" s="192"/>
      <c r="U1031" s="191"/>
      <c r="V1031" s="31" t="s">
        <v>11</v>
      </c>
      <c r="X1031" s="69"/>
    </row>
    <row r="1032" spans="2:24" ht="10.95" customHeight="1" x14ac:dyDescent="0.25">
      <c r="B1032" s="41"/>
      <c r="C1032" s="51"/>
      <c r="D1032" s="42"/>
      <c r="E1032" s="154">
        <v>131</v>
      </c>
      <c r="F1032" s="145" t="str">
        <f>_xlfn.IFNA(VLOOKUP(E1032,'Data Kyu'!$A$6:$I$471,3,0),"")</f>
        <v/>
      </c>
      <c r="G1032" s="142"/>
      <c r="H1032" s="66"/>
      <c r="I1032" s="66"/>
      <c r="J1032" s="66"/>
      <c r="K1032" s="66"/>
      <c r="L1032" s="145" t="str">
        <f>_xlfn.IFNA(VLOOKUP(E1032,'Data Kyu'!$A$6:$I$471,9,0),"")</f>
        <v/>
      </c>
      <c r="M1032" s="142"/>
      <c r="N1032" s="145" t="str">
        <f>_xlfn.IFNA(VLOOKUP(E1032,'Data Kyu'!$A$6:$I$471,6,0),"")</f>
        <v/>
      </c>
      <c r="O1032" s="141"/>
      <c r="P1032" s="139" t="s">
        <v>5</v>
      </c>
      <c r="Q1032" s="141" t="str">
        <f>_xlfn.IFNA(VLOOKUP(E1032,'Data Kyu'!$A$6:$I$471,7,0),"")</f>
        <v/>
      </c>
      <c r="R1032" s="141"/>
      <c r="S1032" s="139" t="s">
        <v>5</v>
      </c>
      <c r="T1032" s="141" t="str">
        <f>_xlfn.IFNA(VLOOKUP(E1032,'Data Kyu'!$A$6:$I$471,8,0),"")</f>
        <v/>
      </c>
      <c r="U1032" s="142"/>
      <c r="V1032" s="142" t="str">
        <f>_xlfn.IFNA(VLOOKUP(E1032,'Data Kyu'!$A$6:$I$471,4,0),"")</f>
        <v/>
      </c>
      <c r="X1032" s="214" t="str">
        <f>_xlfn.IFNA(VLOOKUP(F1032,'Data Kyu'!$C$6:$N$997,12,0),"No Data")</f>
        <v>No Data</v>
      </c>
    </row>
    <row r="1033" spans="2:24" ht="10.95" customHeight="1" x14ac:dyDescent="0.25">
      <c r="B1033" s="52"/>
      <c r="C1033" s="165" t="str">
        <f>IF(X1032="LULUS","V","")</f>
        <v/>
      </c>
      <c r="D1033" s="53"/>
      <c r="E1033" s="155"/>
      <c r="F1033" s="148"/>
      <c r="G1033" s="144"/>
      <c r="H1033" s="67"/>
      <c r="I1033" s="67"/>
      <c r="J1033" s="67"/>
      <c r="K1033" s="67"/>
      <c r="L1033" s="146"/>
      <c r="M1033" s="147"/>
      <c r="N1033" s="148"/>
      <c r="O1033" s="143"/>
      <c r="P1033" s="140"/>
      <c r="Q1033" s="143"/>
      <c r="R1033" s="143"/>
      <c r="S1033" s="140"/>
      <c r="T1033" s="143"/>
      <c r="U1033" s="144"/>
      <c r="V1033" s="147"/>
      <c r="X1033" s="214"/>
    </row>
    <row r="1034" spans="2:24" ht="10.95" customHeight="1" x14ac:dyDescent="0.25">
      <c r="B1034" s="52"/>
      <c r="C1034" s="166"/>
      <c r="D1034" s="53"/>
      <c r="E1034" s="155"/>
      <c r="F1034" s="167" t="str">
        <f>_xlfn.IFNA(VLOOKUP(E1032,'Data Kyu'!$A$6:$I$471,2,0),"")</f>
        <v/>
      </c>
      <c r="G1034" s="168"/>
      <c r="H1034" s="168"/>
      <c r="I1034" s="168"/>
      <c r="J1034" s="168"/>
      <c r="K1034" s="169"/>
      <c r="L1034" s="146"/>
      <c r="M1034" s="147"/>
      <c r="N1034" s="173" t="s">
        <v>6</v>
      </c>
      <c r="O1034" s="159"/>
      <c r="P1034" s="57"/>
      <c r="Q1034" s="159" t="s">
        <v>7</v>
      </c>
      <c r="R1034" s="159"/>
      <c r="S1034" s="57"/>
      <c r="T1034" s="159" t="s">
        <v>8</v>
      </c>
      <c r="U1034" s="160"/>
      <c r="V1034" s="175"/>
      <c r="X1034" s="214"/>
    </row>
    <row r="1035" spans="2:24" ht="10.95" customHeight="1" x14ac:dyDescent="0.25">
      <c r="B1035" s="54"/>
      <c r="C1035" s="76"/>
      <c r="D1035" s="56"/>
      <c r="E1035" s="156"/>
      <c r="F1035" s="170"/>
      <c r="G1035" s="171"/>
      <c r="H1035" s="171"/>
      <c r="I1035" s="171"/>
      <c r="J1035" s="171"/>
      <c r="K1035" s="172"/>
      <c r="L1035" s="148"/>
      <c r="M1035" s="144"/>
      <c r="N1035" s="174"/>
      <c r="O1035" s="161"/>
      <c r="P1035" s="27"/>
      <c r="Q1035" s="161"/>
      <c r="R1035" s="161"/>
      <c r="S1035" s="27"/>
      <c r="T1035" s="161"/>
      <c r="U1035" s="162"/>
      <c r="V1035" s="176"/>
      <c r="X1035" s="214"/>
    </row>
    <row r="1036" spans="2:24" ht="10.95" customHeight="1" x14ac:dyDescent="0.25">
      <c r="B1036" s="41"/>
      <c r="C1036" s="77"/>
      <c r="D1036" s="42"/>
      <c r="E1036" s="154">
        <f>E1032+1</f>
        <v>132</v>
      </c>
      <c r="F1036" s="145" t="str">
        <f>_xlfn.IFNA(VLOOKUP(E1036,'Data Kyu'!$A$6:$I$471,3,0),"")</f>
        <v/>
      </c>
      <c r="G1036" s="142"/>
      <c r="H1036" s="66"/>
      <c r="I1036" s="66"/>
      <c r="J1036" s="66"/>
      <c r="K1036" s="66"/>
      <c r="L1036" s="145" t="str">
        <f>_xlfn.IFNA(VLOOKUP(E1036,'Data Kyu'!$A$6:$I$471,9,0),"")</f>
        <v/>
      </c>
      <c r="M1036" s="142"/>
      <c r="N1036" s="145" t="str">
        <f>_xlfn.IFNA(VLOOKUP(E1036,'Data Kyu'!$A$6:$I$471,6,0),"")</f>
        <v/>
      </c>
      <c r="O1036" s="141"/>
      <c r="P1036" s="139" t="s">
        <v>5</v>
      </c>
      <c r="Q1036" s="141" t="str">
        <f>_xlfn.IFNA(VLOOKUP(E1036,'Data Kyu'!$A$6:$I$471,7,0),"")</f>
        <v/>
      </c>
      <c r="R1036" s="141"/>
      <c r="S1036" s="139" t="s">
        <v>5</v>
      </c>
      <c r="T1036" s="141" t="str">
        <f>_xlfn.IFNA(VLOOKUP(E1036,'Data Kyu'!$A$6:$I$471,8,0),"")</f>
        <v/>
      </c>
      <c r="U1036" s="142"/>
      <c r="V1036" s="142" t="str">
        <f>_xlfn.IFNA(VLOOKUP(E1036,'Data Kyu'!$A$6:$I$471,4,0),"")</f>
        <v/>
      </c>
      <c r="X1036" s="214" t="str">
        <f>_xlfn.IFNA(VLOOKUP(F1036,'Data Kyu'!$C$6:$N$997,12,0),"No Data")</f>
        <v>No Data</v>
      </c>
    </row>
    <row r="1037" spans="2:24" ht="10.95" customHeight="1" x14ac:dyDescent="0.25">
      <c r="B1037" s="52"/>
      <c r="C1037" s="165" t="str">
        <f>IF(X1036="LULUS","V","")</f>
        <v/>
      </c>
      <c r="D1037" s="53"/>
      <c r="E1037" s="155"/>
      <c r="F1037" s="148"/>
      <c r="G1037" s="144"/>
      <c r="H1037" s="67"/>
      <c r="I1037" s="67"/>
      <c r="J1037" s="67"/>
      <c r="K1037" s="67"/>
      <c r="L1037" s="146"/>
      <c r="M1037" s="147"/>
      <c r="N1037" s="148"/>
      <c r="O1037" s="143"/>
      <c r="P1037" s="140"/>
      <c r="Q1037" s="143"/>
      <c r="R1037" s="143"/>
      <c r="S1037" s="140"/>
      <c r="T1037" s="143"/>
      <c r="U1037" s="144"/>
      <c r="V1037" s="147"/>
      <c r="X1037" s="214"/>
    </row>
    <row r="1038" spans="2:24" ht="10.95" customHeight="1" x14ac:dyDescent="0.25">
      <c r="B1038" s="52"/>
      <c r="C1038" s="166"/>
      <c r="D1038" s="53"/>
      <c r="E1038" s="155"/>
      <c r="F1038" s="167" t="str">
        <f>_xlfn.IFNA(VLOOKUP(E1036,'Data Kyu'!$A$6:$I$471,2,0),"")</f>
        <v/>
      </c>
      <c r="G1038" s="168"/>
      <c r="H1038" s="168"/>
      <c r="I1038" s="168"/>
      <c r="J1038" s="168"/>
      <c r="K1038" s="169"/>
      <c r="L1038" s="146"/>
      <c r="M1038" s="147"/>
      <c r="N1038" s="173" t="s">
        <v>6</v>
      </c>
      <c r="O1038" s="159"/>
      <c r="P1038" s="57"/>
      <c r="Q1038" s="159" t="s">
        <v>7</v>
      </c>
      <c r="R1038" s="159"/>
      <c r="S1038" s="57"/>
      <c r="T1038" s="159" t="s">
        <v>8</v>
      </c>
      <c r="U1038" s="160"/>
      <c r="V1038" s="175"/>
      <c r="X1038" s="214"/>
    </row>
    <row r="1039" spans="2:24" ht="10.95" customHeight="1" x14ac:dyDescent="0.25">
      <c r="B1039" s="54"/>
      <c r="C1039" s="76"/>
      <c r="D1039" s="56"/>
      <c r="E1039" s="156"/>
      <c r="F1039" s="170"/>
      <c r="G1039" s="171"/>
      <c r="H1039" s="171"/>
      <c r="I1039" s="171"/>
      <c r="J1039" s="171"/>
      <c r="K1039" s="172"/>
      <c r="L1039" s="148"/>
      <c r="M1039" s="144"/>
      <c r="N1039" s="174"/>
      <c r="O1039" s="161"/>
      <c r="P1039" s="27"/>
      <c r="Q1039" s="161"/>
      <c r="R1039" s="161"/>
      <c r="S1039" s="27"/>
      <c r="T1039" s="161"/>
      <c r="U1039" s="162"/>
      <c r="V1039" s="176"/>
      <c r="X1039" s="214"/>
    </row>
    <row r="1040" spans="2:24" ht="10.95" customHeight="1" x14ac:dyDescent="0.25">
      <c r="B1040" s="41"/>
      <c r="C1040" s="77"/>
      <c r="D1040" s="42"/>
      <c r="E1040" s="154">
        <f t="shared" ref="E1040" si="24">E1036+1</f>
        <v>133</v>
      </c>
      <c r="F1040" s="145" t="str">
        <f>_xlfn.IFNA(VLOOKUP(E1040,'Data Kyu'!$A$6:$I$471,3,0),"")</f>
        <v/>
      </c>
      <c r="G1040" s="142"/>
      <c r="H1040" s="66"/>
      <c r="I1040" s="66"/>
      <c r="J1040" s="66"/>
      <c r="K1040" s="66"/>
      <c r="L1040" s="145" t="str">
        <f>_xlfn.IFNA(VLOOKUP(E1040,'Data Kyu'!$A$6:$I$471,9,0),"")</f>
        <v/>
      </c>
      <c r="M1040" s="142"/>
      <c r="N1040" s="145" t="str">
        <f>_xlfn.IFNA(VLOOKUP(E1040,'Data Kyu'!$A$6:$I$471,6,0),"")</f>
        <v/>
      </c>
      <c r="O1040" s="141"/>
      <c r="P1040" s="139" t="s">
        <v>5</v>
      </c>
      <c r="Q1040" s="141" t="str">
        <f>_xlfn.IFNA(VLOOKUP(E1040,'Data Kyu'!$A$6:$I$471,7,0),"")</f>
        <v/>
      </c>
      <c r="R1040" s="141"/>
      <c r="S1040" s="139" t="s">
        <v>5</v>
      </c>
      <c r="T1040" s="141" t="str">
        <f>_xlfn.IFNA(VLOOKUP(E1040,'Data Kyu'!$A$6:$I$471,8,0),"")</f>
        <v/>
      </c>
      <c r="U1040" s="142"/>
      <c r="V1040" s="142" t="str">
        <f>_xlfn.IFNA(VLOOKUP(E1040,'Data Kyu'!$A$6:$I$471,4,0),"")</f>
        <v/>
      </c>
      <c r="X1040" s="214" t="str">
        <f>_xlfn.IFNA(VLOOKUP(F1040,'Data Kyu'!$C$6:$N$997,12,0),"No Data")</f>
        <v>No Data</v>
      </c>
    </row>
    <row r="1041" spans="2:24" ht="10.95" customHeight="1" x14ac:dyDescent="0.25">
      <c r="B1041" s="52"/>
      <c r="C1041" s="165" t="str">
        <f>IF(X1040="LULUS","V","")</f>
        <v/>
      </c>
      <c r="D1041" s="53"/>
      <c r="E1041" s="155"/>
      <c r="F1041" s="148"/>
      <c r="G1041" s="144"/>
      <c r="H1041" s="67"/>
      <c r="I1041" s="67"/>
      <c r="J1041" s="67"/>
      <c r="K1041" s="67"/>
      <c r="L1041" s="146"/>
      <c r="M1041" s="147"/>
      <c r="N1041" s="148"/>
      <c r="O1041" s="143"/>
      <c r="P1041" s="140"/>
      <c r="Q1041" s="143"/>
      <c r="R1041" s="143"/>
      <c r="S1041" s="140"/>
      <c r="T1041" s="143"/>
      <c r="U1041" s="144"/>
      <c r="V1041" s="147"/>
      <c r="X1041" s="214"/>
    </row>
    <row r="1042" spans="2:24" ht="10.95" customHeight="1" x14ac:dyDescent="0.25">
      <c r="B1042" s="52"/>
      <c r="C1042" s="166"/>
      <c r="D1042" s="53"/>
      <c r="E1042" s="155"/>
      <c r="F1042" s="167" t="str">
        <f>_xlfn.IFNA(VLOOKUP(E1040,'Data Kyu'!$A$6:$I$471,2,0),"")</f>
        <v/>
      </c>
      <c r="G1042" s="168"/>
      <c r="H1042" s="168"/>
      <c r="I1042" s="168"/>
      <c r="J1042" s="168"/>
      <c r="K1042" s="169"/>
      <c r="L1042" s="146"/>
      <c r="M1042" s="147"/>
      <c r="N1042" s="173" t="s">
        <v>6</v>
      </c>
      <c r="O1042" s="159"/>
      <c r="P1042" s="57"/>
      <c r="Q1042" s="159" t="s">
        <v>7</v>
      </c>
      <c r="R1042" s="159"/>
      <c r="S1042" s="57"/>
      <c r="T1042" s="159" t="s">
        <v>8</v>
      </c>
      <c r="U1042" s="160"/>
      <c r="V1042" s="175"/>
      <c r="X1042" s="214"/>
    </row>
    <row r="1043" spans="2:24" ht="10.95" customHeight="1" x14ac:dyDescent="0.25">
      <c r="B1043" s="54"/>
      <c r="C1043" s="76"/>
      <c r="D1043" s="56"/>
      <c r="E1043" s="156"/>
      <c r="F1043" s="170"/>
      <c r="G1043" s="171"/>
      <c r="H1043" s="171"/>
      <c r="I1043" s="171"/>
      <c r="J1043" s="171"/>
      <c r="K1043" s="172"/>
      <c r="L1043" s="148"/>
      <c r="M1043" s="144"/>
      <c r="N1043" s="174"/>
      <c r="O1043" s="161"/>
      <c r="P1043" s="27"/>
      <c r="Q1043" s="161"/>
      <c r="R1043" s="161"/>
      <c r="S1043" s="27"/>
      <c r="T1043" s="161"/>
      <c r="U1043" s="162"/>
      <c r="V1043" s="176"/>
      <c r="X1043" s="214"/>
    </row>
    <row r="1044" spans="2:24" ht="10.95" customHeight="1" x14ac:dyDescent="0.25">
      <c r="B1044" s="41"/>
      <c r="C1044" s="77"/>
      <c r="D1044" s="42"/>
      <c r="E1044" s="154">
        <f t="shared" ref="E1044" si="25">E1040+1</f>
        <v>134</v>
      </c>
      <c r="F1044" s="145" t="str">
        <f>_xlfn.IFNA(VLOOKUP(E1044,'Data Kyu'!$A$6:$I$471,3,0),"")</f>
        <v/>
      </c>
      <c r="G1044" s="142"/>
      <c r="H1044" s="66"/>
      <c r="I1044" s="66"/>
      <c r="J1044" s="66"/>
      <c r="K1044" s="66"/>
      <c r="L1044" s="145" t="str">
        <f>_xlfn.IFNA(VLOOKUP(E1044,'Data Kyu'!$A$6:$I$471,9,0),"")</f>
        <v/>
      </c>
      <c r="M1044" s="142"/>
      <c r="N1044" s="145" t="str">
        <f>_xlfn.IFNA(VLOOKUP(E1044,'Data Kyu'!$A$6:$I$471,6,0),"")</f>
        <v/>
      </c>
      <c r="O1044" s="141"/>
      <c r="P1044" s="139" t="s">
        <v>5</v>
      </c>
      <c r="Q1044" s="141" t="str">
        <f>_xlfn.IFNA(VLOOKUP(E1044,'Data Kyu'!$A$6:$I$471,7,0),"")</f>
        <v/>
      </c>
      <c r="R1044" s="141"/>
      <c r="S1044" s="139" t="s">
        <v>5</v>
      </c>
      <c r="T1044" s="141" t="str">
        <f>_xlfn.IFNA(VLOOKUP(E1044,'Data Kyu'!$A$6:$I$471,8,0),"")</f>
        <v/>
      </c>
      <c r="U1044" s="142"/>
      <c r="V1044" s="142" t="str">
        <f>_xlfn.IFNA(VLOOKUP(E1044,'Data Kyu'!$A$6:$I$471,4,0),"")</f>
        <v/>
      </c>
      <c r="X1044" s="214" t="str">
        <f>_xlfn.IFNA(VLOOKUP(F1044,'Data Kyu'!$C$6:$N$997,12,0),"No Data")</f>
        <v>No Data</v>
      </c>
    </row>
    <row r="1045" spans="2:24" ht="10.95" customHeight="1" x14ac:dyDescent="0.25">
      <c r="B1045" s="52"/>
      <c r="C1045" s="165" t="str">
        <f>IF(X1044="LULUS","V","")</f>
        <v/>
      </c>
      <c r="D1045" s="53"/>
      <c r="E1045" s="155"/>
      <c r="F1045" s="148"/>
      <c r="G1045" s="144"/>
      <c r="H1045" s="67"/>
      <c r="I1045" s="67"/>
      <c r="J1045" s="67"/>
      <c r="K1045" s="67"/>
      <c r="L1045" s="146"/>
      <c r="M1045" s="147"/>
      <c r="N1045" s="148"/>
      <c r="O1045" s="143"/>
      <c r="P1045" s="140"/>
      <c r="Q1045" s="143"/>
      <c r="R1045" s="143"/>
      <c r="S1045" s="140"/>
      <c r="T1045" s="143"/>
      <c r="U1045" s="144"/>
      <c r="V1045" s="147"/>
      <c r="X1045" s="214"/>
    </row>
    <row r="1046" spans="2:24" ht="10.95" customHeight="1" x14ac:dyDescent="0.25">
      <c r="B1046" s="52"/>
      <c r="C1046" s="166"/>
      <c r="D1046" s="53"/>
      <c r="E1046" s="155"/>
      <c r="F1046" s="167" t="str">
        <f>_xlfn.IFNA(VLOOKUP(E1044,'Data Kyu'!$A$6:$I$471,2,0),"")</f>
        <v/>
      </c>
      <c r="G1046" s="168"/>
      <c r="H1046" s="168"/>
      <c r="I1046" s="168"/>
      <c r="J1046" s="168"/>
      <c r="K1046" s="169"/>
      <c r="L1046" s="146"/>
      <c r="M1046" s="147"/>
      <c r="N1046" s="173" t="s">
        <v>6</v>
      </c>
      <c r="O1046" s="159"/>
      <c r="P1046" s="57"/>
      <c r="Q1046" s="159" t="s">
        <v>7</v>
      </c>
      <c r="R1046" s="159"/>
      <c r="S1046" s="57"/>
      <c r="T1046" s="159" t="s">
        <v>8</v>
      </c>
      <c r="U1046" s="160"/>
      <c r="V1046" s="175"/>
      <c r="X1046" s="214"/>
    </row>
    <row r="1047" spans="2:24" ht="10.95" customHeight="1" x14ac:dyDescent="0.25">
      <c r="B1047" s="54"/>
      <c r="C1047" s="76"/>
      <c r="D1047" s="56"/>
      <c r="E1047" s="156"/>
      <c r="F1047" s="170"/>
      <c r="G1047" s="171"/>
      <c r="H1047" s="171"/>
      <c r="I1047" s="171"/>
      <c r="J1047" s="171"/>
      <c r="K1047" s="172"/>
      <c r="L1047" s="148"/>
      <c r="M1047" s="144"/>
      <c r="N1047" s="174"/>
      <c r="O1047" s="161"/>
      <c r="P1047" s="27"/>
      <c r="Q1047" s="161"/>
      <c r="R1047" s="161"/>
      <c r="S1047" s="27"/>
      <c r="T1047" s="161"/>
      <c r="U1047" s="162"/>
      <c r="V1047" s="176"/>
      <c r="X1047" s="214"/>
    </row>
    <row r="1048" spans="2:24" ht="10.95" customHeight="1" x14ac:dyDescent="0.25">
      <c r="B1048" s="41"/>
      <c r="C1048" s="77"/>
      <c r="D1048" s="42"/>
      <c r="E1048" s="154">
        <f t="shared" ref="E1048" si="26">E1044+1</f>
        <v>135</v>
      </c>
      <c r="F1048" s="145" t="str">
        <f>_xlfn.IFNA(VLOOKUP(E1048,'Data Kyu'!$A$6:$I$471,3,0),"")</f>
        <v/>
      </c>
      <c r="G1048" s="142"/>
      <c r="H1048" s="66"/>
      <c r="I1048" s="66"/>
      <c r="J1048" s="66"/>
      <c r="K1048" s="66"/>
      <c r="L1048" s="145" t="str">
        <f>_xlfn.IFNA(VLOOKUP(E1048,'Data Kyu'!$A$6:$I$471,9,0),"")</f>
        <v/>
      </c>
      <c r="M1048" s="142"/>
      <c r="N1048" s="145" t="str">
        <f>_xlfn.IFNA(VLOOKUP(E1048,'Data Kyu'!$A$6:$I$471,6,0),"")</f>
        <v/>
      </c>
      <c r="O1048" s="141"/>
      <c r="P1048" s="139" t="s">
        <v>5</v>
      </c>
      <c r="Q1048" s="141" t="str">
        <f>_xlfn.IFNA(VLOOKUP(E1048,'Data Kyu'!$A$6:$I$471,7,0),"")</f>
        <v/>
      </c>
      <c r="R1048" s="141"/>
      <c r="S1048" s="139" t="s">
        <v>5</v>
      </c>
      <c r="T1048" s="141" t="str">
        <f>_xlfn.IFNA(VLOOKUP(E1048,'Data Kyu'!$A$6:$I$471,8,0),"")</f>
        <v/>
      </c>
      <c r="U1048" s="142"/>
      <c r="V1048" s="142" t="str">
        <f>_xlfn.IFNA(VLOOKUP(E1048,'Data Kyu'!$A$6:$I$471,4,0),"")</f>
        <v/>
      </c>
      <c r="X1048" s="214" t="str">
        <f>_xlfn.IFNA(VLOOKUP(F1048,'Data Kyu'!$C$6:$N$997,12,0),"No Data")</f>
        <v>No Data</v>
      </c>
    </row>
    <row r="1049" spans="2:24" ht="10.95" customHeight="1" x14ac:dyDescent="0.25">
      <c r="B1049" s="52"/>
      <c r="C1049" s="165" t="str">
        <f>IF(X1048="LULUS","V","")</f>
        <v/>
      </c>
      <c r="D1049" s="53"/>
      <c r="E1049" s="155"/>
      <c r="F1049" s="148"/>
      <c r="G1049" s="144"/>
      <c r="H1049" s="67"/>
      <c r="I1049" s="67"/>
      <c r="J1049" s="67"/>
      <c r="K1049" s="67"/>
      <c r="L1049" s="146"/>
      <c r="M1049" s="147"/>
      <c r="N1049" s="148"/>
      <c r="O1049" s="143"/>
      <c r="P1049" s="140"/>
      <c r="Q1049" s="143"/>
      <c r="R1049" s="143"/>
      <c r="S1049" s="140"/>
      <c r="T1049" s="143"/>
      <c r="U1049" s="144"/>
      <c r="V1049" s="147"/>
      <c r="X1049" s="214"/>
    </row>
    <row r="1050" spans="2:24" ht="10.95" customHeight="1" x14ac:dyDescent="0.25">
      <c r="B1050" s="52"/>
      <c r="C1050" s="166"/>
      <c r="D1050" s="53"/>
      <c r="E1050" s="155"/>
      <c r="F1050" s="167" t="str">
        <f>_xlfn.IFNA(VLOOKUP(E1048,'Data Kyu'!$A$6:$I$471,2,0),"")</f>
        <v/>
      </c>
      <c r="G1050" s="168"/>
      <c r="H1050" s="168"/>
      <c r="I1050" s="168"/>
      <c r="J1050" s="168"/>
      <c r="K1050" s="169"/>
      <c r="L1050" s="146"/>
      <c r="M1050" s="147"/>
      <c r="N1050" s="173" t="s">
        <v>6</v>
      </c>
      <c r="O1050" s="159"/>
      <c r="P1050" s="57"/>
      <c r="Q1050" s="159" t="s">
        <v>7</v>
      </c>
      <c r="R1050" s="159"/>
      <c r="S1050" s="57"/>
      <c r="T1050" s="159" t="s">
        <v>8</v>
      </c>
      <c r="U1050" s="160"/>
      <c r="V1050" s="175"/>
      <c r="X1050" s="214"/>
    </row>
    <row r="1051" spans="2:24" ht="10.95" customHeight="1" x14ac:dyDescent="0.25">
      <c r="B1051" s="54"/>
      <c r="C1051" s="76"/>
      <c r="D1051" s="56"/>
      <c r="E1051" s="156"/>
      <c r="F1051" s="170"/>
      <c r="G1051" s="171"/>
      <c r="H1051" s="171"/>
      <c r="I1051" s="171"/>
      <c r="J1051" s="171"/>
      <c r="K1051" s="172"/>
      <c r="L1051" s="148"/>
      <c r="M1051" s="144"/>
      <c r="N1051" s="174"/>
      <c r="O1051" s="161"/>
      <c r="P1051" s="27"/>
      <c r="Q1051" s="161"/>
      <c r="R1051" s="161"/>
      <c r="S1051" s="27"/>
      <c r="T1051" s="161"/>
      <c r="U1051" s="162"/>
      <c r="V1051" s="176"/>
      <c r="X1051" s="214"/>
    </row>
    <row r="1052" spans="2:24" ht="10.95" customHeight="1" x14ac:dyDescent="0.25">
      <c r="B1052" s="41"/>
      <c r="C1052" s="77"/>
      <c r="D1052" s="42"/>
      <c r="E1052" s="154">
        <f t="shared" ref="E1052" si="27">E1048+1</f>
        <v>136</v>
      </c>
      <c r="F1052" s="145" t="str">
        <f>_xlfn.IFNA(VLOOKUP(E1052,'Data Kyu'!$A$6:$I$471,3,0),"")</f>
        <v/>
      </c>
      <c r="G1052" s="142"/>
      <c r="H1052" s="66"/>
      <c r="I1052" s="66"/>
      <c r="J1052" s="66"/>
      <c r="K1052" s="66"/>
      <c r="L1052" s="145" t="str">
        <f>_xlfn.IFNA(VLOOKUP(E1052,'Data Kyu'!$A$6:$I$471,9,0),"")</f>
        <v/>
      </c>
      <c r="M1052" s="142"/>
      <c r="N1052" s="145" t="str">
        <f>_xlfn.IFNA(VLOOKUP(E1052,'Data Kyu'!$A$6:$I$471,6,0),"")</f>
        <v/>
      </c>
      <c r="O1052" s="141"/>
      <c r="P1052" s="139" t="s">
        <v>5</v>
      </c>
      <c r="Q1052" s="141" t="str">
        <f>_xlfn.IFNA(VLOOKUP(E1052,'Data Kyu'!$A$6:$I$471,7,0),"")</f>
        <v/>
      </c>
      <c r="R1052" s="141"/>
      <c r="S1052" s="139" t="s">
        <v>5</v>
      </c>
      <c r="T1052" s="141" t="str">
        <f>_xlfn.IFNA(VLOOKUP(E1052,'Data Kyu'!$A$6:$I$471,8,0),"")</f>
        <v/>
      </c>
      <c r="U1052" s="142"/>
      <c r="V1052" s="142" t="str">
        <f>_xlfn.IFNA(VLOOKUP(E1052,'Data Kyu'!$A$6:$I$471,4,0),"")</f>
        <v/>
      </c>
      <c r="X1052" s="214" t="str">
        <f>_xlfn.IFNA(VLOOKUP(F1052,'Data Kyu'!$C$6:$N$997,12,0),"No Data")</f>
        <v>No Data</v>
      </c>
    </row>
    <row r="1053" spans="2:24" ht="10.95" customHeight="1" x14ac:dyDescent="0.25">
      <c r="B1053" s="52"/>
      <c r="C1053" s="165" t="str">
        <f>IF(X1052="LULUS","V","")</f>
        <v/>
      </c>
      <c r="D1053" s="53"/>
      <c r="E1053" s="155"/>
      <c r="F1053" s="148"/>
      <c r="G1053" s="144"/>
      <c r="H1053" s="67"/>
      <c r="I1053" s="67"/>
      <c r="J1053" s="67"/>
      <c r="K1053" s="67"/>
      <c r="L1053" s="146"/>
      <c r="M1053" s="147"/>
      <c r="N1053" s="148"/>
      <c r="O1053" s="143"/>
      <c r="P1053" s="140"/>
      <c r="Q1053" s="143"/>
      <c r="R1053" s="143"/>
      <c r="S1053" s="140"/>
      <c r="T1053" s="143"/>
      <c r="U1053" s="144"/>
      <c r="V1053" s="147"/>
      <c r="X1053" s="214"/>
    </row>
    <row r="1054" spans="2:24" ht="10.95" customHeight="1" x14ac:dyDescent="0.25">
      <c r="B1054" s="52"/>
      <c r="C1054" s="166"/>
      <c r="D1054" s="53"/>
      <c r="E1054" s="155"/>
      <c r="F1054" s="167" t="str">
        <f>_xlfn.IFNA(VLOOKUP(E1052,'Data Kyu'!$A$6:$I$471,2,0),"")</f>
        <v/>
      </c>
      <c r="G1054" s="168"/>
      <c r="H1054" s="168"/>
      <c r="I1054" s="168"/>
      <c r="J1054" s="168"/>
      <c r="K1054" s="169"/>
      <c r="L1054" s="146"/>
      <c r="M1054" s="147"/>
      <c r="N1054" s="173" t="s">
        <v>6</v>
      </c>
      <c r="O1054" s="159"/>
      <c r="P1054" s="57"/>
      <c r="Q1054" s="159" t="s">
        <v>7</v>
      </c>
      <c r="R1054" s="159"/>
      <c r="S1054" s="57"/>
      <c r="T1054" s="159" t="s">
        <v>8</v>
      </c>
      <c r="U1054" s="160"/>
      <c r="V1054" s="175"/>
      <c r="X1054" s="214"/>
    </row>
    <row r="1055" spans="2:24" ht="10.95" customHeight="1" x14ac:dyDescent="0.25">
      <c r="B1055" s="54"/>
      <c r="C1055" s="76"/>
      <c r="D1055" s="56"/>
      <c r="E1055" s="156"/>
      <c r="F1055" s="170"/>
      <c r="G1055" s="171"/>
      <c r="H1055" s="171"/>
      <c r="I1055" s="171"/>
      <c r="J1055" s="171"/>
      <c r="K1055" s="172"/>
      <c r="L1055" s="148"/>
      <c r="M1055" s="144"/>
      <c r="N1055" s="174"/>
      <c r="O1055" s="161"/>
      <c r="P1055" s="27"/>
      <c r="Q1055" s="161"/>
      <c r="R1055" s="161"/>
      <c r="S1055" s="27"/>
      <c r="T1055" s="161"/>
      <c r="U1055" s="162"/>
      <c r="V1055" s="176"/>
      <c r="X1055" s="214"/>
    </row>
    <row r="1056" spans="2:24" ht="10.95" customHeight="1" x14ac:dyDescent="0.25">
      <c r="B1056" s="41"/>
      <c r="C1056" s="77"/>
      <c r="D1056" s="42"/>
      <c r="E1056" s="154">
        <f t="shared" ref="E1056" si="28">E1052+1</f>
        <v>137</v>
      </c>
      <c r="F1056" s="145" t="str">
        <f>_xlfn.IFNA(VLOOKUP(E1056,'Data Kyu'!$A$6:$I$471,3,0),"")</f>
        <v/>
      </c>
      <c r="G1056" s="142"/>
      <c r="H1056" s="66"/>
      <c r="I1056" s="66"/>
      <c r="J1056" s="66"/>
      <c r="K1056" s="66"/>
      <c r="L1056" s="145" t="str">
        <f>_xlfn.IFNA(VLOOKUP(E1056,'Data Kyu'!$A$6:$I$471,9,0),"")</f>
        <v/>
      </c>
      <c r="M1056" s="142"/>
      <c r="N1056" s="145" t="str">
        <f>_xlfn.IFNA(VLOOKUP(E1056,'Data Kyu'!$A$6:$I$471,6,0),"")</f>
        <v/>
      </c>
      <c r="O1056" s="141"/>
      <c r="P1056" s="139" t="s">
        <v>5</v>
      </c>
      <c r="Q1056" s="141" t="str">
        <f>_xlfn.IFNA(VLOOKUP(E1056,'Data Kyu'!$A$6:$I$471,7,0),"")</f>
        <v/>
      </c>
      <c r="R1056" s="141"/>
      <c r="S1056" s="139" t="s">
        <v>5</v>
      </c>
      <c r="T1056" s="141" t="str">
        <f>_xlfn.IFNA(VLOOKUP(E1056,'Data Kyu'!$A$6:$I$471,8,0),"")</f>
        <v/>
      </c>
      <c r="U1056" s="142"/>
      <c r="V1056" s="142" t="str">
        <f>_xlfn.IFNA(VLOOKUP(E1056,'Data Kyu'!$A$6:$I$471,4,0),"")</f>
        <v/>
      </c>
      <c r="X1056" s="214" t="str">
        <f>_xlfn.IFNA(VLOOKUP(F1056,'Data Kyu'!$C$6:$N$997,12,0),"No Data")</f>
        <v>No Data</v>
      </c>
    </row>
    <row r="1057" spans="2:24" ht="10.95" customHeight="1" x14ac:dyDescent="0.25">
      <c r="B1057" s="52"/>
      <c r="C1057" s="165" t="str">
        <f>IF(X1056="LULUS","V","")</f>
        <v/>
      </c>
      <c r="D1057" s="53"/>
      <c r="E1057" s="155"/>
      <c r="F1057" s="148"/>
      <c r="G1057" s="144"/>
      <c r="H1057" s="67"/>
      <c r="I1057" s="67"/>
      <c r="J1057" s="67"/>
      <c r="K1057" s="67"/>
      <c r="L1057" s="146"/>
      <c r="M1057" s="147"/>
      <c r="N1057" s="148"/>
      <c r="O1057" s="143"/>
      <c r="P1057" s="140"/>
      <c r="Q1057" s="143"/>
      <c r="R1057" s="143"/>
      <c r="S1057" s="140"/>
      <c r="T1057" s="143"/>
      <c r="U1057" s="144"/>
      <c r="V1057" s="147"/>
      <c r="X1057" s="214"/>
    </row>
    <row r="1058" spans="2:24" ht="10.95" customHeight="1" x14ac:dyDescent="0.25">
      <c r="B1058" s="52"/>
      <c r="C1058" s="166"/>
      <c r="D1058" s="53"/>
      <c r="E1058" s="155"/>
      <c r="F1058" s="167" t="str">
        <f>_xlfn.IFNA(VLOOKUP(E1056,'Data Kyu'!$A$6:$I$471,2,0),"")</f>
        <v/>
      </c>
      <c r="G1058" s="168"/>
      <c r="H1058" s="168"/>
      <c r="I1058" s="168"/>
      <c r="J1058" s="168"/>
      <c r="K1058" s="169"/>
      <c r="L1058" s="146"/>
      <c r="M1058" s="147"/>
      <c r="N1058" s="173" t="s">
        <v>6</v>
      </c>
      <c r="O1058" s="159"/>
      <c r="P1058" s="57"/>
      <c r="Q1058" s="159" t="s">
        <v>7</v>
      </c>
      <c r="R1058" s="159"/>
      <c r="S1058" s="57"/>
      <c r="T1058" s="159" t="s">
        <v>8</v>
      </c>
      <c r="U1058" s="160"/>
      <c r="V1058" s="175"/>
      <c r="X1058" s="214"/>
    </row>
    <row r="1059" spans="2:24" ht="10.95" customHeight="1" x14ac:dyDescent="0.25">
      <c r="B1059" s="54"/>
      <c r="C1059" s="76"/>
      <c r="D1059" s="56"/>
      <c r="E1059" s="156"/>
      <c r="F1059" s="170"/>
      <c r="G1059" s="171"/>
      <c r="H1059" s="171"/>
      <c r="I1059" s="171"/>
      <c r="J1059" s="171"/>
      <c r="K1059" s="172"/>
      <c r="L1059" s="148"/>
      <c r="M1059" s="144"/>
      <c r="N1059" s="174"/>
      <c r="O1059" s="161"/>
      <c r="P1059" s="27"/>
      <c r="Q1059" s="161"/>
      <c r="R1059" s="161"/>
      <c r="S1059" s="27"/>
      <c r="T1059" s="161"/>
      <c r="U1059" s="162"/>
      <c r="V1059" s="176"/>
      <c r="X1059" s="214"/>
    </row>
    <row r="1060" spans="2:24" ht="10.95" customHeight="1" x14ac:dyDescent="0.25">
      <c r="B1060" s="41"/>
      <c r="C1060" s="77"/>
      <c r="D1060" s="42"/>
      <c r="E1060" s="154">
        <f t="shared" ref="E1060" si="29">E1056+1</f>
        <v>138</v>
      </c>
      <c r="F1060" s="145" t="str">
        <f>_xlfn.IFNA(VLOOKUP(E1060,'Data Kyu'!$A$6:$I$471,3,0),"")</f>
        <v/>
      </c>
      <c r="G1060" s="142"/>
      <c r="H1060" s="66"/>
      <c r="I1060" s="66"/>
      <c r="J1060" s="66"/>
      <c r="K1060" s="66"/>
      <c r="L1060" s="145" t="str">
        <f>_xlfn.IFNA(VLOOKUP(E1060,'Data Kyu'!$A$6:$I$471,9,0),"")</f>
        <v/>
      </c>
      <c r="M1060" s="142"/>
      <c r="N1060" s="145" t="str">
        <f>_xlfn.IFNA(VLOOKUP(E1060,'Data Kyu'!$A$6:$I$471,6,0),"")</f>
        <v/>
      </c>
      <c r="O1060" s="141"/>
      <c r="P1060" s="139" t="s">
        <v>5</v>
      </c>
      <c r="Q1060" s="141" t="str">
        <f>_xlfn.IFNA(VLOOKUP(E1060,'Data Kyu'!$A$6:$I$471,7,0),"")</f>
        <v/>
      </c>
      <c r="R1060" s="141"/>
      <c r="S1060" s="139" t="s">
        <v>5</v>
      </c>
      <c r="T1060" s="141" t="str">
        <f>_xlfn.IFNA(VLOOKUP(E1060,'Data Kyu'!$A$6:$I$471,8,0),"")</f>
        <v/>
      </c>
      <c r="U1060" s="142"/>
      <c r="V1060" s="142" t="str">
        <f>_xlfn.IFNA(VLOOKUP(E1060,'Data Kyu'!$A$6:$I$471,4,0),"")</f>
        <v/>
      </c>
      <c r="X1060" s="214" t="str">
        <f>_xlfn.IFNA(VLOOKUP(F1060,'Data Kyu'!$C$6:$N$997,12,0),"No Data")</f>
        <v>No Data</v>
      </c>
    </row>
    <row r="1061" spans="2:24" ht="10.95" customHeight="1" x14ac:dyDescent="0.25">
      <c r="B1061" s="52"/>
      <c r="C1061" s="165" t="str">
        <f>IF(X1060="LULUS","V","")</f>
        <v/>
      </c>
      <c r="D1061" s="53"/>
      <c r="E1061" s="155"/>
      <c r="F1061" s="148"/>
      <c r="G1061" s="144"/>
      <c r="H1061" s="67"/>
      <c r="I1061" s="67"/>
      <c r="J1061" s="67"/>
      <c r="K1061" s="67"/>
      <c r="L1061" s="146"/>
      <c r="M1061" s="147"/>
      <c r="N1061" s="148"/>
      <c r="O1061" s="143"/>
      <c r="P1061" s="140"/>
      <c r="Q1061" s="143"/>
      <c r="R1061" s="143"/>
      <c r="S1061" s="140"/>
      <c r="T1061" s="143"/>
      <c r="U1061" s="144"/>
      <c r="V1061" s="147"/>
      <c r="X1061" s="214"/>
    </row>
    <row r="1062" spans="2:24" ht="10.95" customHeight="1" x14ac:dyDescent="0.25">
      <c r="B1062" s="52"/>
      <c r="C1062" s="166"/>
      <c r="D1062" s="53"/>
      <c r="E1062" s="155"/>
      <c r="F1062" s="167" t="str">
        <f>_xlfn.IFNA(VLOOKUP(E1060,'Data Kyu'!$A$6:$I$471,2,0),"")</f>
        <v/>
      </c>
      <c r="G1062" s="168"/>
      <c r="H1062" s="168"/>
      <c r="I1062" s="168"/>
      <c r="J1062" s="168"/>
      <c r="K1062" s="169"/>
      <c r="L1062" s="146"/>
      <c r="M1062" s="147"/>
      <c r="N1062" s="173" t="s">
        <v>6</v>
      </c>
      <c r="O1062" s="159"/>
      <c r="P1062" s="57"/>
      <c r="Q1062" s="159" t="s">
        <v>7</v>
      </c>
      <c r="R1062" s="159"/>
      <c r="S1062" s="57"/>
      <c r="T1062" s="159" t="s">
        <v>8</v>
      </c>
      <c r="U1062" s="160"/>
      <c r="V1062" s="175"/>
      <c r="X1062" s="214"/>
    </row>
    <row r="1063" spans="2:24" ht="10.95" customHeight="1" x14ac:dyDescent="0.25">
      <c r="B1063" s="54"/>
      <c r="C1063" s="76"/>
      <c r="D1063" s="56"/>
      <c r="E1063" s="156"/>
      <c r="F1063" s="170"/>
      <c r="G1063" s="171"/>
      <c r="H1063" s="171"/>
      <c r="I1063" s="171"/>
      <c r="J1063" s="171"/>
      <c r="K1063" s="172"/>
      <c r="L1063" s="148"/>
      <c r="M1063" s="144"/>
      <c r="N1063" s="174"/>
      <c r="O1063" s="161"/>
      <c r="P1063" s="27"/>
      <c r="Q1063" s="161"/>
      <c r="R1063" s="161"/>
      <c r="S1063" s="27"/>
      <c r="T1063" s="161"/>
      <c r="U1063" s="162"/>
      <c r="V1063" s="176"/>
      <c r="X1063" s="214"/>
    </row>
    <row r="1064" spans="2:24" ht="10.95" customHeight="1" x14ac:dyDescent="0.25">
      <c r="B1064" s="41"/>
      <c r="C1064" s="77"/>
      <c r="D1064" s="42"/>
      <c r="E1064" s="154">
        <f t="shared" ref="E1064" si="30">E1060+1</f>
        <v>139</v>
      </c>
      <c r="F1064" s="145" t="str">
        <f>_xlfn.IFNA(VLOOKUP(E1064,'Data Kyu'!$A$6:$I$471,3,0),"")</f>
        <v/>
      </c>
      <c r="G1064" s="142"/>
      <c r="H1064" s="66"/>
      <c r="I1064" s="66"/>
      <c r="J1064" s="66"/>
      <c r="K1064" s="66"/>
      <c r="L1064" s="145" t="str">
        <f>_xlfn.IFNA(VLOOKUP(E1064,'Data Kyu'!$A$6:$I$471,9,0),"")</f>
        <v/>
      </c>
      <c r="M1064" s="142"/>
      <c r="N1064" s="145" t="str">
        <f>_xlfn.IFNA(VLOOKUP(E1064,'Data Kyu'!$A$6:$I$471,6,0),"")</f>
        <v/>
      </c>
      <c r="O1064" s="141"/>
      <c r="P1064" s="139" t="s">
        <v>5</v>
      </c>
      <c r="Q1064" s="141" t="str">
        <f>_xlfn.IFNA(VLOOKUP(E1064,'Data Kyu'!$A$6:$I$471,7,0),"")</f>
        <v/>
      </c>
      <c r="R1064" s="141"/>
      <c r="S1064" s="139" t="s">
        <v>5</v>
      </c>
      <c r="T1064" s="141" t="str">
        <f>_xlfn.IFNA(VLOOKUP(E1064,'Data Kyu'!$A$6:$I$471,8,0),"")</f>
        <v/>
      </c>
      <c r="U1064" s="142"/>
      <c r="V1064" s="142" t="str">
        <f>_xlfn.IFNA(VLOOKUP(E1064,'Data Kyu'!$A$6:$I$471,4,0),"")</f>
        <v/>
      </c>
      <c r="X1064" s="214" t="str">
        <f>_xlfn.IFNA(VLOOKUP(F1064,'Data Kyu'!$C$6:$N$997,12,0),"No Data")</f>
        <v>No Data</v>
      </c>
    </row>
    <row r="1065" spans="2:24" ht="10.95" customHeight="1" x14ac:dyDescent="0.25">
      <c r="B1065" s="52"/>
      <c r="C1065" s="165" t="str">
        <f>IF(X1064="LULUS","V","")</f>
        <v/>
      </c>
      <c r="D1065" s="53"/>
      <c r="E1065" s="155"/>
      <c r="F1065" s="148"/>
      <c r="G1065" s="144"/>
      <c r="H1065" s="67"/>
      <c r="I1065" s="67"/>
      <c r="J1065" s="67"/>
      <c r="K1065" s="67"/>
      <c r="L1065" s="146"/>
      <c r="M1065" s="147"/>
      <c r="N1065" s="148"/>
      <c r="O1065" s="143"/>
      <c r="P1065" s="140"/>
      <c r="Q1065" s="143"/>
      <c r="R1065" s="143"/>
      <c r="S1065" s="140"/>
      <c r="T1065" s="143"/>
      <c r="U1065" s="144"/>
      <c r="V1065" s="147"/>
      <c r="X1065" s="214"/>
    </row>
    <row r="1066" spans="2:24" ht="10.95" customHeight="1" x14ac:dyDescent="0.25">
      <c r="B1066" s="52"/>
      <c r="C1066" s="166"/>
      <c r="D1066" s="53"/>
      <c r="E1066" s="155"/>
      <c r="F1066" s="167" t="str">
        <f>_xlfn.IFNA(VLOOKUP(E1064,'Data Kyu'!$A$6:$I$471,2,0),"")</f>
        <v/>
      </c>
      <c r="G1066" s="168"/>
      <c r="H1066" s="168"/>
      <c r="I1066" s="168"/>
      <c r="J1066" s="168"/>
      <c r="K1066" s="169"/>
      <c r="L1066" s="146"/>
      <c r="M1066" s="147"/>
      <c r="N1066" s="173" t="s">
        <v>6</v>
      </c>
      <c r="O1066" s="159"/>
      <c r="P1066" s="57"/>
      <c r="Q1066" s="159" t="s">
        <v>7</v>
      </c>
      <c r="R1066" s="159"/>
      <c r="S1066" s="57"/>
      <c r="T1066" s="159" t="s">
        <v>8</v>
      </c>
      <c r="U1066" s="160"/>
      <c r="V1066" s="175"/>
      <c r="X1066" s="214"/>
    </row>
    <row r="1067" spans="2:24" ht="10.95" customHeight="1" x14ac:dyDescent="0.25">
      <c r="B1067" s="54"/>
      <c r="C1067" s="76"/>
      <c r="D1067" s="56"/>
      <c r="E1067" s="156"/>
      <c r="F1067" s="170"/>
      <c r="G1067" s="171"/>
      <c r="H1067" s="171"/>
      <c r="I1067" s="171"/>
      <c r="J1067" s="171"/>
      <c r="K1067" s="172"/>
      <c r="L1067" s="148"/>
      <c r="M1067" s="144"/>
      <c r="N1067" s="174"/>
      <c r="O1067" s="161"/>
      <c r="P1067" s="27"/>
      <c r="Q1067" s="161"/>
      <c r="R1067" s="161"/>
      <c r="S1067" s="27"/>
      <c r="T1067" s="161"/>
      <c r="U1067" s="162"/>
      <c r="V1067" s="176"/>
      <c r="X1067" s="214"/>
    </row>
    <row r="1068" spans="2:24" ht="10.95" customHeight="1" x14ac:dyDescent="0.25">
      <c r="B1068" s="41"/>
      <c r="C1068" s="77"/>
      <c r="D1068" s="42"/>
      <c r="E1068" s="154">
        <f t="shared" ref="E1068" si="31">E1064+1</f>
        <v>140</v>
      </c>
      <c r="F1068" s="145" t="str">
        <f>_xlfn.IFNA(VLOOKUP(E1068,'Data Kyu'!$A$6:$I$471,3,0),"")</f>
        <v/>
      </c>
      <c r="G1068" s="142"/>
      <c r="H1068" s="66"/>
      <c r="I1068" s="66"/>
      <c r="J1068" s="66"/>
      <c r="K1068" s="66"/>
      <c r="L1068" s="145" t="str">
        <f>_xlfn.IFNA(VLOOKUP(E1068,'Data Kyu'!$A$6:$I$471,9,0),"")</f>
        <v/>
      </c>
      <c r="M1068" s="142"/>
      <c r="N1068" s="145" t="str">
        <f>_xlfn.IFNA(VLOOKUP(E1068,'Data Kyu'!$A$6:$I$471,6,0),"")</f>
        <v/>
      </c>
      <c r="O1068" s="141"/>
      <c r="P1068" s="139" t="s">
        <v>5</v>
      </c>
      <c r="Q1068" s="141" t="str">
        <f>_xlfn.IFNA(VLOOKUP(E1068,'Data Kyu'!$A$6:$I$471,7,0),"")</f>
        <v/>
      </c>
      <c r="R1068" s="141"/>
      <c r="S1068" s="139" t="s">
        <v>5</v>
      </c>
      <c r="T1068" s="141" t="str">
        <f>_xlfn.IFNA(VLOOKUP(E1068,'Data Kyu'!$A$6:$I$471,8,0),"")</f>
        <v/>
      </c>
      <c r="U1068" s="142"/>
      <c r="V1068" s="142" t="str">
        <f>_xlfn.IFNA(VLOOKUP(E1068,'Data Kyu'!$A$6:$I$471,4,0),"")</f>
        <v/>
      </c>
      <c r="X1068" s="214" t="str">
        <f>_xlfn.IFNA(VLOOKUP(F1068,'Data Kyu'!$C$6:$N$997,12,0),"No Data")</f>
        <v>No Data</v>
      </c>
    </row>
    <row r="1069" spans="2:24" ht="10.95" customHeight="1" x14ac:dyDescent="0.25">
      <c r="B1069" s="52"/>
      <c r="C1069" s="165" t="str">
        <f>IF(X1068="LULUS","V","")</f>
        <v/>
      </c>
      <c r="D1069" s="53"/>
      <c r="E1069" s="155"/>
      <c r="F1069" s="148"/>
      <c r="G1069" s="144"/>
      <c r="H1069" s="67"/>
      <c r="I1069" s="67"/>
      <c r="J1069" s="67"/>
      <c r="K1069" s="67"/>
      <c r="L1069" s="146"/>
      <c r="M1069" s="147"/>
      <c r="N1069" s="148"/>
      <c r="O1069" s="143"/>
      <c r="P1069" s="140"/>
      <c r="Q1069" s="143"/>
      <c r="R1069" s="143"/>
      <c r="S1069" s="140"/>
      <c r="T1069" s="143"/>
      <c r="U1069" s="144"/>
      <c r="V1069" s="147"/>
      <c r="X1069" s="214"/>
    </row>
    <row r="1070" spans="2:24" ht="10.95" customHeight="1" x14ac:dyDescent="0.25">
      <c r="B1070" s="52"/>
      <c r="C1070" s="166"/>
      <c r="D1070" s="53"/>
      <c r="E1070" s="155"/>
      <c r="F1070" s="167" t="str">
        <f>_xlfn.IFNA(VLOOKUP(E1068,'Data Kyu'!$A$6:$I$471,2,0),"")</f>
        <v/>
      </c>
      <c r="G1070" s="168"/>
      <c r="H1070" s="168"/>
      <c r="I1070" s="168"/>
      <c r="J1070" s="168"/>
      <c r="K1070" s="169"/>
      <c r="L1070" s="146"/>
      <c r="M1070" s="147"/>
      <c r="N1070" s="173" t="s">
        <v>6</v>
      </c>
      <c r="O1070" s="159"/>
      <c r="P1070" s="57"/>
      <c r="Q1070" s="159" t="s">
        <v>7</v>
      </c>
      <c r="R1070" s="159"/>
      <c r="S1070" s="57"/>
      <c r="T1070" s="159" t="s">
        <v>8</v>
      </c>
      <c r="U1070" s="160"/>
      <c r="V1070" s="175"/>
      <c r="X1070" s="214"/>
    </row>
    <row r="1071" spans="2:24" ht="10.95" customHeight="1" x14ac:dyDescent="0.25">
      <c r="B1071" s="54"/>
      <c r="C1071" s="55"/>
      <c r="D1071" s="56"/>
      <c r="E1071" s="156"/>
      <c r="F1071" s="170"/>
      <c r="G1071" s="171"/>
      <c r="H1071" s="171"/>
      <c r="I1071" s="171"/>
      <c r="J1071" s="171"/>
      <c r="K1071" s="172"/>
      <c r="L1071" s="148"/>
      <c r="M1071" s="144"/>
      <c r="N1071" s="174"/>
      <c r="O1071" s="161"/>
      <c r="P1071" s="27"/>
      <c r="Q1071" s="161"/>
      <c r="R1071" s="161"/>
      <c r="S1071" s="27"/>
      <c r="T1071" s="161"/>
      <c r="U1071" s="162"/>
      <c r="V1071" s="176"/>
      <c r="X1071" s="214"/>
    </row>
    <row r="1072" spans="2:24" ht="7.5" customHeight="1" x14ac:dyDescent="0.25"/>
    <row r="1073" spans="2:24" s="34" customFormat="1" x14ac:dyDescent="0.25">
      <c r="E1073" s="35" t="s">
        <v>30</v>
      </c>
      <c r="K1073" s="35" t="s">
        <v>28</v>
      </c>
    </row>
    <row r="1074" spans="2:24" x14ac:dyDescent="0.25">
      <c r="E1074" s="33" t="s">
        <v>31</v>
      </c>
      <c r="F1074" s="149"/>
      <c r="G1074" s="149"/>
      <c r="H1074" s="149"/>
      <c r="I1074" s="149"/>
      <c r="J1074" s="149"/>
      <c r="K1074" s="33" t="s">
        <v>29</v>
      </c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</row>
    <row r="1075" spans="2:24" ht="6.75" customHeight="1" x14ac:dyDescent="0.25">
      <c r="F1075" s="34"/>
      <c r="G1075" s="34"/>
      <c r="H1075" s="34"/>
      <c r="I1075" s="34"/>
      <c r="J1075" s="34"/>
    </row>
    <row r="1076" spans="2:24" s="34" customFormat="1" x14ac:dyDescent="0.25">
      <c r="E1076" s="35" t="s">
        <v>32</v>
      </c>
      <c r="K1076" s="35" t="s">
        <v>36</v>
      </c>
    </row>
    <row r="1077" spans="2:24" x14ac:dyDescent="0.25">
      <c r="E1077" s="33" t="s">
        <v>33</v>
      </c>
      <c r="F1077" s="149"/>
      <c r="G1077" s="149"/>
      <c r="H1077" s="149"/>
      <c r="I1077" s="149"/>
      <c r="J1077" s="149"/>
      <c r="K1077" s="33" t="s">
        <v>29</v>
      </c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</row>
    <row r="1078" spans="2:24" ht="6.75" customHeight="1" x14ac:dyDescent="0.25">
      <c r="F1078" s="34"/>
      <c r="G1078" s="34"/>
      <c r="H1078" s="34"/>
      <c r="I1078" s="34"/>
      <c r="J1078" s="34"/>
    </row>
    <row r="1079" spans="2:24" s="34" customFormat="1" ht="13.8" x14ac:dyDescent="0.25">
      <c r="E1079" s="35" t="s">
        <v>34</v>
      </c>
      <c r="F1079" s="177" t="str">
        <f>IF(F1032&lt;&gt;"",$F$65,"")</f>
        <v/>
      </c>
      <c r="G1079" s="177"/>
      <c r="H1079" s="177"/>
      <c r="I1079" s="177"/>
      <c r="J1079" s="177"/>
      <c r="K1079" s="35" t="s">
        <v>28</v>
      </c>
      <c r="X1079" s="70" t="s">
        <v>107</v>
      </c>
    </row>
    <row r="1080" spans="2:24" ht="13.8" x14ac:dyDescent="0.25">
      <c r="E1080" s="33" t="s">
        <v>35</v>
      </c>
      <c r="F1080" s="178"/>
      <c r="G1080" s="178"/>
      <c r="H1080" s="178"/>
      <c r="I1080" s="178"/>
      <c r="J1080" s="178"/>
      <c r="K1080" s="33" t="s">
        <v>29</v>
      </c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X1080" s="70" t="s">
        <v>105</v>
      </c>
    </row>
    <row r="1081" spans="2:24" ht="12.75" customHeight="1" thickBot="1" x14ac:dyDescent="0.3"/>
    <row r="1082" spans="2:24" ht="13.8" thickTop="1" x14ac:dyDescent="0.25">
      <c r="B1082" s="34" t="s">
        <v>37</v>
      </c>
      <c r="C1082" s="34"/>
      <c r="D1082" s="34"/>
      <c r="H1082" s="150" t="s">
        <v>40</v>
      </c>
      <c r="I1082" s="151"/>
      <c r="J1082" s="151"/>
      <c r="K1082" s="151"/>
      <c r="L1082" s="151"/>
      <c r="M1082" s="151"/>
      <c r="N1082" s="151"/>
      <c r="O1082" s="151"/>
      <c r="P1082" s="151"/>
      <c r="Q1082" s="151"/>
      <c r="R1082" s="151"/>
      <c r="S1082" s="151"/>
      <c r="T1082" s="151"/>
      <c r="U1082" s="151"/>
      <c r="V1082" s="151"/>
    </row>
    <row r="1083" spans="2:24" x14ac:dyDescent="0.25">
      <c r="B1083" s="34" t="s">
        <v>38</v>
      </c>
      <c r="C1083" s="34"/>
      <c r="D1083" s="34"/>
      <c r="H1083" s="152"/>
      <c r="I1083" s="153"/>
      <c r="J1083" s="153"/>
      <c r="K1083" s="153"/>
      <c r="L1083" s="153"/>
      <c r="M1083" s="153"/>
      <c r="N1083" s="153"/>
      <c r="O1083" s="153"/>
      <c r="P1083" s="153"/>
      <c r="Q1083" s="153"/>
      <c r="R1083" s="153"/>
      <c r="S1083" s="153"/>
      <c r="T1083" s="153"/>
      <c r="U1083" s="153"/>
      <c r="V1083" s="153"/>
    </row>
    <row r="1084" spans="2:24" ht="12.75" customHeight="1" x14ac:dyDescent="0.25">
      <c r="B1084" s="163" t="s">
        <v>39</v>
      </c>
      <c r="C1084" s="163"/>
      <c r="D1084" s="163"/>
      <c r="E1084" s="163"/>
      <c r="F1084" s="163"/>
      <c r="H1084" s="37" t="s">
        <v>41</v>
      </c>
    </row>
    <row r="1085" spans="2:24" ht="13.8" x14ac:dyDescent="0.25">
      <c r="B1085" s="163"/>
      <c r="C1085" s="163"/>
      <c r="D1085" s="163"/>
      <c r="E1085" s="163"/>
      <c r="F1085" s="163"/>
      <c r="H1085" s="38" t="s">
        <v>42</v>
      </c>
    </row>
    <row r="1086" spans="2:24" x14ac:dyDescent="0.25">
      <c r="B1086" s="163"/>
      <c r="C1086" s="163"/>
      <c r="D1086" s="163"/>
      <c r="E1086" s="163"/>
      <c r="F1086" s="163"/>
      <c r="H1086" s="36"/>
    </row>
    <row r="1087" spans="2:24" x14ac:dyDescent="0.25">
      <c r="B1087" s="163"/>
      <c r="C1087" s="163"/>
      <c r="D1087" s="163"/>
      <c r="E1087" s="163"/>
      <c r="F1087" s="163"/>
      <c r="H1087" s="36"/>
    </row>
    <row r="1088" spans="2:24" x14ac:dyDescent="0.25">
      <c r="H1088" s="36"/>
    </row>
    <row r="1089" spans="2:24" x14ac:dyDescent="0.25">
      <c r="H1089" s="36"/>
    </row>
    <row r="1090" spans="2:24" x14ac:dyDescent="0.25">
      <c r="H1090" s="36"/>
    </row>
    <row r="1091" spans="2:24" x14ac:dyDescent="0.25">
      <c r="H1091" s="36"/>
    </row>
    <row r="1092" spans="2:24" ht="13.8" x14ac:dyDescent="0.25">
      <c r="H1092" s="157" t="str">
        <f>IF(F1032&lt;&gt;"",$H$78,"")</f>
        <v/>
      </c>
      <c r="I1092" s="158"/>
      <c r="J1092" s="158"/>
      <c r="K1092" s="158"/>
      <c r="L1092" s="158"/>
      <c r="M1092" s="158"/>
      <c r="N1092" s="158"/>
      <c r="O1092" s="158"/>
      <c r="P1092" s="158"/>
      <c r="Q1092" s="158"/>
      <c r="R1092" s="158"/>
      <c r="S1092" s="158"/>
      <c r="T1092" s="158"/>
      <c r="U1092" s="158"/>
      <c r="V1092" s="158"/>
    </row>
    <row r="1093" spans="2:24" x14ac:dyDescent="0.25">
      <c r="H1093" s="36"/>
    </row>
    <row r="1094" spans="2:24" ht="28.5" customHeight="1" x14ac:dyDescent="0.3">
      <c r="B1094" s="193" t="s">
        <v>43</v>
      </c>
      <c r="C1094" s="193"/>
      <c r="D1094" s="193"/>
      <c r="E1094" s="194"/>
      <c r="F1094" s="194"/>
      <c r="G1094" s="194"/>
      <c r="H1094" s="194"/>
      <c r="I1094" s="2"/>
      <c r="J1094" s="2"/>
      <c r="K1094" s="13" t="s">
        <v>25</v>
      </c>
      <c r="L1094" s="195" t="s">
        <v>14</v>
      </c>
      <c r="M1094" s="196"/>
      <c r="N1094" s="196"/>
      <c r="O1094" s="196"/>
      <c r="P1094" s="196"/>
      <c r="Q1094" s="196"/>
      <c r="R1094" s="196"/>
      <c r="S1094" s="196"/>
      <c r="T1094" s="196"/>
      <c r="U1094" s="196"/>
      <c r="V1094" s="197"/>
      <c r="X1094" s="1"/>
    </row>
    <row r="1095" spans="2:24" ht="26.25" customHeight="1" x14ac:dyDescent="0.4">
      <c r="B1095" s="39" t="s">
        <v>44</v>
      </c>
      <c r="C1095" s="39"/>
      <c r="D1095" s="39"/>
      <c r="E1095" s="2"/>
      <c r="F1095" s="2"/>
      <c r="G1095" s="2"/>
      <c r="H1095" s="2"/>
      <c r="I1095" s="2"/>
      <c r="J1095" s="2"/>
      <c r="K1095" s="29" t="s">
        <v>13</v>
      </c>
      <c r="L1095" s="15">
        <v>4</v>
      </c>
      <c r="M1095" s="16">
        <v>1</v>
      </c>
      <c r="N1095" s="15">
        <v>0</v>
      </c>
      <c r="O1095" s="198">
        <v>0</v>
      </c>
      <c r="P1095" s="199"/>
      <c r="Q1095" s="14">
        <v>0</v>
      </c>
      <c r="R1095" s="200">
        <v>1</v>
      </c>
      <c r="S1095" s="201"/>
      <c r="T1095" s="6"/>
      <c r="U1095" s="6"/>
      <c r="V1095" s="7"/>
      <c r="X1095" s="1"/>
    </row>
    <row r="1096" spans="2:24" ht="21" customHeight="1" x14ac:dyDescent="0.25">
      <c r="B1096" s="26" t="s">
        <v>45</v>
      </c>
      <c r="C1096" s="26"/>
      <c r="D1096" s="26"/>
      <c r="E1096" s="25"/>
      <c r="F1096" s="25"/>
      <c r="G1096" s="25"/>
      <c r="H1096" s="25"/>
      <c r="I1096" s="25"/>
      <c r="J1096" s="25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X1096" s="1"/>
    </row>
    <row r="1097" spans="2:24" ht="13.5" customHeight="1" x14ac:dyDescent="0.25">
      <c r="B1097" s="40" t="s">
        <v>24</v>
      </c>
      <c r="C1097" s="40"/>
      <c r="D1097" s="40"/>
      <c r="E1097" s="25"/>
      <c r="F1097" s="25"/>
      <c r="G1097" s="25"/>
      <c r="H1097" s="25"/>
      <c r="I1097" s="25"/>
      <c r="J1097" s="25"/>
      <c r="K1097" s="28" t="s">
        <v>6</v>
      </c>
      <c r="L1097" s="202" t="str">
        <f>IF(F1110&lt;&gt;"",$L$5,"")</f>
        <v/>
      </c>
      <c r="M1097" s="203"/>
      <c r="N1097" s="204" t="s">
        <v>15</v>
      </c>
      <c r="O1097" s="204"/>
      <c r="P1097" s="204"/>
      <c r="Q1097" s="205" t="str">
        <f>IF(F1110&lt;&gt;"",$Q$5,"")</f>
        <v/>
      </c>
      <c r="R1097" s="206"/>
      <c r="S1097" s="207" t="s">
        <v>16</v>
      </c>
      <c r="T1097" s="204"/>
      <c r="U1097" s="82" t="str">
        <f>IF(F1110&lt;&gt;"",$U$5,"")</f>
        <v/>
      </c>
      <c r="V1097" s="63"/>
      <c r="X1097" s="1"/>
    </row>
    <row r="1098" spans="2:24" ht="8.25" customHeight="1" x14ac:dyDescent="0.25"/>
    <row r="1099" spans="2:24" ht="11.25" customHeight="1" x14ac:dyDescent="0.25">
      <c r="B1099" s="24" t="s">
        <v>17</v>
      </c>
      <c r="C1099" s="24"/>
      <c r="D1099" s="24"/>
    </row>
    <row r="1100" spans="2:24" ht="11.25" customHeight="1" x14ac:dyDescent="0.25">
      <c r="B1100" s="8" t="s">
        <v>18</v>
      </c>
      <c r="C1100" s="8"/>
      <c r="D1100" s="8"/>
    </row>
    <row r="1101" spans="2:24" ht="5.25" customHeight="1" x14ac:dyDescent="0.25">
      <c r="B1101" s="8"/>
      <c r="C1101" s="8"/>
      <c r="D1101" s="8"/>
    </row>
    <row r="1102" spans="2:24" x14ac:dyDescent="0.25">
      <c r="B1102" s="179" t="s">
        <v>19</v>
      </c>
      <c r="C1102" s="179"/>
      <c r="D1102" s="179"/>
      <c r="E1102" s="179"/>
      <c r="F1102" s="179"/>
      <c r="G1102" s="18" t="s">
        <v>6</v>
      </c>
      <c r="H1102" s="64" t="str">
        <f>IF(F1110&lt;&gt;"",$H$10,"")</f>
        <v/>
      </c>
      <c r="I1102" s="9" t="s">
        <v>15</v>
      </c>
      <c r="J1102" s="83" t="str">
        <f>IF(F1110&lt;&gt;"",$J$10,"")</f>
        <v/>
      </c>
      <c r="K1102" s="9" t="s">
        <v>16</v>
      </c>
      <c r="L1102" s="180" t="str">
        <f>IF(F1110&lt;&gt;"",$L$10,"")</f>
        <v/>
      </c>
      <c r="M1102" s="181"/>
      <c r="X1102" s="32"/>
    </row>
    <row r="1103" spans="2:24" ht="5.25" customHeight="1" x14ac:dyDescent="0.25">
      <c r="B1103" s="8"/>
      <c r="C1103" s="8"/>
      <c r="D1103" s="8"/>
      <c r="E1103" s="8"/>
      <c r="F1103" s="8"/>
      <c r="G1103" s="19"/>
      <c r="H1103" s="20"/>
      <c r="I1103" s="21"/>
      <c r="J1103" s="20"/>
      <c r="K1103" s="10"/>
      <c r="L1103" s="22"/>
      <c r="X1103" s="32"/>
    </row>
    <row r="1104" spans="2:24" s="73" customFormat="1" ht="14.4" customHeight="1" x14ac:dyDescent="0.25">
      <c r="B1104" s="72" t="s">
        <v>20</v>
      </c>
      <c r="C1104" s="72"/>
      <c r="D1104" s="72"/>
      <c r="X1104" s="74"/>
    </row>
    <row r="1105" spans="2:24" s="73" customFormat="1" ht="14.4" customHeight="1" x14ac:dyDescent="0.25">
      <c r="B1105" s="75" t="s">
        <v>21</v>
      </c>
      <c r="C1105" s="10"/>
      <c r="D1105" s="10"/>
      <c r="E1105" s="22" t="s">
        <v>22</v>
      </c>
      <c r="X1105" s="74"/>
    </row>
    <row r="1106" spans="2:24" s="73" customFormat="1" ht="14.4" customHeight="1" x14ac:dyDescent="0.25">
      <c r="B1106" s="22"/>
      <c r="C1106" s="22"/>
      <c r="D1106" s="22"/>
      <c r="E1106" s="22" t="s">
        <v>23</v>
      </c>
      <c r="X1106" s="164" t="s">
        <v>102</v>
      </c>
    </row>
    <row r="1107" spans="2:24" ht="7.5" customHeight="1" x14ac:dyDescent="0.25">
      <c r="B1107" s="8"/>
      <c r="C1107" s="8"/>
      <c r="D1107" s="8"/>
      <c r="X1107" s="164"/>
    </row>
    <row r="1108" spans="2:24" ht="17.25" customHeight="1" x14ac:dyDescent="0.25">
      <c r="B1108" s="182"/>
      <c r="C1108" s="59"/>
      <c r="D1108" s="60"/>
      <c r="E1108" s="184" t="s">
        <v>0</v>
      </c>
      <c r="F1108" s="186" t="s">
        <v>1</v>
      </c>
      <c r="G1108" s="187"/>
      <c r="H1108" s="4"/>
      <c r="I1108" s="4"/>
      <c r="J1108" s="4"/>
      <c r="K1108" s="5"/>
      <c r="L1108" s="145" t="s">
        <v>3</v>
      </c>
      <c r="M1108" s="142"/>
      <c r="N1108" s="188" t="s">
        <v>10</v>
      </c>
      <c r="O1108" s="188"/>
      <c r="P1108" s="188"/>
      <c r="Q1108" s="188"/>
      <c r="R1108" s="188"/>
      <c r="S1108" s="188"/>
      <c r="T1108" s="188"/>
      <c r="U1108" s="189"/>
      <c r="V1108" s="3" t="s">
        <v>12</v>
      </c>
      <c r="X1108" s="68" t="s">
        <v>200</v>
      </c>
    </row>
    <row r="1109" spans="2:24" ht="17.25" customHeight="1" x14ac:dyDescent="0.25">
      <c r="B1109" s="183"/>
      <c r="C1109" s="61"/>
      <c r="D1109" s="62"/>
      <c r="E1109" s="185"/>
      <c r="F1109" s="30" t="s">
        <v>2</v>
      </c>
      <c r="G1109" s="17"/>
      <c r="H1109" s="6"/>
      <c r="I1109" s="6"/>
      <c r="J1109" s="6"/>
      <c r="K1109" s="7"/>
      <c r="L1109" s="190" t="s">
        <v>4</v>
      </c>
      <c r="M1109" s="191"/>
      <c r="N1109" s="192" t="s">
        <v>9</v>
      </c>
      <c r="O1109" s="192"/>
      <c r="P1109" s="192"/>
      <c r="Q1109" s="192"/>
      <c r="R1109" s="192"/>
      <c r="S1109" s="192"/>
      <c r="T1109" s="192"/>
      <c r="U1109" s="191"/>
      <c r="V1109" s="31" t="s">
        <v>11</v>
      </c>
      <c r="X1109" s="69"/>
    </row>
    <row r="1110" spans="2:24" ht="10.95" customHeight="1" x14ac:dyDescent="0.25">
      <c r="B1110" s="41"/>
      <c r="C1110" s="51"/>
      <c r="D1110" s="42"/>
      <c r="E1110" s="154">
        <v>141</v>
      </c>
      <c r="F1110" s="145" t="str">
        <f>_xlfn.IFNA(VLOOKUP(E1110,'Data Kyu'!$A$6:$I$471,3,0),"")</f>
        <v/>
      </c>
      <c r="G1110" s="142"/>
      <c r="H1110" s="66"/>
      <c r="I1110" s="66"/>
      <c r="J1110" s="66"/>
      <c r="K1110" s="66"/>
      <c r="L1110" s="145" t="str">
        <f>_xlfn.IFNA(VLOOKUP(E1110,'Data Kyu'!$A$6:$I$471,9,0),"")</f>
        <v/>
      </c>
      <c r="M1110" s="142"/>
      <c r="N1110" s="145" t="str">
        <f>_xlfn.IFNA(VLOOKUP(E1110,'Data Kyu'!$A$6:$I$471,6,0),"")</f>
        <v/>
      </c>
      <c r="O1110" s="141"/>
      <c r="P1110" s="139" t="s">
        <v>5</v>
      </c>
      <c r="Q1110" s="141" t="str">
        <f>_xlfn.IFNA(VLOOKUP(E1110,'Data Kyu'!$A$6:$I$471,7,0),"")</f>
        <v/>
      </c>
      <c r="R1110" s="141"/>
      <c r="S1110" s="139" t="s">
        <v>5</v>
      </c>
      <c r="T1110" s="141" t="str">
        <f>_xlfn.IFNA(VLOOKUP(E1110,'Data Kyu'!$A$6:$I$471,8,0),"")</f>
        <v/>
      </c>
      <c r="U1110" s="142"/>
      <c r="V1110" s="142" t="str">
        <f>_xlfn.IFNA(VLOOKUP(E1110,'Data Kyu'!$A$6:$I$471,4,0),"")</f>
        <v/>
      </c>
      <c r="X1110" s="214" t="str">
        <f>_xlfn.IFNA(VLOOKUP(F1110,'Data Kyu'!$C$6:$N$997,12,0),"No Data")</f>
        <v>No Data</v>
      </c>
    </row>
    <row r="1111" spans="2:24" ht="10.95" customHeight="1" x14ac:dyDescent="0.25">
      <c r="B1111" s="52"/>
      <c r="C1111" s="165" t="str">
        <f>IF(X1110="LULUS","V","")</f>
        <v/>
      </c>
      <c r="D1111" s="53"/>
      <c r="E1111" s="155"/>
      <c r="F1111" s="148"/>
      <c r="G1111" s="144"/>
      <c r="H1111" s="67"/>
      <c r="I1111" s="67"/>
      <c r="J1111" s="67"/>
      <c r="K1111" s="67"/>
      <c r="L1111" s="146"/>
      <c r="M1111" s="147"/>
      <c r="N1111" s="148"/>
      <c r="O1111" s="143"/>
      <c r="P1111" s="140"/>
      <c r="Q1111" s="143"/>
      <c r="R1111" s="143"/>
      <c r="S1111" s="140"/>
      <c r="T1111" s="143"/>
      <c r="U1111" s="144"/>
      <c r="V1111" s="147"/>
      <c r="X1111" s="214"/>
    </row>
    <row r="1112" spans="2:24" ht="10.95" customHeight="1" x14ac:dyDescent="0.25">
      <c r="B1112" s="52"/>
      <c r="C1112" s="166"/>
      <c r="D1112" s="53"/>
      <c r="E1112" s="155"/>
      <c r="F1112" s="167" t="str">
        <f>_xlfn.IFNA(VLOOKUP(E1110,'Data Kyu'!$A$6:$I$471,2,0),"")</f>
        <v/>
      </c>
      <c r="G1112" s="168"/>
      <c r="H1112" s="168"/>
      <c r="I1112" s="168"/>
      <c r="J1112" s="168"/>
      <c r="K1112" s="169"/>
      <c r="L1112" s="146"/>
      <c r="M1112" s="147"/>
      <c r="N1112" s="173" t="s">
        <v>6</v>
      </c>
      <c r="O1112" s="159"/>
      <c r="P1112" s="57"/>
      <c r="Q1112" s="159" t="s">
        <v>7</v>
      </c>
      <c r="R1112" s="159"/>
      <c r="S1112" s="57"/>
      <c r="T1112" s="159" t="s">
        <v>8</v>
      </c>
      <c r="U1112" s="160"/>
      <c r="V1112" s="175"/>
      <c r="X1112" s="214"/>
    </row>
    <row r="1113" spans="2:24" ht="10.95" customHeight="1" x14ac:dyDescent="0.25">
      <c r="B1113" s="54"/>
      <c r="C1113" s="76"/>
      <c r="D1113" s="56"/>
      <c r="E1113" s="156"/>
      <c r="F1113" s="170"/>
      <c r="G1113" s="171"/>
      <c r="H1113" s="171"/>
      <c r="I1113" s="171"/>
      <c r="J1113" s="171"/>
      <c r="K1113" s="172"/>
      <c r="L1113" s="148"/>
      <c r="M1113" s="144"/>
      <c r="N1113" s="174"/>
      <c r="O1113" s="161"/>
      <c r="P1113" s="27"/>
      <c r="Q1113" s="161"/>
      <c r="R1113" s="161"/>
      <c r="S1113" s="27"/>
      <c r="T1113" s="161"/>
      <c r="U1113" s="162"/>
      <c r="V1113" s="176"/>
      <c r="X1113" s="214"/>
    </row>
    <row r="1114" spans="2:24" ht="10.95" customHeight="1" x14ac:dyDescent="0.25">
      <c r="B1114" s="41"/>
      <c r="C1114" s="77"/>
      <c r="D1114" s="42"/>
      <c r="E1114" s="154">
        <f>E1110+1</f>
        <v>142</v>
      </c>
      <c r="F1114" s="145" t="str">
        <f>_xlfn.IFNA(VLOOKUP(E1114,'Data Kyu'!$A$6:$I$471,3,0),"")</f>
        <v/>
      </c>
      <c r="G1114" s="142"/>
      <c r="H1114" s="66"/>
      <c r="I1114" s="66"/>
      <c r="J1114" s="66"/>
      <c r="K1114" s="66"/>
      <c r="L1114" s="145" t="str">
        <f>_xlfn.IFNA(VLOOKUP(E1114,'Data Kyu'!$A$6:$I$471,9,0),"")</f>
        <v/>
      </c>
      <c r="M1114" s="142"/>
      <c r="N1114" s="145" t="str">
        <f>_xlfn.IFNA(VLOOKUP(E1114,'Data Kyu'!$A$6:$I$471,6,0),"")</f>
        <v/>
      </c>
      <c r="O1114" s="141"/>
      <c r="P1114" s="139" t="s">
        <v>5</v>
      </c>
      <c r="Q1114" s="141" t="str">
        <f>_xlfn.IFNA(VLOOKUP(E1114,'Data Kyu'!$A$6:$I$471,7,0),"")</f>
        <v/>
      </c>
      <c r="R1114" s="141"/>
      <c r="S1114" s="139" t="s">
        <v>5</v>
      </c>
      <c r="T1114" s="141" t="str">
        <f>_xlfn.IFNA(VLOOKUP(E1114,'Data Kyu'!$A$6:$I$471,8,0),"")</f>
        <v/>
      </c>
      <c r="U1114" s="142"/>
      <c r="V1114" s="142" t="str">
        <f>_xlfn.IFNA(VLOOKUP(E1114,'Data Kyu'!$A$6:$I$471,4,0),"")</f>
        <v/>
      </c>
      <c r="X1114" s="214" t="str">
        <f>_xlfn.IFNA(VLOOKUP(F1114,'Data Kyu'!$C$6:$N$997,12,0),"No Data")</f>
        <v>No Data</v>
      </c>
    </row>
    <row r="1115" spans="2:24" ht="10.95" customHeight="1" x14ac:dyDescent="0.25">
      <c r="B1115" s="52"/>
      <c r="C1115" s="165" t="str">
        <f>IF(X1114="LULUS","V","")</f>
        <v/>
      </c>
      <c r="D1115" s="53"/>
      <c r="E1115" s="155"/>
      <c r="F1115" s="148"/>
      <c r="G1115" s="144"/>
      <c r="H1115" s="67"/>
      <c r="I1115" s="67"/>
      <c r="J1115" s="67"/>
      <c r="K1115" s="67"/>
      <c r="L1115" s="146"/>
      <c r="M1115" s="147"/>
      <c r="N1115" s="148"/>
      <c r="O1115" s="143"/>
      <c r="P1115" s="140"/>
      <c r="Q1115" s="143"/>
      <c r="R1115" s="143"/>
      <c r="S1115" s="140"/>
      <c r="T1115" s="143"/>
      <c r="U1115" s="144"/>
      <c r="V1115" s="147"/>
      <c r="X1115" s="214"/>
    </row>
    <row r="1116" spans="2:24" ht="10.95" customHeight="1" x14ac:dyDescent="0.25">
      <c r="B1116" s="52"/>
      <c r="C1116" s="166"/>
      <c r="D1116" s="53"/>
      <c r="E1116" s="155"/>
      <c r="F1116" s="167" t="str">
        <f>_xlfn.IFNA(VLOOKUP(E1114,'Data Kyu'!$A$6:$I$471,2,0),"")</f>
        <v/>
      </c>
      <c r="G1116" s="168"/>
      <c r="H1116" s="168"/>
      <c r="I1116" s="168"/>
      <c r="J1116" s="168"/>
      <c r="K1116" s="169"/>
      <c r="L1116" s="146"/>
      <c r="M1116" s="147"/>
      <c r="N1116" s="173" t="s">
        <v>6</v>
      </c>
      <c r="O1116" s="159"/>
      <c r="P1116" s="57"/>
      <c r="Q1116" s="159" t="s">
        <v>7</v>
      </c>
      <c r="R1116" s="159"/>
      <c r="S1116" s="57"/>
      <c r="T1116" s="159" t="s">
        <v>8</v>
      </c>
      <c r="U1116" s="160"/>
      <c r="V1116" s="175"/>
      <c r="X1116" s="214"/>
    </row>
    <row r="1117" spans="2:24" ht="10.95" customHeight="1" x14ac:dyDescent="0.25">
      <c r="B1117" s="54"/>
      <c r="C1117" s="76"/>
      <c r="D1117" s="56"/>
      <c r="E1117" s="156"/>
      <c r="F1117" s="170"/>
      <c r="G1117" s="171"/>
      <c r="H1117" s="171"/>
      <c r="I1117" s="171"/>
      <c r="J1117" s="171"/>
      <c r="K1117" s="172"/>
      <c r="L1117" s="148"/>
      <c r="M1117" s="144"/>
      <c r="N1117" s="174"/>
      <c r="O1117" s="161"/>
      <c r="P1117" s="27"/>
      <c r="Q1117" s="161"/>
      <c r="R1117" s="161"/>
      <c r="S1117" s="27"/>
      <c r="T1117" s="161"/>
      <c r="U1117" s="162"/>
      <c r="V1117" s="176"/>
      <c r="X1117" s="214"/>
    </row>
    <row r="1118" spans="2:24" ht="10.95" customHeight="1" x14ac:dyDescent="0.25">
      <c r="B1118" s="41"/>
      <c r="C1118" s="77"/>
      <c r="D1118" s="42"/>
      <c r="E1118" s="154">
        <f t="shared" ref="E1118" si="32">E1114+1</f>
        <v>143</v>
      </c>
      <c r="F1118" s="145" t="str">
        <f>_xlfn.IFNA(VLOOKUP(E1118,'Data Kyu'!$A$6:$I$471,3,0),"")</f>
        <v/>
      </c>
      <c r="G1118" s="142"/>
      <c r="H1118" s="66"/>
      <c r="I1118" s="66"/>
      <c r="J1118" s="66"/>
      <c r="K1118" s="66"/>
      <c r="L1118" s="145" t="str">
        <f>_xlfn.IFNA(VLOOKUP(E1118,'Data Kyu'!$A$6:$I$471,9,0),"")</f>
        <v/>
      </c>
      <c r="M1118" s="142"/>
      <c r="N1118" s="145" t="str">
        <f>_xlfn.IFNA(VLOOKUP(E1118,'Data Kyu'!$A$6:$I$471,6,0),"")</f>
        <v/>
      </c>
      <c r="O1118" s="141"/>
      <c r="P1118" s="139" t="s">
        <v>5</v>
      </c>
      <c r="Q1118" s="141" t="str">
        <f>_xlfn.IFNA(VLOOKUP(E1118,'Data Kyu'!$A$6:$I$471,7,0),"")</f>
        <v/>
      </c>
      <c r="R1118" s="141"/>
      <c r="S1118" s="139" t="s">
        <v>5</v>
      </c>
      <c r="T1118" s="141" t="str">
        <f>_xlfn.IFNA(VLOOKUP(E1118,'Data Kyu'!$A$6:$I$471,8,0),"")</f>
        <v/>
      </c>
      <c r="U1118" s="142"/>
      <c r="V1118" s="142" t="str">
        <f>_xlfn.IFNA(VLOOKUP(E1118,'Data Kyu'!$A$6:$I$471,4,0),"")</f>
        <v/>
      </c>
      <c r="X1118" s="214" t="str">
        <f>_xlfn.IFNA(VLOOKUP(F1118,'Data Kyu'!$C$6:$N$997,12,0),"No Data")</f>
        <v>No Data</v>
      </c>
    </row>
    <row r="1119" spans="2:24" ht="10.95" customHeight="1" x14ac:dyDescent="0.25">
      <c r="B1119" s="52"/>
      <c r="C1119" s="165" t="str">
        <f>IF(X1118="LULUS","V","")</f>
        <v/>
      </c>
      <c r="D1119" s="53"/>
      <c r="E1119" s="155"/>
      <c r="F1119" s="148"/>
      <c r="G1119" s="144"/>
      <c r="H1119" s="67"/>
      <c r="I1119" s="67"/>
      <c r="J1119" s="67"/>
      <c r="K1119" s="67"/>
      <c r="L1119" s="146"/>
      <c r="M1119" s="147"/>
      <c r="N1119" s="148"/>
      <c r="O1119" s="143"/>
      <c r="P1119" s="140"/>
      <c r="Q1119" s="143"/>
      <c r="R1119" s="143"/>
      <c r="S1119" s="140"/>
      <c r="T1119" s="143"/>
      <c r="U1119" s="144"/>
      <c r="V1119" s="147"/>
      <c r="X1119" s="214"/>
    </row>
    <row r="1120" spans="2:24" ht="10.95" customHeight="1" x14ac:dyDescent="0.25">
      <c r="B1120" s="52"/>
      <c r="C1120" s="166"/>
      <c r="D1120" s="53"/>
      <c r="E1120" s="155"/>
      <c r="F1120" s="167" t="str">
        <f>_xlfn.IFNA(VLOOKUP(E1118,'Data Kyu'!$A$6:$I$471,2,0),"")</f>
        <v/>
      </c>
      <c r="G1120" s="168"/>
      <c r="H1120" s="168"/>
      <c r="I1120" s="168"/>
      <c r="J1120" s="168"/>
      <c r="K1120" s="169"/>
      <c r="L1120" s="146"/>
      <c r="M1120" s="147"/>
      <c r="N1120" s="173" t="s">
        <v>6</v>
      </c>
      <c r="O1120" s="159"/>
      <c r="P1120" s="57"/>
      <c r="Q1120" s="159" t="s">
        <v>7</v>
      </c>
      <c r="R1120" s="159"/>
      <c r="S1120" s="57"/>
      <c r="T1120" s="159" t="s">
        <v>8</v>
      </c>
      <c r="U1120" s="160"/>
      <c r="V1120" s="175"/>
      <c r="X1120" s="214"/>
    </row>
    <row r="1121" spans="2:24" ht="10.95" customHeight="1" x14ac:dyDescent="0.25">
      <c r="B1121" s="54"/>
      <c r="C1121" s="76"/>
      <c r="D1121" s="56"/>
      <c r="E1121" s="156"/>
      <c r="F1121" s="170"/>
      <c r="G1121" s="171"/>
      <c r="H1121" s="171"/>
      <c r="I1121" s="171"/>
      <c r="J1121" s="171"/>
      <c r="K1121" s="172"/>
      <c r="L1121" s="148"/>
      <c r="M1121" s="144"/>
      <c r="N1121" s="174"/>
      <c r="O1121" s="161"/>
      <c r="P1121" s="27"/>
      <c r="Q1121" s="161"/>
      <c r="R1121" s="161"/>
      <c r="S1121" s="27"/>
      <c r="T1121" s="161"/>
      <c r="U1121" s="162"/>
      <c r="V1121" s="176"/>
      <c r="X1121" s="214"/>
    </row>
    <row r="1122" spans="2:24" ht="10.95" customHeight="1" x14ac:dyDescent="0.25">
      <c r="B1122" s="41"/>
      <c r="C1122" s="77"/>
      <c r="D1122" s="42"/>
      <c r="E1122" s="154">
        <f t="shared" ref="E1122" si="33">E1118+1</f>
        <v>144</v>
      </c>
      <c r="F1122" s="145" t="str">
        <f>_xlfn.IFNA(VLOOKUP(E1122,'Data Kyu'!$A$6:$I$471,3,0),"")</f>
        <v/>
      </c>
      <c r="G1122" s="142"/>
      <c r="H1122" s="66"/>
      <c r="I1122" s="66"/>
      <c r="J1122" s="66"/>
      <c r="K1122" s="66"/>
      <c r="L1122" s="145" t="str">
        <f>_xlfn.IFNA(VLOOKUP(E1122,'Data Kyu'!$A$6:$I$471,9,0),"")</f>
        <v/>
      </c>
      <c r="M1122" s="142"/>
      <c r="N1122" s="145" t="str">
        <f>_xlfn.IFNA(VLOOKUP(E1122,'Data Kyu'!$A$6:$I$471,6,0),"")</f>
        <v/>
      </c>
      <c r="O1122" s="141"/>
      <c r="P1122" s="139" t="s">
        <v>5</v>
      </c>
      <c r="Q1122" s="141" t="str">
        <f>_xlfn.IFNA(VLOOKUP(E1122,'Data Kyu'!$A$6:$I$471,7,0),"")</f>
        <v/>
      </c>
      <c r="R1122" s="141"/>
      <c r="S1122" s="139" t="s">
        <v>5</v>
      </c>
      <c r="T1122" s="141" t="str">
        <f>_xlfn.IFNA(VLOOKUP(E1122,'Data Kyu'!$A$6:$I$471,8,0),"")</f>
        <v/>
      </c>
      <c r="U1122" s="142"/>
      <c r="V1122" s="142" t="str">
        <f>_xlfn.IFNA(VLOOKUP(E1122,'Data Kyu'!$A$6:$I$471,4,0),"")</f>
        <v/>
      </c>
      <c r="X1122" s="214" t="str">
        <f>_xlfn.IFNA(VLOOKUP(F1122,'Data Kyu'!$C$6:$N$997,12,0),"No Data")</f>
        <v>No Data</v>
      </c>
    </row>
    <row r="1123" spans="2:24" ht="10.95" customHeight="1" x14ac:dyDescent="0.25">
      <c r="B1123" s="52"/>
      <c r="C1123" s="165" t="str">
        <f>IF(X1122="LULUS","V","")</f>
        <v/>
      </c>
      <c r="D1123" s="53"/>
      <c r="E1123" s="155"/>
      <c r="F1123" s="148"/>
      <c r="G1123" s="144"/>
      <c r="H1123" s="67"/>
      <c r="I1123" s="67"/>
      <c r="J1123" s="67"/>
      <c r="K1123" s="67"/>
      <c r="L1123" s="146"/>
      <c r="M1123" s="147"/>
      <c r="N1123" s="148"/>
      <c r="O1123" s="143"/>
      <c r="P1123" s="140"/>
      <c r="Q1123" s="143"/>
      <c r="R1123" s="143"/>
      <c r="S1123" s="140"/>
      <c r="T1123" s="143"/>
      <c r="U1123" s="144"/>
      <c r="V1123" s="147"/>
      <c r="X1123" s="214"/>
    </row>
    <row r="1124" spans="2:24" ht="10.95" customHeight="1" x14ac:dyDescent="0.25">
      <c r="B1124" s="52"/>
      <c r="C1124" s="166"/>
      <c r="D1124" s="53"/>
      <c r="E1124" s="155"/>
      <c r="F1124" s="167" t="str">
        <f>_xlfn.IFNA(VLOOKUP(E1122,'Data Kyu'!$A$6:$I$471,2,0),"")</f>
        <v/>
      </c>
      <c r="G1124" s="168"/>
      <c r="H1124" s="168"/>
      <c r="I1124" s="168"/>
      <c r="J1124" s="168"/>
      <c r="K1124" s="169"/>
      <c r="L1124" s="146"/>
      <c r="M1124" s="147"/>
      <c r="N1124" s="173" t="s">
        <v>6</v>
      </c>
      <c r="O1124" s="159"/>
      <c r="P1124" s="57"/>
      <c r="Q1124" s="159" t="s">
        <v>7</v>
      </c>
      <c r="R1124" s="159"/>
      <c r="S1124" s="57"/>
      <c r="T1124" s="159" t="s">
        <v>8</v>
      </c>
      <c r="U1124" s="160"/>
      <c r="V1124" s="175"/>
      <c r="X1124" s="214"/>
    </row>
    <row r="1125" spans="2:24" ht="10.95" customHeight="1" x14ac:dyDescent="0.25">
      <c r="B1125" s="54"/>
      <c r="C1125" s="76"/>
      <c r="D1125" s="56"/>
      <c r="E1125" s="156"/>
      <c r="F1125" s="170"/>
      <c r="G1125" s="171"/>
      <c r="H1125" s="171"/>
      <c r="I1125" s="171"/>
      <c r="J1125" s="171"/>
      <c r="K1125" s="172"/>
      <c r="L1125" s="148"/>
      <c r="M1125" s="144"/>
      <c r="N1125" s="174"/>
      <c r="O1125" s="161"/>
      <c r="P1125" s="27"/>
      <c r="Q1125" s="161"/>
      <c r="R1125" s="161"/>
      <c r="S1125" s="27"/>
      <c r="T1125" s="161"/>
      <c r="U1125" s="162"/>
      <c r="V1125" s="176"/>
      <c r="X1125" s="214"/>
    </row>
    <row r="1126" spans="2:24" ht="10.95" customHeight="1" x14ac:dyDescent="0.25">
      <c r="B1126" s="41"/>
      <c r="C1126" s="77"/>
      <c r="D1126" s="42"/>
      <c r="E1126" s="154">
        <f t="shared" ref="E1126" si="34">E1122+1</f>
        <v>145</v>
      </c>
      <c r="F1126" s="145" t="str">
        <f>_xlfn.IFNA(VLOOKUP(E1126,'Data Kyu'!$A$6:$I$471,3,0),"")</f>
        <v/>
      </c>
      <c r="G1126" s="142"/>
      <c r="H1126" s="66"/>
      <c r="I1126" s="66"/>
      <c r="J1126" s="66"/>
      <c r="K1126" s="66"/>
      <c r="L1126" s="145" t="str">
        <f>_xlfn.IFNA(VLOOKUP(E1126,'Data Kyu'!$A$6:$I$471,9,0),"")</f>
        <v/>
      </c>
      <c r="M1126" s="142"/>
      <c r="N1126" s="145" t="str">
        <f>_xlfn.IFNA(VLOOKUP(E1126,'Data Kyu'!$A$6:$I$471,6,0),"")</f>
        <v/>
      </c>
      <c r="O1126" s="141"/>
      <c r="P1126" s="139" t="s">
        <v>5</v>
      </c>
      <c r="Q1126" s="141" t="str">
        <f>_xlfn.IFNA(VLOOKUP(E1126,'Data Kyu'!$A$6:$I$471,7,0),"")</f>
        <v/>
      </c>
      <c r="R1126" s="141"/>
      <c r="S1126" s="139" t="s">
        <v>5</v>
      </c>
      <c r="T1126" s="141" t="str">
        <f>_xlfn.IFNA(VLOOKUP(E1126,'Data Kyu'!$A$6:$I$471,8,0),"")</f>
        <v/>
      </c>
      <c r="U1126" s="142"/>
      <c r="V1126" s="142" t="str">
        <f>_xlfn.IFNA(VLOOKUP(E1126,'Data Kyu'!$A$6:$I$471,4,0),"")</f>
        <v/>
      </c>
      <c r="X1126" s="214" t="str">
        <f>_xlfn.IFNA(VLOOKUP(F1126,'Data Kyu'!$C$6:$N$997,12,0),"No Data")</f>
        <v>No Data</v>
      </c>
    </row>
    <row r="1127" spans="2:24" ht="10.95" customHeight="1" x14ac:dyDescent="0.25">
      <c r="B1127" s="52"/>
      <c r="C1127" s="165" t="str">
        <f>IF(X1126="LULUS","V","")</f>
        <v/>
      </c>
      <c r="D1127" s="53"/>
      <c r="E1127" s="155"/>
      <c r="F1127" s="148"/>
      <c r="G1127" s="144"/>
      <c r="H1127" s="67"/>
      <c r="I1127" s="67"/>
      <c r="J1127" s="67"/>
      <c r="K1127" s="67"/>
      <c r="L1127" s="146"/>
      <c r="M1127" s="147"/>
      <c r="N1127" s="148"/>
      <c r="O1127" s="143"/>
      <c r="P1127" s="140"/>
      <c r="Q1127" s="143"/>
      <c r="R1127" s="143"/>
      <c r="S1127" s="140"/>
      <c r="T1127" s="143"/>
      <c r="U1127" s="144"/>
      <c r="V1127" s="147"/>
      <c r="X1127" s="214"/>
    </row>
    <row r="1128" spans="2:24" ht="10.95" customHeight="1" x14ac:dyDescent="0.25">
      <c r="B1128" s="52"/>
      <c r="C1128" s="166"/>
      <c r="D1128" s="53"/>
      <c r="E1128" s="155"/>
      <c r="F1128" s="167" t="str">
        <f>_xlfn.IFNA(VLOOKUP(E1126,'Data Kyu'!$A$6:$I$471,2,0),"")</f>
        <v/>
      </c>
      <c r="G1128" s="168"/>
      <c r="H1128" s="168"/>
      <c r="I1128" s="168"/>
      <c r="J1128" s="168"/>
      <c r="K1128" s="169"/>
      <c r="L1128" s="146"/>
      <c r="M1128" s="147"/>
      <c r="N1128" s="173" t="s">
        <v>6</v>
      </c>
      <c r="O1128" s="159"/>
      <c r="P1128" s="57"/>
      <c r="Q1128" s="159" t="s">
        <v>7</v>
      </c>
      <c r="R1128" s="159"/>
      <c r="S1128" s="57"/>
      <c r="T1128" s="159" t="s">
        <v>8</v>
      </c>
      <c r="U1128" s="160"/>
      <c r="V1128" s="175"/>
      <c r="X1128" s="214"/>
    </row>
    <row r="1129" spans="2:24" ht="10.95" customHeight="1" x14ac:dyDescent="0.25">
      <c r="B1129" s="54"/>
      <c r="C1129" s="76"/>
      <c r="D1129" s="56"/>
      <c r="E1129" s="156"/>
      <c r="F1129" s="170"/>
      <c r="G1129" s="171"/>
      <c r="H1129" s="171"/>
      <c r="I1129" s="171"/>
      <c r="J1129" s="171"/>
      <c r="K1129" s="172"/>
      <c r="L1129" s="148"/>
      <c r="M1129" s="144"/>
      <c r="N1129" s="174"/>
      <c r="O1129" s="161"/>
      <c r="P1129" s="27"/>
      <c r="Q1129" s="161"/>
      <c r="R1129" s="161"/>
      <c r="S1129" s="27"/>
      <c r="T1129" s="161"/>
      <c r="U1129" s="162"/>
      <c r="V1129" s="176"/>
      <c r="X1129" s="214"/>
    </row>
    <row r="1130" spans="2:24" ht="10.95" customHeight="1" x14ac:dyDescent="0.25">
      <c r="B1130" s="41"/>
      <c r="C1130" s="77"/>
      <c r="D1130" s="42"/>
      <c r="E1130" s="154">
        <f t="shared" ref="E1130" si="35">E1126+1</f>
        <v>146</v>
      </c>
      <c r="F1130" s="145" t="str">
        <f>_xlfn.IFNA(VLOOKUP(E1130,'Data Kyu'!$A$6:$I$471,3,0),"")</f>
        <v/>
      </c>
      <c r="G1130" s="142"/>
      <c r="H1130" s="66"/>
      <c r="I1130" s="66"/>
      <c r="J1130" s="66"/>
      <c r="K1130" s="66"/>
      <c r="L1130" s="145" t="str">
        <f>_xlfn.IFNA(VLOOKUP(E1130,'Data Kyu'!$A$6:$I$471,9,0),"")</f>
        <v/>
      </c>
      <c r="M1130" s="142"/>
      <c r="N1130" s="145" t="str">
        <f>_xlfn.IFNA(VLOOKUP(E1130,'Data Kyu'!$A$6:$I$471,6,0),"")</f>
        <v/>
      </c>
      <c r="O1130" s="141"/>
      <c r="P1130" s="139" t="s">
        <v>5</v>
      </c>
      <c r="Q1130" s="141" t="str">
        <f>_xlfn.IFNA(VLOOKUP(E1130,'Data Kyu'!$A$6:$I$471,7,0),"")</f>
        <v/>
      </c>
      <c r="R1130" s="141"/>
      <c r="S1130" s="139" t="s">
        <v>5</v>
      </c>
      <c r="T1130" s="141" t="str">
        <f>_xlfn.IFNA(VLOOKUP(E1130,'Data Kyu'!$A$6:$I$471,8,0),"")</f>
        <v/>
      </c>
      <c r="U1130" s="142"/>
      <c r="V1130" s="142" t="str">
        <f>_xlfn.IFNA(VLOOKUP(E1130,'Data Kyu'!$A$6:$I$471,4,0),"")</f>
        <v/>
      </c>
      <c r="X1130" s="214" t="str">
        <f>_xlfn.IFNA(VLOOKUP(F1130,'Data Kyu'!$C$6:$N$997,12,0),"No Data")</f>
        <v>No Data</v>
      </c>
    </row>
    <row r="1131" spans="2:24" ht="10.95" customHeight="1" x14ac:dyDescent="0.25">
      <c r="B1131" s="52"/>
      <c r="C1131" s="165" t="str">
        <f>IF(X1130="LULUS","V","")</f>
        <v/>
      </c>
      <c r="D1131" s="53"/>
      <c r="E1131" s="155"/>
      <c r="F1131" s="148"/>
      <c r="G1131" s="144"/>
      <c r="H1131" s="67"/>
      <c r="I1131" s="67"/>
      <c r="J1131" s="67"/>
      <c r="K1131" s="67"/>
      <c r="L1131" s="146"/>
      <c r="M1131" s="147"/>
      <c r="N1131" s="148"/>
      <c r="O1131" s="143"/>
      <c r="P1131" s="140"/>
      <c r="Q1131" s="143"/>
      <c r="R1131" s="143"/>
      <c r="S1131" s="140"/>
      <c r="T1131" s="143"/>
      <c r="U1131" s="144"/>
      <c r="V1131" s="147"/>
      <c r="X1131" s="214"/>
    </row>
    <row r="1132" spans="2:24" ht="10.95" customHeight="1" x14ac:dyDescent="0.25">
      <c r="B1132" s="52"/>
      <c r="C1132" s="166"/>
      <c r="D1132" s="53"/>
      <c r="E1132" s="155"/>
      <c r="F1132" s="167" t="str">
        <f>_xlfn.IFNA(VLOOKUP(E1130,'Data Kyu'!$A$6:$I$471,2,0),"")</f>
        <v/>
      </c>
      <c r="G1132" s="168"/>
      <c r="H1132" s="168"/>
      <c r="I1132" s="168"/>
      <c r="J1132" s="168"/>
      <c r="K1132" s="169"/>
      <c r="L1132" s="146"/>
      <c r="M1132" s="147"/>
      <c r="N1132" s="173" t="s">
        <v>6</v>
      </c>
      <c r="O1132" s="159"/>
      <c r="P1132" s="57"/>
      <c r="Q1132" s="159" t="s">
        <v>7</v>
      </c>
      <c r="R1132" s="159"/>
      <c r="S1132" s="57"/>
      <c r="T1132" s="159" t="s">
        <v>8</v>
      </c>
      <c r="U1132" s="160"/>
      <c r="V1132" s="175"/>
      <c r="X1132" s="214"/>
    </row>
    <row r="1133" spans="2:24" ht="10.95" customHeight="1" x14ac:dyDescent="0.25">
      <c r="B1133" s="54"/>
      <c r="C1133" s="76"/>
      <c r="D1133" s="56"/>
      <c r="E1133" s="156"/>
      <c r="F1133" s="170"/>
      <c r="G1133" s="171"/>
      <c r="H1133" s="171"/>
      <c r="I1133" s="171"/>
      <c r="J1133" s="171"/>
      <c r="K1133" s="172"/>
      <c r="L1133" s="148"/>
      <c r="M1133" s="144"/>
      <c r="N1133" s="174"/>
      <c r="O1133" s="161"/>
      <c r="P1133" s="27"/>
      <c r="Q1133" s="161"/>
      <c r="R1133" s="161"/>
      <c r="S1133" s="27"/>
      <c r="T1133" s="161"/>
      <c r="U1133" s="162"/>
      <c r="V1133" s="176"/>
      <c r="X1133" s="214"/>
    </row>
    <row r="1134" spans="2:24" ht="10.95" customHeight="1" x14ac:dyDescent="0.25">
      <c r="B1134" s="41"/>
      <c r="C1134" s="77"/>
      <c r="D1134" s="42"/>
      <c r="E1134" s="154">
        <f t="shared" ref="E1134" si="36">E1130+1</f>
        <v>147</v>
      </c>
      <c r="F1134" s="145" t="str">
        <f>_xlfn.IFNA(VLOOKUP(E1134,'Data Kyu'!$A$6:$I$471,3,0),"")</f>
        <v/>
      </c>
      <c r="G1134" s="142"/>
      <c r="H1134" s="66"/>
      <c r="I1134" s="66"/>
      <c r="J1134" s="66"/>
      <c r="K1134" s="66"/>
      <c r="L1134" s="145" t="str">
        <f>_xlfn.IFNA(VLOOKUP(E1134,'Data Kyu'!$A$6:$I$471,9,0),"")</f>
        <v/>
      </c>
      <c r="M1134" s="142"/>
      <c r="N1134" s="145" t="str">
        <f>_xlfn.IFNA(VLOOKUP(E1134,'Data Kyu'!$A$6:$I$471,6,0),"")</f>
        <v/>
      </c>
      <c r="O1134" s="141"/>
      <c r="P1134" s="139" t="s">
        <v>5</v>
      </c>
      <c r="Q1134" s="141" t="str">
        <f>_xlfn.IFNA(VLOOKUP(E1134,'Data Kyu'!$A$6:$I$471,7,0),"")</f>
        <v/>
      </c>
      <c r="R1134" s="141"/>
      <c r="S1134" s="139" t="s">
        <v>5</v>
      </c>
      <c r="T1134" s="141" t="str">
        <f>_xlfn.IFNA(VLOOKUP(E1134,'Data Kyu'!$A$6:$I$471,8,0),"")</f>
        <v/>
      </c>
      <c r="U1134" s="142"/>
      <c r="V1134" s="142" t="str">
        <f>_xlfn.IFNA(VLOOKUP(E1134,'Data Kyu'!$A$6:$I$471,4,0),"")</f>
        <v/>
      </c>
      <c r="X1134" s="214" t="str">
        <f>_xlfn.IFNA(VLOOKUP(F1134,'Data Kyu'!$C$6:$N$997,12,0),"No Data")</f>
        <v>No Data</v>
      </c>
    </row>
    <row r="1135" spans="2:24" ht="10.95" customHeight="1" x14ac:dyDescent="0.25">
      <c r="B1135" s="52"/>
      <c r="C1135" s="165" t="str">
        <f>IF(X1134="LULUS","V","")</f>
        <v/>
      </c>
      <c r="D1135" s="53"/>
      <c r="E1135" s="155"/>
      <c r="F1135" s="148"/>
      <c r="G1135" s="144"/>
      <c r="H1135" s="67"/>
      <c r="I1135" s="67"/>
      <c r="J1135" s="67"/>
      <c r="K1135" s="67"/>
      <c r="L1135" s="146"/>
      <c r="M1135" s="147"/>
      <c r="N1135" s="148"/>
      <c r="O1135" s="143"/>
      <c r="P1135" s="140"/>
      <c r="Q1135" s="143"/>
      <c r="R1135" s="143"/>
      <c r="S1135" s="140"/>
      <c r="T1135" s="143"/>
      <c r="U1135" s="144"/>
      <c r="V1135" s="147"/>
      <c r="X1135" s="214"/>
    </row>
    <row r="1136" spans="2:24" ht="10.95" customHeight="1" x14ac:dyDescent="0.25">
      <c r="B1136" s="52"/>
      <c r="C1136" s="166"/>
      <c r="D1136" s="53"/>
      <c r="E1136" s="155"/>
      <c r="F1136" s="167" t="str">
        <f>_xlfn.IFNA(VLOOKUP(E1134,'Data Kyu'!$A$6:$I$471,2,0),"")</f>
        <v/>
      </c>
      <c r="G1136" s="168"/>
      <c r="H1136" s="168"/>
      <c r="I1136" s="168"/>
      <c r="J1136" s="168"/>
      <c r="K1136" s="169"/>
      <c r="L1136" s="146"/>
      <c r="M1136" s="147"/>
      <c r="N1136" s="173" t="s">
        <v>6</v>
      </c>
      <c r="O1136" s="159"/>
      <c r="P1136" s="57"/>
      <c r="Q1136" s="159" t="s">
        <v>7</v>
      </c>
      <c r="R1136" s="159"/>
      <c r="S1136" s="57"/>
      <c r="T1136" s="159" t="s">
        <v>8</v>
      </c>
      <c r="U1136" s="160"/>
      <c r="V1136" s="175"/>
      <c r="X1136" s="214"/>
    </row>
    <row r="1137" spans="2:24" ht="10.95" customHeight="1" x14ac:dyDescent="0.25">
      <c r="B1137" s="54"/>
      <c r="C1137" s="76"/>
      <c r="D1137" s="56"/>
      <c r="E1137" s="156"/>
      <c r="F1137" s="170"/>
      <c r="G1137" s="171"/>
      <c r="H1137" s="171"/>
      <c r="I1137" s="171"/>
      <c r="J1137" s="171"/>
      <c r="K1137" s="172"/>
      <c r="L1137" s="148"/>
      <c r="M1137" s="144"/>
      <c r="N1137" s="174"/>
      <c r="O1137" s="161"/>
      <c r="P1137" s="27"/>
      <c r="Q1137" s="161"/>
      <c r="R1137" s="161"/>
      <c r="S1137" s="27"/>
      <c r="T1137" s="161"/>
      <c r="U1137" s="162"/>
      <c r="V1137" s="176"/>
      <c r="X1137" s="214"/>
    </row>
    <row r="1138" spans="2:24" ht="10.95" customHeight="1" x14ac:dyDescent="0.25">
      <c r="B1138" s="41"/>
      <c r="C1138" s="77"/>
      <c r="D1138" s="42"/>
      <c r="E1138" s="154">
        <f t="shared" ref="E1138" si="37">E1134+1</f>
        <v>148</v>
      </c>
      <c r="F1138" s="145" t="str">
        <f>_xlfn.IFNA(VLOOKUP(E1138,'Data Kyu'!$A$6:$I$471,3,0),"")</f>
        <v/>
      </c>
      <c r="G1138" s="142"/>
      <c r="H1138" s="66"/>
      <c r="I1138" s="66"/>
      <c r="J1138" s="66"/>
      <c r="K1138" s="66"/>
      <c r="L1138" s="145" t="str">
        <f>_xlfn.IFNA(VLOOKUP(E1138,'Data Kyu'!$A$6:$I$471,9,0),"")</f>
        <v/>
      </c>
      <c r="M1138" s="142"/>
      <c r="N1138" s="145" t="str">
        <f>_xlfn.IFNA(VLOOKUP(E1138,'Data Kyu'!$A$6:$I$471,6,0),"")</f>
        <v/>
      </c>
      <c r="O1138" s="141"/>
      <c r="P1138" s="139" t="s">
        <v>5</v>
      </c>
      <c r="Q1138" s="141" t="str">
        <f>_xlfn.IFNA(VLOOKUP(E1138,'Data Kyu'!$A$6:$I$471,7,0),"")</f>
        <v/>
      </c>
      <c r="R1138" s="141"/>
      <c r="S1138" s="139" t="s">
        <v>5</v>
      </c>
      <c r="T1138" s="141" t="str">
        <f>_xlfn.IFNA(VLOOKUP(E1138,'Data Kyu'!$A$6:$I$471,8,0),"")</f>
        <v/>
      </c>
      <c r="U1138" s="142"/>
      <c r="V1138" s="142" t="str">
        <f>_xlfn.IFNA(VLOOKUP(E1138,'Data Kyu'!$A$6:$I$471,4,0),"")</f>
        <v/>
      </c>
      <c r="X1138" s="214" t="str">
        <f>_xlfn.IFNA(VLOOKUP(F1138,'Data Kyu'!$C$6:$N$997,12,0),"No Data")</f>
        <v>No Data</v>
      </c>
    </row>
    <row r="1139" spans="2:24" ht="10.95" customHeight="1" x14ac:dyDescent="0.25">
      <c r="B1139" s="52"/>
      <c r="C1139" s="165" t="str">
        <f>IF(X1138="LULUS","V","")</f>
        <v/>
      </c>
      <c r="D1139" s="53"/>
      <c r="E1139" s="155"/>
      <c r="F1139" s="148"/>
      <c r="G1139" s="144"/>
      <c r="H1139" s="67"/>
      <c r="I1139" s="67"/>
      <c r="J1139" s="67"/>
      <c r="K1139" s="67"/>
      <c r="L1139" s="146"/>
      <c r="M1139" s="147"/>
      <c r="N1139" s="148"/>
      <c r="O1139" s="143"/>
      <c r="P1139" s="140"/>
      <c r="Q1139" s="143"/>
      <c r="R1139" s="143"/>
      <c r="S1139" s="140"/>
      <c r="T1139" s="143"/>
      <c r="U1139" s="144"/>
      <c r="V1139" s="147"/>
      <c r="X1139" s="214"/>
    </row>
    <row r="1140" spans="2:24" ht="10.95" customHeight="1" x14ac:dyDescent="0.25">
      <c r="B1140" s="52"/>
      <c r="C1140" s="166"/>
      <c r="D1140" s="53"/>
      <c r="E1140" s="155"/>
      <c r="F1140" s="167" t="str">
        <f>_xlfn.IFNA(VLOOKUP(E1138,'Data Kyu'!$A$6:$I$471,2,0),"")</f>
        <v/>
      </c>
      <c r="G1140" s="168"/>
      <c r="H1140" s="168"/>
      <c r="I1140" s="168"/>
      <c r="J1140" s="168"/>
      <c r="K1140" s="169"/>
      <c r="L1140" s="146"/>
      <c r="M1140" s="147"/>
      <c r="N1140" s="173" t="s">
        <v>6</v>
      </c>
      <c r="O1140" s="159"/>
      <c r="P1140" s="57"/>
      <c r="Q1140" s="159" t="s">
        <v>7</v>
      </c>
      <c r="R1140" s="159"/>
      <c r="S1140" s="57"/>
      <c r="T1140" s="159" t="s">
        <v>8</v>
      </c>
      <c r="U1140" s="160"/>
      <c r="V1140" s="175"/>
      <c r="X1140" s="214"/>
    </row>
    <row r="1141" spans="2:24" ht="10.95" customHeight="1" x14ac:dyDescent="0.25">
      <c r="B1141" s="54"/>
      <c r="C1141" s="76"/>
      <c r="D1141" s="56"/>
      <c r="E1141" s="156"/>
      <c r="F1141" s="170"/>
      <c r="G1141" s="171"/>
      <c r="H1141" s="171"/>
      <c r="I1141" s="171"/>
      <c r="J1141" s="171"/>
      <c r="K1141" s="172"/>
      <c r="L1141" s="148"/>
      <c r="M1141" s="144"/>
      <c r="N1141" s="174"/>
      <c r="O1141" s="161"/>
      <c r="P1141" s="27"/>
      <c r="Q1141" s="161"/>
      <c r="R1141" s="161"/>
      <c r="S1141" s="27"/>
      <c r="T1141" s="161"/>
      <c r="U1141" s="162"/>
      <c r="V1141" s="176"/>
      <c r="X1141" s="214"/>
    </row>
    <row r="1142" spans="2:24" ht="10.95" customHeight="1" x14ac:dyDescent="0.25">
      <c r="B1142" s="41"/>
      <c r="C1142" s="77"/>
      <c r="D1142" s="42"/>
      <c r="E1142" s="154">
        <f t="shared" ref="E1142" si="38">E1138+1</f>
        <v>149</v>
      </c>
      <c r="F1142" s="145" t="str">
        <f>_xlfn.IFNA(VLOOKUP(E1142,'Data Kyu'!$A$6:$I$471,3,0),"")</f>
        <v/>
      </c>
      <c r="G1142" s="142"/>
      <c r="H1142" s="66"/>
      <c r="I1142" s="66"/>
      <c r="J1142" s="66"/>
      <c r="K1142" s="66"/>
      <c r="L1142" s="145" t="str">
        <f>_xlfn.IFNA(VLOOKUP(E1142,'Data Kyu'!$A$6:$I$471,9,0),"")</f>
        <v/>
      </c>
      <c r="M1142" s="142"/>
      <c r="N1142" s="145" t="str">
        <f>_xlfn.IFNA(VLOOKUP(E1142,'Data Kyu'!$A$6:$I$471,6,0),"")</f>
        <v/>
      </c>
      <c r="O1142" s="141"/>
      <c r="P1142" s="139" t="s">
        <v>5</v>
      </c>
      <c r="Q1142" s="141" t="str">
        <f>_xlfn.IFNA(VLOOKUP(E1142,'Data Kyu'!$A$6:$I$471,7,0),"")</f>
        <v/>
      </c>
      <c r="R1142" s="141"/>
      <c r="S1142" s="139" t="s">
        <v>5</v>
      </c>
      <c r="T1142" s="141" t="str">
        <f>_xlfn.IFNA(VLOOKUP(E1142,'Data Kyu'!$A$6:$I$471,8,0),"")</f>
        <v/>
      </c>
      <c r="U1142" s="142"/>
      <c r="V1142" s="142" t="str">
        <f>_xlfn.IFNA(VLOOKUP(E1142,'Data Kyu'!$A$6:$I$471,4,0),"")</f>
        <v/>
      </c>
      <c r="X1142" s="214" t="str">
        <f>_xlfn.IFNA(VLOOKUP(F1142,'Data Kyu'!$C$6:$N$997,12,0),"No Data")</f>
        <v>No Data</v>
      </c>
    </row>
    <row r="1143" spans="2:24" ht="10.95" customHeight="1" x14ac:dyDescent="0.25">
      <c r="B1143" s="52"/>
      <c r="C1143" s="165" t="str">
        <f>IF(X1142="LULUS","V","")</f>
        <v/>
      </c>
      <c r="D1143" s="53"/>
      <c r="E1143" s="155"/>
      <c r="F1143" s="148"/>
      <c r="G1143" s="144"/>
      <c r="H1143" s="67"/>
      <c r="I1143" s="67"/>
      <c r="J1143" s="67"/>
      <c r="K1143" s="67"/>
      <c r="L1143" s="146"/>
      <c r="M1143" s="147"/>
      <c r="N1143" s="148"/>
      <c r="O1143" s="143"/>
      <c r="P1143" s="140"/>
      <c r="Q1143" s="143"/>
      <c r="R1143" s="143"/>
      <c r="S1143" s="140"/>
      <c r="T1143" s="143"/>
      <c r="U1143" s="144"/>
      <c r="V1143" s="147"/>
      <c r="X1143" s="214"/>
    </row>
    <row r="1144" spans="2:24" ht="10.95" customHeight="1" x14ac:dyDescent="0.25">
      <c r="B1144" s="52"/>
      <c r="C1144" s="166"/>
      <c r="D1144" s="53"/>
      <c r="E1144" s="155"/>
      <c r="F1144" s="167" t="str">
        <f>_xlfn.IFNA(VLOOKUP(E1142,'Data Kyu'!$A$6:$I$471,2,0),"")</f>
        <v/>
      </c>
      <c r="G1144" s="168"/>
      <c r="H1144" s="168"/>
      <c r="I1144" s="168"/>
      <c r="J1144" s="168"/>
      <c r="K1144" s="169"/>
      <c r="L1144" s="146"/>
      <c r="M1144" s="147"/>
      <c r="N1144" s="173" t="s">
        <v>6</v>
      </c>
      <c r="O1144" s="159"/>
      <c r="P1144" s="57"/>
      <c r="Q1144" s="159" t="s">
        <v>7</v>
      </c>
      <c r="R1144" s="159"/>
      <c r="S1144" s="57"/>
      <c r="T1144" s="159" t="s">
        <v>8</v>
      </c>
      <c r="U1144" s="160"/>
      <c r="V1144" s="175"/>
      <c r="X1144" s="214"/>
    </row>
    <row r="1145" spans="2:24" ht="10.95" customHeight="1" x14ac:dyDescent="0.25">
      <c r="B1145" s="54"/>
      <c r="C1145" s="76"/>
      <c r="D1145" s="56"/>
      <c r="E1145" s="156"/>
      <c r="F1145" s="170"/>
      <c r="G1145" s="171"/>
      <c r="H1145" s="171"/>
      <c r="I1145" s="171"/>
      <c r="J1145" s="171"/>
      <c r="K1145" s="172"/>
      <c r="L1145" s="148"/>
      <c r="M1145" s="144"/>
      <c r="N1145" s="174"/>
      <c r="O1145" s="161"/>
      <c r="P1145" s="27"/>
      <c r="Q1145" s="161"/>
      <c r="R1145" s="161"/>
      <c r="S1145" s="27"/>
      <c r="T1145" s="161"/>
      <c r="U1145" s="162"/>
      <c r="V1145" s="176"/>
      <c r="X1145" s="214"/>
    </row>
    <row r="1146" spans="2:24" ht="10.95" customHeight="1" x14ac:dyDescent="0.25">
      <c r="B1146" s="41"/>
      <c r="C1146" s="77"/>
      <c r="D1146" s="42"/>
      <c r="E1146" s="154">
        <f t="shared" ref="E1146" si="39">E1142+1</f>
        <v>150</v>
      </c>
      <c r="F1146" s="145" t="str">
        <f>_xlfn.IFNA(VLOOKUP(E1146,'Data Kyu'!$A$6:$I$471,3,0),"")</f>
        <v/>
      </c>
      <c r="G1146" s="142"/>
      <c r="H1146" s="66"/>
      <c r="I1146" s="66"/>
      <c r="J1146" s="66"/>
      <c r="K1146" s="66"/>
      <c r="L1146" s="145" t="str">
        <f>_xlfn.IFNA(VLOOKUP(E1146,'Data Kyu'!$A$6:$I$471,9,0),"")</f>
        <v/>
      </c>
      <c r="M1146" s="142"/>
      <c r="N1146" s="145" t="str">
        <f>_xlfn.IFNA(VLOOKUP(E1146,'Data Kyu'!$A$6:$I$471,6,0),"")</f>
        <v/>
      </c>
      <c r="O1146" s="141"/>
      <c r="P1146" s="139" t="s">
        <v>5</v>
      </c>
      <c r="Q1146" s="141" t="str">
        <f>_xlfn.IFNA(VLOOKUP(E1146,'Data Kyu'!$A$6:$I$471,7,0),"")</f>
        <v/>
      </c>
      <c r="R1146" s="141"/>
      <c r="S1146" s="139" t="s">
        <v>5</v>
      </c>
      <c r="T1146" s="141" t="str">
        <f>_xlfn.IFNA(VLOOKUP(E1146,'Data Kyu'!$A$6:$I$471,8,0),"")</f>
        <v/>
      </c>
      <c r="U1146" s="142"/>
      <c r="V1146" s="142" t="str">
        <f>_xlfn.IFNA(VLOOKUP(E1146,'Data Kyu'!$A$6:$I$471,4,0),"")</f>
        <v/>
      </c>
      <c r="X1146" s="214" t="str">
        <f>_xlfn.IFNA(VLOOKUP(F1146,'Data Kyu'!$C$6:$N$997,12,0),"No Data")</f>
        <v>No Data</v>
      </c>
    </row>
    <row r="1147" spans="2:24" ht="10.95" customHeight="1" x14ac:dyDescent="0.25">
      <c r="B1147" s="52"/>
      <c r="C1147" s="165" t="str">
        <f>IF(X1146="LULUS","V","")</f>
        <v/>
      </c>
      <c r="D1147" s="53"/>
      <c r="E1147" s="155"/>
      <c r="F1147" s="148"/>
      <c r="G1147" s="144"/>
      <c r="H1147" s="67"/>
      <c r="I1147" s="67"/>
      <c r="J1147" s="67"/>
      <c r="K1147" s="67"/>
      <c r="L1147" s="146"/>
      <c r="M1147" s="147"/>
      <c r="N1147" s="148"/>
      <c r="O1147" s="143"/>
      <c r="P1147" s="140"/>
      <c r="Q1147" s="143"/>
      <c r="R1147" s="143"/>
      <c r="S1147" s="140"/>
      <c r="T1147" s="143"/>
      <c r="U1147" s="144"/>
      <c r="V1147" s="147"/>
      <c r="X1147" s="214"/>
    </row>
    <row r="1148" spans="2:24" ht="10.95" customHeight="1" x14ac:dyDescent="0.25">
      <c r="B1148" s="52"/>
      <c r="C1148" s="166"/>
      <c r="D1148" s="53"/>
      <c r="E1148" s="155"/>
      <c r="F1148" s="167" t="str">
        <f>_xlfn.IFNA(VLOOKUP(E1146,'Data Kyu'!$A$6:$I$471,2,0),"")</f>
        <v/>
      </c>
      <c r="G1148" s="168"/>
      <c r="H1148" s="168"/>
      <c r="I1148" s="168"/>
      <c r="J1148" s="168"/>
      <c r="K1148" s="169"/>
      <c r="L1148" s="146"/>
      <c r="M1148" s="147"/>
      <c r="N1148" s="173" t="s">
        <v>6</v>
      </c>
      <c r="O1148" s="159"/>
      <c r="P1148" s="57"/>
      <c r="Q1148" s="159" t="s">
        <v>7</v>
      </c>
      <c r="R1148" s="159"/>
      <c r="S1148" s="57"/>
      <c r="T1148" s="159" t="s">
        <v>8</v>
      </c>
      <c r="U1148" s="160"/>
      <c r="V1148" s="175"/>
      <c r="X1148" s="214"/>
    </row>
    <row r="1149" spans="2:24" ht="10.95" customHeight="1" x14ac:dyDescent="0.25">
      <c r="B1149" s="54"/>
      <c r="C1149" s="55"/>
      <c r="D1149" s="56"/>
      <c r="E1149" s="156"/>
      <c r="F1149" s="170"/>
      <c r="G1149" s="171"/>
      <c r="H1149" s="171"/>
      <c r="I1149" s="171"/>
      <c r="J1149" s="171"/>
      <c r="K1149" s="172"/>
      <c r="L1149" s="148"/>
      <c r="M1149" s="144"/>
      <c r="N1149" s="174"/>
      <c r="O1149" s="161"/>
      <c r="P1149" s="27"/>
      <c r="Q1149" s="161"/>
      <c r="R1149" s="161"/>
      <c r="S1149" s="27"/>
      <c r="T1149" s="161"/>
      <c r="U1149" s="162"/>
      <c r="V1149" s="176"/>
      <c r="X1149" s="214"/>
    </row>
    <row r="1150" spans="2:24" ht="7.5" customHeight="1" x14ac:dyDescent="0.25"/>
    <row r="1151" spans="2:24" s="34" customFormat="1" x14ac:dyDescent="0.25">
      <c r="E1151" s="35" t="s">
        <v>30</v>
      </c>
      <c r="K1151" s="35" t="s">
        <v>28</v>
      </c>
    </row>
    <row r="1152" spans="2:24" x14ac:dyDescent="0.25">
      <c r="E1152" s="33" t="s">
        <v>31</v>
      </c>
      <c r="F1152" s="149"/>
      <c r="G1152" s="149"/>
      <c r="H1152" s="149"/>
      <c r="I1152" s="149"/>
      <c r="J1152" s="149"/>
      <c r="K1152" s="33" t="s">
        <v>29</v>
      </c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</row>
    <row r="1153" spans="2:24" ht="6.75" customHeight="1" x14ac:dyDescent="0.25">
      <c r="F1153" s="34"/>
      <c r="G1153" s="34"/>
      <c r="H1153" s="34"/>
      <c r="I1153" s="34"/>
      <c r="J1153" s="34"/>
    </row>
    <row r="1154" spans="2:24" s="34" customFormat="1" x14ac:dyDescent="0.25">
      <c r="E1154" s="35" t="s">
        <v>32</v>
      </c>
      <c r="K1154" s="35" t="s">
        <v>36</v>
      </c>
    </row>
    <row r="1155" spans="2:24" x14ac:dyDescent="0.25">
      <c r="E1155" s="33" t="s">
        <v>33</v>
      </c>
      <c r="F1155" s="149"/>
      <c r="G1155" s="149"/>
      <c r="H1155" s="149"/>
      <c r="I1155" s="149"/>
      <c r="J1155" s="149"/>
      <c r="K1155" s="33" t="s">
        <v>29</v>
      </c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</row>
    <row r="1156" spans="2:24" ht="6.75" customHeight="1" x14ac:dyDescent="0.25">
      <c r="F1156" s="34"/>
      <c r="G1156" s="34"/>
      <c r="H1156" s="34"/>
      <c r="I1156" s="34"/>
      <c r="J1156" s="34"/>
    </row>
    <row r="1157" spans="2:24" s="34" customFormat="1" ht="13.8" x14ac:dyDescent="0.25">
      <c r="E1157" s="35" t="s">
        <v>34</v>
      </c>
      <c r="F1157" s="177" t="str">
        <f>IF(F1110&lt;&gt;"",$F$65,"")</f>
        <v/>
      </c>
      <c r="G1157" s="177"/>
      <c r="H1157" s="177"/>
      <c r="I1157" s="177"/>
      <c r="J1157" s="177"/>
      <c r="K1157" s="35" t="s">
        <v>28</v>
      </c>
      <c r="X1157" s="70" t="s">
        <v>107</v>
      </c>
    </row>
    <row r="1158" spans="2:24" ht="13.8" x14ac:dyDescent="0.25">
      <c r="E1158" s="33" t="s">
        <v>35</v>
      </c>
      <c r="F1158" s="178"/>
      <c r="G1158" s="178"/>
      <c r="H1158" s="178"/>
      <c r="I1158" s="178"/>
      <c r="J1158" s="178"/>
      <c r="K1158" s="33" t="s">
        <v>29</v>
      </c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X1158" s="70" t="s">
        <v>105</v>
      </c>
    </row>
    <row r="1159" spans="2:24" ht="12.75" customHeight="1" thickBot="1" x14ac:dyDescent="0.3"/>
    <row r="1160" spans="2:24" ht="13.8" thickTop="1" x14ac:dyDescent="0.25">
      <c r="B1160" s="34" t="s">
        <v>37</v>
      </c>
      <c r="C1160" s="34"/>
      <c r="D1160" s="34"/>
      <c r="H1160" s="150" t="s">
        <v>40</v>
      </c>
      <c r="I1160" s="151"/>
      <c r="J1160" s="151"/>
      <c r="K1160" s="151"/>
      <c r="L1160" s="151"/>
      <c r="M1160" s="151"/>
      <c r="N1160" s="151"/>
      <c r="O1160" s="151"/>
      <c r="P1160" s="151"/>
      <c r="Q1160" s="151"/>
      <c r="R1160" s="151"/>
      <c r="S1160" s="151"/>
      <c r="T1160" s="151"/>
      <c r="U1160" s="151"/>
      <c r="V1160" s="151"/>
    </row>
    <row r="1161" spans="2:24" x14ac:dyDescent="0.25">
      <c r="B1161" s="34" t="s">
        <v>38</v>
      </c>
      <c r="C1161" s="34"/>
      <c r="D1161" s="34"/>
      <c r="H1161" s="152"/>
      <c r="I1161" s="153"/>
      <c r="J1161" s="153"/>
      <c r="K1161" s="153"/>
      <c r="L1161" s="153"/>
      <c r="M1161" s="153"/>
      <c r="N1161" s="153"/>
      <c r="O1161" s="153"/>
      <c r="P1161" s="153"/>
      <c r="Q1161" s="153"/>
      <c r="R1161" s="153"/>
      <c r="S1161" s="153"/>
      <c r="T1161" s="153"/>
      <c r="U1161" s="153"/>
      <c r="V1161" s="153"/>
    </row>
    <row r="1162" spans="2:24" ht="12.75" customHeight="1" x14ac:dyDescent="0.25">
      <c r="B1162" s="163" t="s">
        <v>39</v>
      </c>
      <c r="C1162" s="163"/>
      <c r="D1162" s="163"/>
      <c r="E1162" s="163"/>
      <c r="F1162" s="163"/>
      <c r="H1162" s="37" t="s">
        <v>41</v>
      </c>
    </row>
    <row r="1163" spans="2:24" ht="13.8" x14ac:dyDescent="0.25">
      <c r="B1163" s="163"/>
      <c r="C1163" s="163"/>
      <c r="D1163" s="163"/>
      <c r="E1163" s="163"/>
      <c r="F1163" s="163"/>
      <c r="H1163" s="38" t="s">
        <v>42</v>
      </c>
    </row>
    <row r="1164" spans="2:24" x14ac:dyDescent="0.25">
      <c r="B1164" s="163"/>
      <c r="C1164" s="163"/>
      <c r="D1164" s="163"/>
      <c r="E1164" s="163"/>
      <c r="F1164" s="163"/>
      <c r="H1164" s="36"/>
    </row>
    <row r="1165" spans="2:24" x14ac:dyDescent="0.25">
      <c r="B1165" s="163"/>
      <c r="C1165" s="163"/>
      <c r="D1165" s="163"/>
      <c r="E1165" s="163"/>
      <c r="F1165" s="163"/>
      <c r="H1165" s="36"/>
    </row>
    <row r="1166" spans="2:24" x14ac:dyDescent="0.25">
      <c r="H1166" s="36"/>
    </row>
    <row r="1167" spans="2:24" x14ac:dyDescent="0.25">
      <c r="H1167" s="36"/>
    </row>
    <row r="1168" spans="2:24" x14ac:dyDescent="0.25">
      <c r="H1168" s="36"/>
    </row>
    <row r="1169" spans="2:24" x14ac:dyDescent="0.25">
      <c r="H1169" s="36"/>
    </row>
    <row r="1170" spans="2:24" ht="13.8" x14ac:dyDescent="0.25">
      <c r="H1170" s="157" t="str">
        <f>IF(F1110&lt;&gt;"",$H$78,"")</f>
        <v/>
      </c>
      <c r="I1170" s="158"/>
      <c r="J1170" s="158"/>
      <c r="K1170" s="158"/>
      <c r="L1170" s="158"/>
      <c r="M1170" s="158"/>
      <c r="N1170" s="158"/>
      <c r="O1170" s="158"/>
      <c r="P1170" s="158"/>
      <c r="Q1170" s="158"/>
      <c r="R1170" s="158"/>
      <c r="S1170" s="158"/>
      <c r="T1170" s="158"/>
      <c r="U1170" s="158"/>
      <c r="V1170" s="158"/>
    </row>
    <row r="1171" spans="2:24" x14ac:dyDescent="0.25">
      <c r="H1171" s="36"/>
    </row>
    <row r="1172" spans="2:24" ht="28.5" customHeight="1" x14ac:dyDescent="0.3">
      <c r="B1172" s="193" t="s">
        <v>43</v>
      </c>
      <c r="C1172" s="193"/>
      <c r="D1172" s="193"/>
      <c r="E1172" s="194"/>
      <c r="F1172" s="194"/>
      <c r="G1172" s="194"/>
      <c r="H1172" s="194"/>
      <c r="I1172" s="2"/>
      <c r="J1172" s="2"/>
      <c r="K1172" s="13" t="s">
        <v>25</v>
      </c>
      <c r="L1172" s="195" t="s">
        <v>14</v>
      </c>
      <c r="M1172" s="196"/>
      <c r="N1172" s="196"/>
      <c r="O1172" s="196"/>
      <c r="P1172" s="196"/>
      <c r="Q1172" s="196"/>
      <c r="R1172" s="196"/>
      <c r="S1172" s="196"/>
      <c r="T1172" s="196"/>
      <c r="U1172" s="196"/>
      <c r="V1172" s="197"/>
      <c r="X1172" s="1"/>
    </row>
    <row r="1173" spans="2:24" ht="26.25" customHeight="1" x14ac:dyDescent="0.4">
      <c r="B1173" s="39" t="s">
        <v>44</v>
      </c>
      <c r="C1173" s="39"/>
      <c r="D1173" s="39"/>
      <c r="E1173" s="2"/>
      <c r="F1173" s="2"/>
      <c r="G1173" s="2"/>
      <c r="H1173" s="2"/>
      <c r="I1173" s="2"/>
      <c r="J1173" s="2"/>
      <c r="K1173" s="29" t="s">
        <v>13</v>
      </c>
      <c r="L1173" s="15">
        <v>4</v>
      </c>
      <c r="M1173" s="16">
        <v>1</v>
      </c>
      <c r="N1173" s="15">
        <v>0</v>
      </c>
      <c r="O1173" s="198">
        <v>0</v>
      </c>
      <c r="P1173" s="199"/>
      <c r="Q1173" s="14">
        <v>0</v>
      </c>
      <c r="R1173" s="200">
        <v>1</v>
      </c>
      <c r="S1173" s="201"/>
      <c r="T1173" s="6"/>
      <c r="U1173" s="6"/>
      <c r="V1173" s="7"/>
      <c r="X1173" s="1"/>
    </row>
    <row r="1174" spans="2:24" ht="21" customHeight="1" x14ac:dyDescent="0.25">
      <c r="B1174" s="26" t="s">
        <v>45</v>
      </c>
      <c r="C1174" s="26"/>
      <c r="D1174" s="26"/>
      <c r="E1174" s="25"/>
      <c r="F1174" s="25"/>
      <c r="G1174" s="25"/>
      <c r="H1174" s="25"/>
      <c r="I1174" s="25"/>
      <c r="J1174" s="25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X1174" s="1"/>
    </row>
    <row r="1175" spans="2:24" ht="13.5" customHeight="1" x14ac:dyDescent="0.25">
      <c r="B1175" s="40" t="s">
        <v>24</v>
      </c>
      <c r="C1175" s="40"/>
      <c r="D1175" s="40"/>
      <c r="E1175" s="25"/>
      <c r="F1175" s="25"/>
      <c r="G1175" s="25"/>
      <c r="H1175" s="25"/>
      <c r="I1175" s="25"/>
      <c r="J1175" s="25"/>
      <c r="K1175" s="28" t="s">
        <v>6</v>
      </c>
      <c r="L1175" s="202" t="str">
        <f>IF(F1188&lt;&gt;"",$L$5,"")</f>
        <v/>
      </c>
      <c r="M1175" s="203"/>
      <c r="N1175" s="204" t="s">
        <v>15</v>
      </c>
      <c r="O1175" s="204"/>
      <c r="P1175" s="204"/>
      <c r="Q1175" s="205" t="str">
        <f>IF(F1188&lt;&gt;"",$Q$5,"")</f>
        <v/>
      </c>
      <c r="R1175" s="206"/>
      <c r="S1175" s="207" t="s">
        <v>16</v>
      </c>
      <c r="T1175" s="204"/>
      <c r="U1175" s="82" t="str">
        <f>IF(F1188&lt;&gt;"",$U$5,"")</f>
        <v/>
      </c>
      <c r="V1175" s="63"/>
      <c r="X1175" s="1"/>
    </row>
    <row r="1176" spans="2:24" ht="8.25" customHeight="1" x14ac:dyDescent="0.25"/>
    <row r="1177" spans="2:24" ht="11.25" customHeight="1" x14ac:dyDescent="0.25">
      <c r="B1177" s="24" t="s">
        <v>17</v>
      </c>
      <c r="C1177" s="24"/>
      <c r="D1177" s="24"/>
    </row>
    <row r="1178" spans="2:24" ht="11.25" customHeight="1" x14ac:dyDescent="0.25">
      <c r="B1178" s="8" t="s">
        <v>18</v>
      </c>
      <c r="C1178" s="8"/>
      <c r="D1178" s="8"/>
    </row>
    <row r="1179" spans="2:24" ht="5.25" customHeight="1" x14ac:dyDescent="0.25">
      <c r="B1179" s="8"/>
      <c r="C1179" s="8"/>
      <c r="D1179" s="8"/>
    </row>
    <row r="1180" spans="2:24" x14ac:dyDescent="0.25">
      <c r="B1180" s="179" t="s">
        <v>19</v>
      </c>
      <c r="C1180" s="179"/>
      <c r="D1180" s="179"/>
      <c r="E1180" s="179"/>
      <c r="F1180" s="179"/>
      <c r="G1180" s="18" t="s">
        <v>6</v>
      </c>
      <c r="H1180" s="64" t="str">
        <f>IF(F1188&lt;&gt;"",$H$10,"")</f>
        <v/>
      </c>
      <c r="I1180" s="9" t="s">
        <v>15</v>
      </c>
      <c r="J1180" s="83" t="str">
        <f>IF(F1188&lt;&gt;"",$J$10,"")</f>
        <v/>
      </c>
      <c r="K1180" s="9" t="s">
        <v>16</v>
      </c>
      <c r="L1180" s="180" t="str">
        <f>IF(F1188&lt;&gt;"",$L$10,"")</f>
        <v/>
      </c>
      <c r="M1180" s="181"/>
      <c r="X1180" s="32"/>
    </row>
    <row r="1181" spans="2:24" ht="5.25" customHeight="1" x14ac:dyDescent="0.25">
      <c r="B1181" s="8"/>
      <c r="C1181" s="8"/>
      <c r="D1181" s="8"/>
      <c r="E1181" s="8"/>
      <c r="F1181" s="8"/>
      <c r="G1181" s="19"/>
      <c r="H1181" s="20"/>
      <c r="I1181" s="21"/>
      <c r="J1181" s="20"/>
      <c r="K1181" s="10"/>
      <c r="L1181" s="22"/>
      <c r="X1181" s="32"/>
    </row>
    <row r="1182" spans="2:24" s="73" customFormat="1" ht="14.4" customHeight="1" x14ac:dyDescent="0.25">
      <c r="B1182" s="72" t="s">
        <v>20</v>
      </c>
      <c r="C1182" s="72"/>
      <c r="D1182" s="72"/>
      <c r="X1182" s="74"/>
    </row>
    <row r="1183" spans="2:24" s="73" customFormat="1" ht="14.4" customHeight="1" x14ac:dyDescent="0.25">
      <c r="B1183" s="75" t="s">
        <v>21</v>
      </c>
      <c r="C1183" s="10"/>
      <c r="D1183" s="10"/>
      <c r="E1183" s="22" t="s">
        <v>22</v>
      </c>
      <c r="X1183" s="74"/>
    </row>
    <row r="1184" spans="2:24" s="73" customFormat="1" ht="14.4" customHeight="1" x14ac:dyDescent="0.25">
      <c r="B1184" s="22"/>
      <c r="C1184" s="22"/>
      <c r="D1184" s="22"/>
      <c r="E1184" s="22" t="s">
        <v>23</v>
      </c>
      <c r="X1184" s="164" t="s">
        <v>102</v>
      </c>
    </row>
    <row r="1185" spans="2:24" ht="7.5" customHeight="1" x14ac:dyDescent="0.25">
      <c r="B1185" s="8"/>
      <c r="C1185" s="8"/>
      <c r="D1185" s="8"/>
      <c r="X1185" s="164"/>
    </row>
    <row r="1186" spans="2:24" ht="17.25" customHeight="1" x14ac:dyDescent="0.25">
      <c r="B1186" s="182"/>
      <c r="C1186" s="59"/>
      <c r="D1186" s="60"/>
      <c r="E1186" s="184" t="s">
        <v>0</v>
      </c>
      <c r="F1186" s="186" t="s">
        <v>1</v>
      </c>
      <c r="G1186" s="187"/>
      <c r="H1186" s="4"/>
      <c r="I1186" s="4"/>
      <c r="J1186" s="4"/>
      <c r="K1186" s="5"/>
      <c r="L1186" s="145" t="s">
        <v>3</v>
      </c>
      <c r="M1186" s="142"/>
      <c r="N1186" s="188" t="s">
        <v>10</v>
      </c>
      <c r="O1186" s="188"/>
      <c r="P1186" s="188"/>
      <c r="Q1186" s="188"/>
      <c r="R1186" s="188"/>
      <c r="S1186" s="188"/>
      <c r="T1186" s="188"/>
      <c r="U1186" s="189"/>
      <c r="V1186" s="3" t="s">
        <v>12</v>
      </c>
      <c r="X1186" s="68" t="s">
        <v>200</v>
      </c>
    </row>
    <row r="1187" spans="2:24" ht="17.25" customHeight="1" x14ac:dyDescent="0.25">
      <c r="B1187" s="183"/>
      <c r="C1187" s="61"/>
      <c r="D1187" s="62"/>
      <c r="E1187" s="185"/>
      <c r="F1187" s="30" t="s">
        <v>2</v>
      </c>
      <c r="G1187" s="17"/>
      <c r="H1187" s="6"/>
      <c r="I1187" s="6"/>
      <c r="J1187" s="6"/>
      <c r="K1187" s="7"/>
      <c r="L1187" s="190" t="s">
        <v>4</v>
      </c>
      <c r="M1187" s="191"/>
      <c r="N1187" s="192" t="s">
        <v>9</v>
      </c>
      <c r="O1187" s="192"/>
      <c r="P1187" s="192"/>
      <c r="Q1187" s="192"/>
      <c r="R1187" s="192"/>
      <c r="S1187" s="192"/>
      <c r="T1187" s="192"/>
      <c r="U1187" s="191"/>
      <c r="V1187" s="31" t="s">
        <v>11</v>
      </c>
      <c r="X1187" s="69"/>
    </row>
    <row r="1188" spans="2:24" ht="10.95" customHeight="1" x14ac:dyDescent="0.25">
      <c r="B1188" s="41"/>
      <c r="C1188" s="51"/>
      <c r="D1188" s="42"/>
      <c r="E1188" s="154">
        <v>151</v>
      </c>
      <c r="F1188" s="145" t="str">
        <f>_xlfn.IFNA(VLOOKUP(E1188,'Data Kyu'!$A$6:$I$471,3,0),"")</f>
        <v/>
      </c>
      <c r="G1188" s="142"/>
      <c r="H1188" s="66"/>
      <c r="I1188" s="66"/>
      <c r="J1188" s="66"/>
      <c r="K1188" s="66"/>
      <c r="L1188" s="145" t="str">
        <f>_xlfn.IFNA(VLOOKUP(E1188,'Data Kyu'!$A$6:$I$471,9,0),"")</f>
        <v/>
      </c>
      <c r="M1188" s="142"/>
      <c r="N1188" s="145" t="str">
        <f>_xlfn.IFNA(VLOOKUP(E1188,'Data Kyu'!$A$6:$I$471,6,0),"")</f>
        <v/>
      </c>
      <c r="O1188" s="141"/>
      <c r="P1188" s="139" t="s">
        <v>5</v>
      </c>
      <c r="Q1188" s="141" t="str">
        <f>_xlfn.IFNA(VLOOKUP(E1188,'Data Kyu'!$A$6:$I$471,7,0),"")</f>
        <v/>
      </c>
      <c r="R1188" s="141"/>
      <c r="S1188" s="139" t="s">
        <v>5</v>
      </c>
      <c r="T1188" s="141" t="str">
        <f>_xlfn.IFNA(VLOOKUP(E1188,'Data Kyu'!$A$6:$I$471,8,0),"")</f>
        <v/>
      </c>
      <c r="U1188" s="142"/>
      <c r="V1188" s="142" t="str">
        <f>_xlfn.IFNA(VLOOKUP(E1188,'Data Kyu'!$A$6:$I$471,4,0),"")</f>
        <v/>
      </c>
      <c r="X1188" s="214" t="str">
        <f>_xlfn.IFNA(VLOOKUP(F1188,'Data Kyu'!$C$6:$N$997,12,0),"No Data")</f>
        <v>No Data</v>
      </c>
    </row>
    <row r="1189" spans="2:24" ht="10.95" customHeight="1" x14ac:dyDescent="0.25">
      <c r="B1189" s="52"/>
      <c r="C1189" s="165" t="str">
        <f>IF(X1188="LULUS","V","")</f>
        <v/>
      </c>
      <c r="D1189" s="53"/>
      <c r="E1189" s="155"/>
      <c r="F1189" s="148"/>
      <c r="G1189" s="144"/>
      <c r="H1189" s="67"/>
      <c r="I1189" s="67"/>
      <c r="J1189" s="67"/>
      <c r="K1189" s="67"/>
      <c r="L1189" s="146"/>
      <c r="M1189" s="147"/>
      <c r="N1189" s="148"/>
      <c r="O1189" s="143"/>
      <c r="P1189" s="140"/>
      <c r="Q1189" s="143"/>
      <c r="R1189" s="143"/>
      <c r="S1189" s="140"/>
      <c r="T1189" s="143"/>
      <c r="U1189" s="144"/>
      <c r="V1189" s="147"/>
      <c r="X1189" s="214"/>
    </row>
    <row r="1190" spans="2:24" ht="10.95" customHeight="1" x14ac:dyDescent="0.25">
      <c r="B1190" s="52"/>
      <c r="C1190" s="166"/>
      <c r="D1190" s="53"/>
      <c r="E1190" s="155"/>
      <c r="F1190" s="167" t="str">
        <f>_xlfn.IFNA(VLOOKUP(E1188,'Data Kyu'!$A$6:$I$471,2,0),"")</f>
        <v/>
      </c>
      <c r="G1190" s="168"/>
      <c r="H1190" s="168"/>
      <c r="I1190" s="168"/>
      <c r="J1190" s="168"/>
      <c r="K1190" s="169"/>
      <c r="L1190" s="146"/>
      <c r="M1190" s="147"/>
      <c r="N1190" s="173" t="s">
        <v>6</v>
      </c>
      <c r="O1190" s="159"/>
      <c r="P1190" s="57"/>
      <c r="Q1190" s="159" t="s">
        <v>7</v>
      </c>
      <c r="R1190" s="159"/>
      <c r="S1190" s="57"/>
      <c r="T1190" s="159" t="s">
        <v>8</v>
      </c>
      <c r="U1190" s="160"/>
      <c r="V1190" s="175"/>
      <c r="X1190" s="214"/>
    </row>
    <row r="1191" spans="2:24" ht="10.95" customHeight="1" x14ac:dyDescent="0.25">
      <c r="B1191" s="54"/>
      <c r="C1191" s="76"/>
      <c r="D1191" s="56"/>
      <c r="E1191" s="156"/>
      <c r="F1191" s="170"/>
      <c r="G1191" s="171"/>
      <c r="H1191" s="171"/>
      <c r="I1191" s="171"/>
      <c r="J1191" s="171"/>
      <c r="K1191" s="172"/>
      <c r="L1191" s="148"/>
      <c r="M1191" s="144"/>
      <c r="N1191" s="174"/>
      <c r="O1191" s="161"/>
      <c r="P1191" s="27"/>
      <c r="Q1191" s="161"/>
      <c r="R1191" s="161"/>
      <c r="S1191" s="27"/>
      <c r="T1191" s="161"/>
      <c r="U1191" s="162"/>
      <c r="V1191" s="176"/>
      <c r="X1191" s="214"/>
    </row>
    <row r="1192" spans="2:24" ht="10.95" customHeight="1" x14ac:dyDescent="0.25">
      <c r="B1192" s="41"/>
      <c r="C1192" s="77"/>
      <c r="D1192" s="42"/>
      <c r="E1192" s="154">
        <f>E1188+1</f>
        <v>152</v>
      </c>
      <c r="F1192" s="145" t="str">
        <f>_xlfn.IFNA(VLOOKUP(E1192,'Data Kyu'!$A$6:$I$471,3,0),"")</f>
        <v/>
      </c>
      <c r="G1192" s="142"/>
      <c r="H1192" s="66"/>
      <c r="I1192" s="66"/>
      <c r="J1192" s="66"/>
      <c r="K1192" s="66"/>
      <c r="L1192" s="145" t="str">
        <f>_xlfn.IFNA(VLOOKUP(E1192,'Data Kyu'!$A$6:$I$471,9,0),"")</f>
        <v/>
      </c>
      <c r="M1192" s="142"/>
      <c r="N1192" s="145" t="str">
        <f>_xlfn.IFNA(VLOOKUP(E1192,'Data Kyu'!$A$6:$I$471,6,0),"")</f>
        <v/>
      </c>
      <c r="O1192" s="141"/>
      <c r="P1192" s="139" t="s">
        <v>5</v>
      </c>
      <c r="Q1192" s="141" t="str">
        <f>_xlfn.IFNA(VLOOKUP(E1192,'Data Kyu'!$A$6:$I$471,7,0),"")</f>
        <v/>
      </c>
      <c r="R1192" s="141"/>
      <c r="S1192" s="139" t="s">
        <v>5</v>
      </c>
      <c r="T1192" s="141" t="str">
        <f>_xlfn.IFNA(VLOOKUP(E1192,'Data Kyu'!$A$6:$I$471,8,0),"")</f>
        <v/>
      </c>
      <c r="U1192" s="142"/>
      <c r="V1192" s="142" t="str">
        <f>_xlfn.IFNA(VLOOKUP(E1192,'Data Kyu'!$A$6:$I$471,4,0),"")</f>
        <v/>
      </c>
      <c r="X1192" s="214" t="str">
        <f>_xlfn.IFNA(VLOOKUP(F1192,'Data Kyu'!$C$6:$N$997,12,0),"No Data")</f>
        <v>No Data</v>
      </c>
    </row>
    <row r="1193" spans="2:24" ht="10.95" customHeight="1" x14ac:dyDescent="0.25">
      <c r="B1193" s="52"/>
      <c r="C1193" s="165" t="str">
        <f>IF(X1192="LULUS","V","")</f>
        <v/>
      </c>
      <c r="D1193" s="53"/>
      <c r="E1193" s="155"/>
      <c r="F1193" s="148"/>
      <c r="G1193" s="144"/>
      <c r="H1193" s="67"/>
      <c r="I1193" s="67"/>
      <c r="J1193" s="67"/>
      <c r="K1193" s="67"/>
      <c r="L1193" s="146"/>
      <c r="M1193" s="147"/>
      <c r="N1193" s="148"/>
      <c r="O1193" s="143"/>
      <c r="P1193" s="140"/>
      <c r="Q1193" s="143"/>
      <c r="R1193" s="143"/>
      <c r="S1193" s="140"/>
      <c r="T1193" s="143"/>
      <c r="U1193" s="144"/>
      <c r="V1193" s="147"/>
      <c r="X1193" s="214"/>
    </row>
    <row r="1194" spans="2:24" ht="10.95" customHeight="1" x14ac:dyDescent="0.25">
      <c r="B1194" s="52"/>
      <c r="C1194" s="166"/>
      <c r="D1194" s="53"/>
      <c r="E1194" s="155"/>
      <c r="F1194" s="167" t="str">
        <f>_xlfn.IFNA(VLOOKUP(E1192,'Data Kyu'!$A$6:$I$471,2,0),"")</f>
        <v/>
      </c>
      <c r="G1194" s="168"/>
      <c r="H1194" s="168"/>
      <c r="I1194" s="168"/>
      <c r="J1194" s="168"/>
      <c r="K1194" s="169"/>
      <c r="L1194" s="146"/>
      <c r="M1194" s="147"/>
      <c r="N1194" s="173" t="s">
        <v>6</v>
      </c>
      <c r="O1194" s="159"/>
      <c r="P1194" s="57"/>
      <c r="Q1194" s="159" t="s">
        <v>7</v>
      </c>
      <c r="R1194" s="159"/>
      <c r="S1194" s="57"/>
      <c r="T1194" s="159" t="s">
        <v>8</v>
      </c>
      <c r="U1194" s="160"/>
      <c r="V1194" s="175"/>
      <c r="X1194" s="214"/>
    </row>
    <row r="1195" spans="2:24" ht="10.95" customHeight="1" x14ac:dyDescent="0.25">
      <c r="B1195" s="54"/>
      <c r="C1195" s="76"/>
      <c r="D1195" s="56"/>
      <c r="E1195" s="156"/>
      <c r="F1195" s="170"/>
      <c r="G1195" s="171"/>
      <c r="H1195" s="171"/>
      <c r="I1195" s="171"/>
      <c r="J1195" s="171"/>
      <c r="K1195" s="172"/>
      <c r="L1195" s="148"/>
      <c r="M1195" s="144"/>
      <c r="N1195" s="174"/>
      <c r="O1195" s="161"/>
      <c r="P1195" s="27"/>
      <c r="Q1195" s="161"/>
      <c r="R1195" s="161"/>
      <c r="S1195" s="27"/>
      <c r="T1195" s="161"/>
      <c r="U1195" s="162"/>
      <c r="V1195" s="176"/>
      <c r="X1195" s="214"/>
    </row>
    <row r="1196" spans="2:24" ht="10.95" customHeight="1" x14ac:dyDescent="0.25">
      <c r="B1196" s="41"/>
      <c r="C1196" s="77"/>
      <c r="D1196" s="42"/>
      <c r="E1196" s="154">
        <f t="shared" ref="E1196" si="40">E1192+1</f>
        <v>153</v>
      </c>
      <c r="F1196" s="145" t="str">
        <f>_xlfn.IFNA(VLOOKUP(E1196,'Data Kyu'!$A$6:$I$471,3,0),"")</f>
        <v/>
      </c>
      <c r="G1196" s="142"/>
      <c r="H1196" s="66"/>
      <c r="I1196" s="66"/>
      <c r="J1196" s="66"/>
      <c r="K1196" s="66"/>
      <c r="L1196" s="145" t="str">
        <f>_xlfn.IFNA(VLOOKUP(E1196,'Data Kyu'!$A$6:$I$471,9,0),"")</f>
        <v/>
      </c>
      <c r="M1196" s="142"/>
      <c r="N1196" s="145" t="str">
        <f>_xlfn.IFNA(VLOOKUP(E1196,'Data Kyu'!$A$6:$I$471,6,0),"")</f>
        <v/>
      </c>
      <c r="O1196" s="141"/>
      <c r="P1196" s="139" t="s">
        <v>5</v>
      </c>
      <c r="Q1196" s="141" t="str">
        <f>_xlfn.IFNA(VLOOKUP(E1196,'Data Kyu'!$A$6:$I$471,7,0),"")</f>
        <v/>
      </c>
      <c r="R1196" s="141"/>
      <c r="S1196" s="139" t="s">
        <v>5</v>
      </c>
      <c r="T1196" s="141" t="str">
        <f>_xlfn.IFNA(VLOOKUP(E1196,'Data Kyu'!$A$6:$I$471,8,0),"")</f>
        <v/>
      </c>
      <c r="U1196" s="142"/>
      <c r="V1196" s="142" t="str">
        <f>_xlfn.IFNA(VLOOKUP(E1196,'Data Kyu'!$A$6:$I$471,4,0),"")</f>
        <v/>
      </c>
      <c r="X1196" s="214" t="str">
        <f>_xlfn.IFNA(VLOOKUP(F1196,'Data Kyu'!$C$6:$N$997,12,0),"No Data")</f>
        <v>No Data</v>
      </c>
    </row>
    <row r="1197" spans="2:24" ht="10.95" customHeight="1" x14ac:dyDescent="0.25">
      <c r="B1197" s="52"/>
      <c r="C1197" s="165" t="str">
        <f>IF(X1196="LULUS","V","")</f>
        <v/>
      </c>
      <c r="D1197" s="53"/>
      <c r="E1197" s="155"/>
      <c r="F1197" s="148"/>
      <c r="G1197" s="144"/>
      <c r="H1197" s="67"/>
      <c r="I1197" s="67"/>
      <c r="J1197" s="67"/>
      <c r="K1197" s="67"/>
      <c r="L1197" s="146"/>
      <c r="M1197" s="147"/>
      <c r="N1197" s="148"/>
      <c r="O1197" s="143"/>
      <c r="P1197" s="140"/>
      <c r="Q1197" s="143"/>
      <c r="R1197" s="143"/>
      <c r="S1197" s="140"/>
      <c r="T1197" s="143"/>
      <c r="U1197" s="144"/>
      <c r="V1197" s="147"/>
      <c r="X1197" s="214"/>
    </row>
    <row r="1198" spans="2:24" ht="10.95" customHeight="1" x14ac:dyDescent="0.25">
      <c r="B1198" s="52"/>
      <c r="C1198" s="166"/>
      <c r="D1198" s="53"/>
      <c r="E1198" s="155"/>
      <c r="F1198" s="167" t="str">
        <f>_xlfn.IFNA(VLOOKUP(E1196,'Data Kyu'!$A$6:$I$471,2,0),"")</f>
        <v/>
      </c>
      <c r="G1198" s="168"/>
      <c r="H1198" s="168"/>
      <c r="I1198" s="168"/>
      <c r="J1198" s="168"/>
      <c r="K1198" s="169"/>
      <c r="L1198" s="146"/>
      <c r="M1198" s="147"/>
      <c r="N1198" s="173" t="s">
        <v>6</v>
      </c>
      <c r="O1198" s="159"/>
      <c r="P1198" s="57"/>
      <c r="Q1198" s="159" t="s">
        <v>7</v>
      </c>
      <c r="R1198" s="159"/>
      <c r="S1198" s="57"/>
      <c r="T1198" s="159" t="s">
        <v>8</v>
      </c>
      <c r="U1198" s="160"/>
      <c r="V1198" s="175"/>
      <c r="X1198" s="214"/>
    </row>
    <row r="1199" spans="2:24" ht="10.95" customHeight="1" x14ac:dyDescent="0.25">
      <c r="B1199" s="54"/>
      <c r="C1199" s="76"/>
      <c r="D1199" s="56"/>
      <c r="E1199" s="156"/>
      <c r="F1199" s="170"/>
      <c r="G1199" s="171"/>
      <c r="H1199" s="171"/>
      <c r="I1199" s="171"/>
      <c r="J1199" s="171"/>
      <c r="K1199" s="172"/>
      <c r="L1199" s="148"/>
      <c r="M1199" s="144"/>
      <c r="N1199" s="174"/>
      <c r="O1199" s="161"/>
      <c r="P1199" s="27"/>
      <c r="Q1199" s="161"/>
      <c r="R1199" s="161"/>
      <c r="S1199" s="27"/>
      <c r="T1199" s="161"/>
      <c r="U1199" s="162"/>
      <c r="V1199" s="176"/>
      <c r="X1199" s="214"/>
    </row>
    <row r="1200" spans="2:24" ht="10.95" customHeight="1" x14ac:dyDescent="0.25">
      <c r="B1200" s="41"/>
      <c r="C1200" s="77"/>
      <c r="D1200" s="42"/>
      <c r="E1200" s="154">
        <f t="shared" ref="E1200" si="41">E1196+1</f>
        <v>154</v>
      </c>
      <c r="F1200" s="145" t="str">
        <f>_xlfn.IFNA(VLOOKUP(E1200,'Data Kyu'!$A$6:$I$471,3,0),"")</f>
        <v/>
      </c>
      <c r="G1200" s="142"/>
      <c r="H1200" s="66"/>
      <c r="I1200" s="66"/>
      <c r="J1200" s="66"/>
      <c r="K1200" s="66"/>
      <c r="L1200" s="145" t="str">
        <f>_xlfn.IFNA(VLOOKUP(E1200,'Data Kyu'!$A$6:$I$471,9,0),"")</f>
        <v/>
      </c>
      <c r="M1200" s="142"/>
      <c r="N1200" s="145" t="str">
        <f>_xlfn.IFNA(VLOOKUP(E1200,'Data Kyu'!$A$6:$I$471,6,0),"")</f>
        <v/>
      </c>
      <c r="O1200" s="141"/>
      <c r="P1200" s="139" t="s">
        <v>5</v>
      </c>
      <c r="Q1200" s="141" t="str">
        <f>_xlfn.IFNA(VLOOKUP(E1200,'Data Kyu'!$A$6:$I$471,7,0),"")</f>
        <v/>
      </c>
      <c r="R1200" s="141"/>
      <c r="S1200" s="139" t="s">
        <v>5</v>
      </c>
      <c r="T1200" s="141" t="str">
        <f>_xlfn.IFNA(VLOOKUP(E1200,'Data Kyu'!$A$6:$I$471,8,0),"")</f>
        <v/>
      </c>
      <c r="U1200" s="142"/>
      <c r="V1200" s="142" t="str">
        <f>_xlfn.IFNA(VLOOKUP(E1200,'Data Kyu'!$A$6:$I$471,4,0),"")</f>
        <v/>
      </c>
      <c r="X1200" s="214" t="str">
        <f>_xlfn.IFNA(VLOOKUP(F1200,'Data Kyu'!$C$6:$N$997,12,0),"No Data")</f>
        <v>No Data</v>
      </c>
    </row>
    <row r="1201" spans="2:24" ht="10.95" customHeight="1" x14ac:dyDescent="0.25">
      <c r="B1201" s="52"/>
      <c r="C1201" s="165" t="str">
        <f>IF(X1200="LULUS","V","")</f>
        <v/>
      </c>
      <c r="D1201" s="53"/>
      <c r="E1201" s="155"/>
      <c r="F1201" s="148"/>
      <c r="G1201" s="144"/>
      <c r="H1201" s="67"/>
      <c r="I1201" s="67"/>
      <c r="J1201" s="67"/>
      <c r="K1201" s="67"/>
      <c r="L1201" s="146"/>
      <c r="M1201" s="147"/>
      <c r="N1201" s="148"/>
      <c r="O1201" s="143"/>
      <c r="P1201" s="140"/>
      <c r="Q1201" s="143"/>
      <c r="R1201" s="143"/>
      <c r="S1201" s="140"/>
      <c r="T1201" s="143"/>
      <c r="U1201" s="144"/>
      <c r="V1201" s="147"/>
      <c r="X1201" s="214"/>
    </row>
    <row r="1202" spans="2:24" ht="10.95" customHeight="1" x14ac:dyDescent="0.25">
      <c r="B1202" s="52"/>
      <c r="C1202" s="166"/>
      <c r="D1202" s="53"/>
      <c r="E1202" s="155"/>
      <c r="F1202" s="167" t="str">
        <f>_xlfn.IFNA(VLOOKUP(E1200,'Data Kyu'!$A$6:$I$471,2,0),"")</f>
        <v/>
      </c>
      <c r="G1202" s="168"/>
      <c r="H1202" s="168"/>
      <c r="I1202" s="168"/>
      <c r="J1202" s="168"/>
      <c r="K1202" s="169"/>
      <c r="L1202" s="146"/>
      <c r="M1202" s="147"/>
      <c r="N1202" s="173" t="s">
        <v>6</v>
      </c>
      <c r="O1202" s="159"/>
      <c r="P1202" s="57"/>
      <c r="Q1202" s="159" t="s">
        <v>7</v>
      </c>
      <c r="R1202" s="159"/>
      <c r="S1202" s="57"/>
      <c r="T1202" s="159" t="s">
        <v>8</v>
      </c>
      <c r="U1202" s="160"/>
      <c r="V1202" s="175"/>
      <c r="X1202" s="214"/>
    </row>
    <row r="1203" spans="2:24" ht="10.95" customHeight="1" x14ac:dyDescent="0.25">
      <c r="B1203" s="54"/>
      <c r="C1203" s="76"/>
      <c r="D1203" s="56"/>
      <c r="E1203" s="156"/>
      <c r="F1203" s="170"/>
      <c r="G1203" s="171"/>
      <c r="H1203" s="171"/>
      <c r="I1203" s="171"/>
      <c r="J1203" s="171"/>
      <c r="K1203" s="172"/>
      <c r="L1203" s="148"/>
      <c r="M1203" s="144"/>
      <c r="N1203" s="174"/>
      <c r="O1203" s="161"/>
      <c r="P1203" s="27"/>
      <c r="Q1203" s="161"/>
      <c r="R1203" s="161"/>
      <c r="S1203" s="27"/>
      <c r="T1203" s="161"/>
      <c r="U1203" s="162"/>
      <c r="V1203" s="176"/>
      <c r="X1203" s="214"/>
    </row>
    <row r="1204" spans="2:24" ht="10.95" customHeight="1" x14ac:dyDescent="0.25">
      <c r="B1204" s="41"/>
      <c r="C1204" s="77"/>
      <c r="D1204" s="42"/>
      <c r="E1204" s="154">
        <f t="shared" ref="E1204" si="42">E1200+1</f>
        <v>155</v>
      </c>
      <c r="F1204" s="145" t="str">
        <f>_xlfn.IFNA(VLOOKUP(E1204,'Data Kyu'!$A$6:$I$471,3,0),"")</f>
        <v/>
      </c>
      <c r="G1204" s="142"/>
      <c r="H1204" s="66"/>
      <c r="I1204" s="66"/>
      <c r="J1204" s="66"/>
      <c r="K1204" s="66"/>
      <c r="L1204" s="145" t="str">
        <f>_xlfn.IFNA(VLOOKUP(E1204,'Data Kyu'!$A$6:$I$471,9,0),"")</f>
        <v/>
      </c>
      <c r="M1204" s="142"/>
      <c r="N1204" s="145" t="str">
        <f>_xlfn.IFNA(VLOOKUP(E1204,'Data Kyu'!$A$6:$I$471,6,0),"")</f>
        <v/>
      </c>
      <c r="O1204" s="141"/>
      <c r="P1204" s="139" t="s">
        <v>5</v>
      </c>
      <c r="Q1204" s="141" t="str">
        <f>_xlfn.IFNA(VLOOKUP(E1204,'Data Kyu'!$A$6:$I$471,7,0),"")</f>
        <v/>
      </c>
      <c r="R1204" s="141"/>
      <c r="S1204" s="139" t="s">
        <v>5</v>
      </c>
      <c r="T1204" s="141" t="str">
        <f>_xlfn.IFNA(VLOOKUP(E1204,'Data Kyu'!$A$6:$I$471,8,0),"")</f>
        <v/>
      </c>
      <c r="U1204" s="142"/>
      <c r="V1204" s="142" t="str">
        <f>_xlfn.IFNA(VLOOKUP(E1204,'Data Kyu'!$A$6:$I$471,4,0),"")</f>
        <v/>
      </c>
      <c r="X1204" s="214" t="str">
        <f>_xlfn.IFNA(VLOOKUP(F1204,'Data Kyu'!$C$6:$N$997,12,0),"No Data")</f>
        <v>No Data</v>
      </c>
    </row>
    <row r="1205" spans="2:24" ht="10.95" customHeight="1" x14ac:dyDescent="0.25">
      <c r="B1205" s="52"/>
      <c r="C1205" s="165" t="str">
        <f>IF(X1204="LULUS","V","")</f>
        <v/>
      </c>
      <c r="D1205" s="53"/>
      <c r="E1205" s="155"/>
      <c r="F1205" s="148"/>
      <c r="G1205" s="144"/>
      <c r="H1205" s="67"/>
      <c r="I1205" s="67"/>
      <c r="J1205" s="67"/>
      <c r="K1205" s="67"/>
      <c r="L1205" s="146"/>
      <c r="M1205" s="147"/>
      <c r="N1205" s="148"/>
      <c r="O1205" s="143"/>
      <c r="P1205" s="140"/>
      <c r="Q1205" s="143"/>
      <c r="R1205" s="143"/>
      <c r="S1205" s="140"/>
      <c r="T1205" s="143"/>
      <c r="U1205" s="144"/>
      <c r="V1205" s="147"/>
      <c r="X1205" s="214"/>
    </row>
    <row r="1206" spans="2:24" ht="10.95" customHeight="1" x14ac:dyDescent="0.25">
      <c r="B1206" s="52"/>
      <c r="C1206" s="166"/>
      <c r="D1206" s="53"/>
      <c r="E1206" s="155"/>
      <c r="F1206" s="167" t="str">
        <f>_xlfn.IFNA(VLOOKUP(E1204,'Data Kyu'!$A$6:$I$471,2,0),"")</f>
        <v/>
      </c>
      <c r="G1206" s="168"/>
      <c r="H1206" s="168"/>
      <c r="I1206" s="168"/>
      <c r="J1206" s="168"/>
      <c r="K1206" s="169"/>
      <c r="L1206" s="146"/>
      <c r="M1206" s="147"/>
      <c r="N1206" s="173" t="s">
        <v>6</v>
      </c>
      <c r="O1206" s="159"/>
      <c r="P1206" s="57"/>
      <c r="Q1206" s="159" t="s">
        <v>7</v>
      </c>
      <c r="R1206" s="159"/>
      <c r="S1206" s="57"/>
      <c r="T1206" s="159" t="s">
        <v>8</v>
      </c>
      <c r="U1206" s="160"/>
      <c r="V1206" s="175"/>
      <c r="X1206" s="214"/>
    </row>
    <row r="1207" spans="2:24" ht="10.95" customHeight="1" x14ac:dyDescent="0.25">
      <c r="B1207" s="54"/>
      <c r="C1207" s="76"/>
      <c r="D1207" s="56"/>
      <c r="E1207" s="156"/>
      <c r="F1207" s="170"/>
      <c r="G1207" s="171"/>
      <c r="H1207" s="171"/>
      <c r="I1207" s="171"/>
      <c r="J1207" s="171"/>
      <c r="K1207" s="172"/>
      <c r="L1207" s="148"/>
      <c r="M1207" s="144"/>
      <c r="N1207" s="174"/>
      <c r="O1207" s="161"/>
      <c r="P1207" s="27"/>
      <c r="Q1207" s="161"/>
      <c r="R1207" s="161"/>
      <c r="S1207" s="27"/>
      <c r="T1207" s="161"/>
      <c r="U1207" s="162"/>
      <c r="V1207" s="176"/>
      <c r="X1207" s="214"/>
    </row>
    <row r="1208" spans="2:24" ht="10.95" customHeight="1" x14ac:dyDescent="0.25">
      <c r="B1208" s="41"/>
      <c r="C1208" s="77"/>
      <c r="D1208" s="42"/>
      <c r="E1208" s="154">
        <f t="shared" ref="E1208" si="43">E1204+1</f>
        <v>156</v>
      </c>
      <c r="F1208" s="145" t="str">
        <f>_xlfn.IFNA(VLOOKUP(E1208,'Data Kyu'!$A$6:$I$471,3,0),"")</f>
        <v/>
      </c>
      <c r="G1208" s="142"/>
      <c r="H1208" s="66"/>
      <c r="I1208" s="66"/>
      <c r="J1208" s="66"/>
      <c r="K1208" s="66"/>
      <c r="L1208" s="145" t="str">
        <f>_xlfn.IFNA(VLOOKUP(E1208,'Data Kyu'!$A$6:$I$471,9,0),"")</f>
        <v/>
      </c>
      <c r="M1208" s="142"/>
      <c r="N1208" s="145" t="str">
        <f>_xlfn.IFNA(VLOOKUP(E1208,'Data Kyu'!$A$6:$I$471,6,0),"")</f>
        <v/>
      </c>
      <c r="O1208" s="141"/>
      <c r="P1208" s="139" t="s">
        <v>5</v>
      </c>
      <c r="Q1208" s="141" t="str">
        <f>_xlfn.IFNA(VLOOKUP(E1208,'Data Kyu'!$A$6:$I$471,7,0),"")</f>
        <v/>
      </c>
      <c r="R1208" s="141"/>
      <c r="S1208" s="139" t="s">
        <v>5</v>
      </c>
      <c r="T1208" s="141" t="str">
        <f>_xlfn.IFNA(VLOOKUP(E1208,'Data Kyu'!$A$6:$I$471,8,0),"")</f>
        <v/>
      </c>
      <c r="U1208" s="142"/>
      <c r="V1208" s="142" t="str">
        <f>_xlfn.IFNA(VLOOKUP(E1208,'Data Kyu'!$A$6:$I$471,4,0),"")</f>
        <v/>
      </c>
      <c r="X1208" s="214" t="str">
        <f>_xlfn.IFNA(VLOOKUP(F1208,'Data Kyu'!$C$6:$N$997,12,0),"No Data")</f>
        <v>No Data</v>
      </c>
    </row>
    <row r="1209" spans="2:24" ht="10.95" customHeight="1" x14ac:dyDescent="0.25">
      <c r="B1209" s="52"/>
      <c r="C1209" s="165" t="str">
        <f>IF(X1208="LULUS","V","")</f>
        <v/>
      </c>
      <c r="D1209" s="53"/>
      <c r="E1209" s="155"/>
      <c r="F1209" s="148"/>
      <c r="G1209" s="144"/>
      <c r="H1209" s="67"/>
      <c r="I1209" s="67"/>
      <c r="J1209" s="67"/>
      <c r="K1209" s="67"/>
      <c r="L1209" s="146"/>
      <c r="M1209" s="147"/>
      <c r="N1209" s="148"/>
      <c r="O1209" s="143"/>
      <c r="P1209" s="140"/>
      <c r="Q1209" s="143"/>
      <c r="R1209" s="143"/>
      <c r="S1209" s="140"/>
      <c r="T1209" s="143"/>
      <c r="U1209" s="144"/>
      <c r="V1209" s="147"/>
      <c r="X1209" s="214"/>
    </row>
    <row r="1210" spans="2:24" ht="10.95" customHeight="1" x14ac:dyDescent="0.25">
      <c r="B1210" s="52"/>
      <c r="C1210" s="166"/>
      <c r="D1210" s="53"/>
      <c r="E1210" s="155"/>
      <c r="F1210" s="167" t="str">
        <f>_xlfn.IFNA(VLOOKUP(E1208,'Data Kyu'!$A$6:$I$471,2,0),"")</f>
        <v/>
      </c>
      <c r="G1210" s="168"/>
      <c r="H1210" s="168"/>
      <c r="I1210" s="168"/>
      <c r="J1210" s="168"/>
      <c r="K1210" s="169"/>
      <c r="L1210" s="146"/>
      <c r="M1210" s="147"/>
      <c r="N1210" s="173" t="s">
        <v>6</v>
      </c>
      <c r="O1210" s="159"/>
      <c r="P1210" s="57"/>
      <c r="Q1210" s="159" t="s">
        <v>7</v>
      </c>
      <c r="R1210" s="159"/>
      <c r="S1210" s="57"/>
      <c r="T1210" s="159" t="s">
        <v>8</v>
      </c>
      <c r="U1210" s="160"/>
      <c r="V1210" s="175"/>
      <c r="X1210" s="214"/>
    </row>
    <row r="1211" spans="2:24" ht="10.95" customHeight="1" x14ac:dyDescent="0.25">
      <c r="B1211" s="54"/>
      <c r="C1211" s="76"/>
      <c r="D1211" s="56"/>
      <c r="E1211" s="156"/>
      <c r="F1211" s="170"/>
      <c r="G1211" s="171"/>
      <c r="H1211" s="171"/>
      <c r="I1211" s="171"/>
      <c r="J1211" s="171"/>
      <c r="K1211" s="172"/>
      <c r="L1211" s="148"/>
      <c r="M1211" s="144"/>
      <c r="N1211" s="174"/>
      <c r="O1211" s="161"/>
      <c r="P1211" s="27"/>
      <c r="Q1211" s="161"/>
      <c r="R1211" s="161"/>
      <c r="S1211" s="27"/>
      <c r="T1211" s="161"/>
      <c r="U1211" s="162"/>
      <c r="V1211" s="176"/>
      <c r="X1211" s="214"/>
    </row>
    <row r="1212" spans="2:24" ht="10.95" customHeight="1" x14ac:dyDescent="0.25">
      <c r="B1212" s="41"/>
      <c r="C1212" s="77"/>
      <c r="D1212" s="42"/>
      <c r="E1212" s="154">
        <f t="shared" ref="E1212" si="44">E1208+1</f>
        <v>157</v>
      </c>
      <c r="F1212" s="145" t="str">
        <f>_xlfn.IFNA(VLOOKUP(E1212,'Data Kyu'!$A$6:$I$471,3,0),"")</f>
        <v/>
      </c>
      <c r="G1212" s="142"/>
      <c r="H1212" s="66"/>
      <c r="I1212" s="66"/>
      <c r="J1212" s="66"/>
      <c r="K1212" s="66"/>
      <c r="L1212" s="145" t="str">
        <f>_xlfn.IFNA(VLOOKUP(E1212,'Data Kyu'!$A$6:$I$471,9,0),"")</f>
        <v/>
      </c>
      <c r="M1212" s="142"/>
      <c r="N1212" s="145" t="str">
        <f>_xlfn.IFNA(VLOOKUP(E1212,'Data Kyu'!$A$6:$I$471,6,0),"")</f>
        <v/>
      </c>
      <c r="O1212" s="141"/>
      <c r="P1212" s="139" t="s">
        <v>5</v>
      </c>
      <c r="Q1212" s="141" t="str">
        <f>_xlfn.IFNA(VLOOKUP(E1212,'Data Kyu'!$A$6:$I$471,7,0),"")</f>
        <v/>
      </c>
      <c r="R1212" s="141"/>
      <c r="S1212" s="139" t="s">
        <v>5</v>
      </c>
      <c r="T1212" s="141" t="str">
        <f>_xlfn.IFNA(VLOOKUP(E1212,'Data Kyu'!$A$6:$I$471,8,0),"")</f>
        <v/>
      </c>
      <c r="U1212" s="142"/>
      <c r="V1212" s="142" t="str">
        <f>_xlfn.IFNA(VLOOKUP(E1212,'Data Kyu'!$A$6:$I$471,4,0),"")</f>
        <v/>
      </c>
      <c r="X1212" s="214" t="str">
        <f>_xlfn.IFNA(VLOOKUP(F1212,'Data Kyu'!$C$6:$N$997,12,0),"No Data")</f>
        <v>No Data</v>
      </c>
    </row>
    <row r="1213" spans="2:24" ht="10.95" customHeight="1" x14ac:dyDescent="0.25">
      <c r="B1213" s="52"/>
      <c r="C1213" s="165" t="str">
        <f>IF(X1212="LULUS","V","")</f>
        <v/>
      </c>
      <c r="D1213" s="53"/>
      <c r="E1213" s="155"/>
      <c r="F1213" s="148"/>
      <c r="G1213" s="144"/>
      <c r="H1213" s="67"/>
      <c r="I1213" s="67"/>
      <c r="J1213" s="67"/>
      <c r="K1213" s="67"/>
      <c r="L1213" s="146"/>
      <c r="M1213" s="147"/>
      <c r="N1213" s="148"/>
      <c r="O1213" s="143"/>
      <c r="P1213" s="140"/>
      <c r="Q1213" s="143"/>
      <c r="R1213" s="143"/>
      <c r="S1213" s="140"/>
      <c r="T1213" s="143"/>
      <c r="U1213" s="144"/>
      <c r="V1213" s="147"/>
      <c r="X1213" s="214"/>
    </row>
    <row r="1214" spans="2:24" ht="10.95" customHeight="1" x14ac:dyDescent="0.25">
      <c r="B1214" s="52"/>
      <c r="C1214" s="166"/>
      <c r="D1214" s="53"/>
      <c r="E1214" s="155"/>
      <c r="F1214" s="167" t="str">
        <f>_xlfn.IFNA(VLOOKUP(E1212,'Data Kyu'!$A$6:$I$471,2,0),"")</f>
        <v/>
      </c>
      <c r="G1214" s="168"/>
      <c r="H1214" s="168"/>
      <c r="I1214" s="168"/>
      <c r="J1214" s="168"/>
      <c r="K1214" s="169"/>
      <c r="L1214" s="146"/>
      <c r="M1214" s="147"/>
      <c r="N1214" s="173" t="s">
        <v>6</v>
      </c>
      <c r="O1214" s="159"/>
      <c r="P1214" s="57"/>
      <c r="Q1214" s="159" t="s">
        <v>7</v>
      </c>
      <c r="R1214" s="159"/>
      <c r="S1214" s="57"/>
      <c r="T1214" s="159" t="s">
        <v>8</v>
      </c>
      <c r="U1214" s="160"/>
      <c r="V1214" s="175"/>
      <c r="X1214" s="214"/>
    </row>
    <row r="1215" spans="2:24" ht="10.95" customHeight="1" x14ac:dyDescent="0.25">
      <c r="B1215" s="54"/>
      <c r="C1215" s="76"/>
      <c r="D1215" s="56"/>
      <c r="E1215" s="156"/>
      <c r="F1215" s="170"/>
      <c r="G1215" s="171"/>
      <c r="H1215" s="171"/>
      <c r="I1215" s="171"/>
      <c r="J1215" s="171"/>
      <c r="K1215" s="172"/>
      <c r="L1215" s="148"/>
      <c r="M1215" s="144"/>
      <c r="N1215" s="174"/>
      <c r="O1215" s="161"/>
      <c r="P1215" s="27"/>
      <c r="Q1215" s="161"/>
      <c r="R1215" s="161"/>
      <c r="S1215" s="27"/>
      <c r="T1215" s="161"/>
      <c r="U1215" s="162"/>
      <c r="V1215" s="176"/>
      <c r="X1215" s="214"/>
    </row>
    <row r="1216" spans="2:24" ht="10.95" customHeight="1" x14ac:dyDescent="0.25">
      <c r="B1216" s="41"/>
      <c r="C1216" s="77"/>
      <c r="D1216" s="42"/>
      <c r="E1216" s="154">
        <f t="shared" ref="E1216" si="45">E1212+1</f>
        <v>158</v>
      </c>
      <c r="F1216" s="145" t="str">
        <f>_xlfn.IFNA(VLOOKUP(E1216,'Data Kyu'!$A$6:$I$471,3,0),"")</f>
        <v/>
      </c>
      <c r="G1216" s="142"/>
      <c r="H1216" s="66"/>
      <c r="I1216" s="66"/>
      <c r="J1216" s="66"/>
      <c r="K1216" s="66"/>
      <c r="L1216" s="145" t="str">
        <f>_xlfn.IFNA(VLOOKUP(E1216,'Data Kyu'!$A$6:$I$471,9,0),"")</f>
        <v/>
      </c>
      <c r="M1216" s="142"/>
      <c r="N1216" s="145" t="str">
        <f>_xlfn.IFNA(VLOOKUP(E1216,'Data Kyu'!$A$6:$I$471,6,0),"")</f>
        <v/>
      </c>
      <c r="O1216" s="141"/>
      <c r="P1216" s="139" t="s">
        <v>5</v>
      </c>
      <c r="Q1216" s="141" t="str">
        <f>_xlfn.IFNA(VLOOKUP(E1216,'Data Kyu'!$A$6:$I$471,7,0),"")</f>
        <v/>
      </c>
      <c r="R1216" s="141"/>
      <c r="S1216" s="139" t="s">
        <v>5</v>
      </c>
      <c r="T1216" s="141" t="str">
        <f>_xlfn.IFNA(VLOOKUP(E1216,'Data Kyu'!$A$6:$I$471,8,0),"")</f>
        <v/>
      </c>
      <c r="U1216" s="142"/>
      <c r="V1216" s="142" t="str">
        <f>_xlfn.IFNA(VLOOKUP(E1216,'Data Kyu'!$A$6:$I$471,4,0),"")</f>
        <v/>
      </c>
      <c r="X1216" s="214" t="str">
        <f>_xlfn.IFNA(VLOOKUP(F1216,'Data Kyu'!$C$6:$N$997,12,0),"No Data")</f>
        <v>No Data</v>
      </c>
    </row>
    <row r="1217" spans="2:24" ht="10.95" customHeight="1" x14ac:dyDescent="0.25">
      <c r="B1217" s="52"/>
      <c r="C1217" s="165" t="str">
        <f>IF(X1216="LULUS","V","")</f>
        <v/>
      </c>
      <c r="D1217" s="53"/>
      <c r="E1217" s="155"/>
      <c r="F1217" s="148"/>
      <c r="G1217" s="144"/>
      <c r="H1217" s="67"/>
      <c r="I1217" s="67"/>
      <c r="J1217" s="67"/>
      <c r="K1217" s="67"/>
      <c r="L1217" s="146"/>
      <c r="M1217" s="147"/>
      <c r="N1217" s="148"/>
      <c r="O1217" s="143"/>
      <c r="P1217" s="140"/>
      <c r="Q1217" s="143"/>
      <c r="R1217" s="143"/>
      <c r="S1217" s="140"/>
      <c r="T1217" s="143"/>
      <c r="U1217" s="144"/>
      <c r="V1217" s="147"/>
      <c r="X1217" s="214"/>
    </row>
    <row r="1218" spans="2:24" ht="10.95" customHeight="1" x14ac:dyDescent="0.25">
      <c r="B1218" s="52"/>
      <c r="C1218" s="166"/>
      <c r="D1218" s="53"/>
      <c r="E1218" s="155"/>
      <c r="F1218" s="167" t="str">
        <f>_xlfn.IFNA(VLOOKUP(E1216,'Data Kyu'!$A$6:$I$471,2,0),"")</f>
        <v/>
      </c>
      <c r="G1218" s="168"/>
      <c r="H1218" s="168"/>
      <c r="I1218" s="168"/>
      <c r="J1218" s="168"/>
      <c r="K1218" s="169"/>
      <c r="L1218" s="146"/>
      <c r="M1218" s="147"/>
      <c r="N1218" s="173" t="s">
        <v>6</v>
      </c>
      <c r="O1218" s="159"/>
      <c r="P1218" s="57"/>
      <c r="Q1218" s="159" t="s">
        <v>7</v>
      </c>
      <c r="R1218" s="159"/>
      <c r="S1218" s="57"/>
      <c r="T1218" s="159" t="s">
        <v>8</v>
      </c>
      <c r="U1218" s="160"/>
      <c r="V1218" s="175"/>
      <c r="X1218" s="214"/>
    </row>
    <row r="1219" spans="2:24" ht="10.95" customHeight="1" x14ac:dyDescent="0.25">
      <c r="B1219" s="54"/>
      <c r="C1219" s="76"/>
      <c r="D1219" s="56"/>
      <c r="E1219" s="156"/>
      <c r="F1219" s="170"/>
      <c r="G1219" s="171"/>
      <c r="H1219" s="171"/>
      <c r="I1219" s="171"/>
      <c r="J1219" s="171"/>
      <c r="K1219" s="172"/>
      <c r="L1219" s="148"/>
      <c r="M1219" s="144"/>
      <c r="N1219" s="174"/>
      <c r="O1219" s="161"/>
      <c r="P1219" s="27"/>
      <c r="Q1219" s="161"/>
      <c r="R1219" s="161"/>
      <c r="S1219" s="27"/>
      <c r="T1219" s="161"/>
      <c r="U1219" s="162"/>
      <c r="V1219" s="176"/>
      <c r="X1219" s="214"/>
    </row>
    <row r="1220" spans="2:24" ht="10.95" customHeight="1" x14ac:dyDescent="0.25">
      <c r="B1220" s="41"/>
      <c r="C1220" s="77"/>
      <c r="D1220" s="42"/>
      <c r="E1220" s="154">
        <f t="shared" ref="E1220" si="46">E1216+1</f>
        <v>159</v>
      </c>
      <c r="F1220" s="145" t="str">
        <f>_xlfn.IFNA(VLOOKUP(E1220,'Data Kyu'!$A$6:$I$471,3,0),"")</f>
        <v/>
      </c>
      <c r="G1220" s="142"/>
      <c r="H1220" s="66"/>
      <c r="I1220" s="66"/>
      <c r="J1220" s="66"/>
      <c r="K1220" s="66"/>
      <c r="L1220" s="145" t="str">
        <f>_xlfn.IFNA(VLOOKUP(E1220,'Data Kyu'!$A$6:$I$471,9,0),"")</f>
        <v/>
      </c>
      <c r="M1220" s="142"/>
      <c r="N1220" s="145" t="str">
        <f>_xlfn.IFNA(VLOOKUP(E1220,'Data Kyu'!$A$6:$I$471,6,0),"")</f>
        <v/>
      </c>
      <c r="O1220" s="141"/>
      <c r="P1220" s="139" t="s">
        <v>5</v>
      </c>
      <c r="Q1220" s="141" t="str">
        <f>_xlfn.IFNA(VLOOKUP(E1220,'Data Kyu'!$A$6:$I$471,7,0),"")</f>
        <v/>
      </c>
      <c r="R1220" s="141"/>
      <c r="S1220" s="139" t="s">
        <v>5</v>
      </c>
      <c r="T1220" s="141" t="str">
        <f>_xlfn.IFNA(VLOOKUP(E1220,'Data Kyu'!$A$6:$I$471,8,0),"")</f>
        <v/>
      </c>
      <c r="U1220" s="142"/>
      <c r="V1220" s="142" t="str">
        <f>_xlfn.IFNA(VLOOKUP(E1220,'Data Kyu'!$A$6:$I$471,4,0),"")</f>
        <v/>
      </c>
      <c r="X1220" s="214" t="str">
        <f>_xlfn.IFNA(VLOOKUP(F1220,'Data Kyu'!$C$6:$N$997,12,0),"No Data")</f>
        <v>No Data</v>
      </c>
    </row>
    <row r="1221" spans="2:24" ht="10.95" customHeight="1" x14ac:dyDescent="0.25">
      <c r="B1221" s="52"/>
      <c r="C1221" s="165" t="str">
        <f>IF(X1220="LULUS","V","")</f>
        <v/>
      </c>
      <c r="D1221" s="53"/>
      <c r="E1221" s="155"/>
      <c r="F1221" s="148"/>
      <c r="G1221" s="144"/>
      <c r="H1221" s="67"/>
      <c r="I1221" s="67"/>
      <c r="J1221" s="67"/>
      <c r="K1221" s="67"/>
      <c r="L1221" s="146"/>
      <c r="M1221" s="147"/>
      <c r="N1221" s="148"/>
      <c r="O1221" s="143"/>
      <c r="P1221" s="140"/>
      <c r="Q1221" s="143"/>
      <c r="R1221" s="143"/>
      <c r="S1221" s="140"/>
      <c r="T1221" s="143"/>
      <c r="U1221" s="144"/>
      <c r="V1221" s="147"/>
      <c r="X1221" s="214"/>
    </row>
    <row r="1222" spans="2:24" ht="10.95" customHeight="1" x14ac:dyDescent="0.25">
      <c r="B1222" s="52"/>
      <c r="C1222" s="166"/>
      <c r="D1222" s="53"/>
      <c r="E1222" s="155"/>
      <c r="F1222" s="167" t="str">
        <f>_xlfn.IFNA(VLOOKUP(E1220,'Data Kyu'!$A$6:$I$471,2,0),"")</f>
        <v/>
      </c>
      <c r="G1222" s="168"/>
      <c r="H1222" s="168"/>
      <c r="I1222" s="168"/>
      <c r="J1222" s="168"/>
      <c r="K1222" s="169"/>
      <c r="L1222" s="146"/>
      <c r="M1222" s="147"/>
      <c r="N1222" s="173" t="s">
        <v>6</v>
      </c>
      <c r="O1222" s="159"/>
      <c r="P1222" s="57"/>
      <c r="Q1222" s="159" t="s">
        <v>7</v>
      </c>
      <c r="R1222" s="159"/>
      <c r="S1222" s="57"/>
      <c r="T1222" s="159" t="s">
        <v>8</v>
      </c>
      <c r="U1222" s="160"/>
      <c r="V1222" s="175"/>
      <c r="X1222" s="214"/>
    </row>
    <row r="1223" spans="2:24" ht="10.95" customHeight="1" x14ac:dyDescent="0.25">
      <c r="B1223" s="54"/>
      <c r="C1223" s="76"/>
      <c r="D1223" s="56"/>
      <c r="E1223" s="156"/>
      <c r="F1223" s="170"/>
      <c r="G1223" s="171"/>
      <c r="H1223" s="171"/>
      <c r="I1223" s="171"/>
      <c r="J1223" s="171"/>
      <c r="K1223" s="172"/>
      <c r="L1223" s="148"/>
      <c r="M1223" s="144"/>
      <c r="N1223" s="174"/>
      <c r="O1223" s="161"/>
      <c r="P1223" s="27"/>
      <c r="Q1223" s="161"/>
      <c r="R1223" s="161"/>
      <c r="S1223" s="27"/>
      <c r="T1223" s="161"/>
      <c r="U1223" s="162"/>
      <c r="V1223" s="176"/>
      <c r="X1223" s="214"/>
    </row>
    <row r="1224" spans="2:24" ht="10.95" customHeight="1" x14ac:dyDescent="0.25">
      <c r="B1224" s="41"/>
      <c r="C1224" s="77"/>
      <c r="D1224" s="42"/>
      <c r="E1224" s="154">
        <f t="shared" ref="E1224" si="47">E1220+1</f>
        <v>160</v>
      </c>
      <c r="F1224" s="145" t="str">
        <f>_xlfn.IFNA(VLOOKUP(E1224,'Data Kyu'!$A$6:$I$471,3,0),"")</f>
        <v/>
      </c>
      <c r="G1224" s="142"/>
      <c r="H1224" s="66"/>
      <c r="I1224" s="66"/>
      <c r="J1224" s="66"/>
      <c r="K1224" s="66"/>
      <c r="L1224" s="145" t="str">
        <f>_xlfn.IFNA(VLOOKUP(E1224,'Data Kyu'!$A$6:$I$471,9,0),"")</f>
        <v/>
      </c>
      <c r="M1224" s="142"/>
      <c r="N1224" s="145" t="str">
        <f>_xlfn.IFNA(VLOOKUP(E1224,'Data Kyu'!$A$6:$I$471,6,0),"")</f>
        <v/>
      </c>
      <c r="O1224" s="141"/>
      <c r="P1224" s="139" t="s">
        <v>5</v>
      </c>
      <c r="Q1224" s="141" t="str">
        <f>_xlfn.IFNA(VLOOKUP(E1224,'Data Kyu'!$A$6:$I$471,7,0),"")</f>
        <v/>
      </c>
      <c r="R1224" s="141"/>
      <c r="S1224" s="139" t="s">
        <v>5</v>
      </c>
      <c r="T1224" s="141" t="str">
        <f>_xlfn.IFNA(VLOOKUP(E1224,'Data Kyu'!$A$6:$I$471,8,0),"")</f>
        <v/>
      </c>
      <c r="U1224" s="142"/>
      <c r="V1224" s="142" t="str">
        <f>_xlfn.IFNA(VLOOKUP(E1224,'Data Kyu'!$A$6:$I$471,4,0),"")</f>
        <v/>
      </c>
      <c r="X1224" s="214" t="str">
        <f>_xlfn.IFNA(VLOOKUP(F1224,'Data Kyu'!$C$6:$N$997,12,0),"No Data")</f>
        <v>No Data</v>
      </c>
    </row>
    <row r="1225" spans="2:24" ht="10.95" customHeight="1" x14ac:dyDescent="0.25">
      <c r="B1225" s="52"/>
      <c r="C1225" s="165" t="str">
        <f>IF(X1224="LULUS","V","")</f>
        <v/>
      </c>
      <c r="D1225" s="53"/>
      <c r="E1225" s="155"/>
      <c r="F1225" s="148"/>
      <c r="G1225" s="144"/>
      <c r="H1225" s="67"/>
      <c r="I1225" s="67"/>
      <c r="J1225" s="67"/>
      <c r="K1225" s="67"/>
      <c r="L1225" s="146"/>
      <c r="M1225" s="147"/>
      <c r="N1225" s="148"/>
      <c r="O1225" s="143"/>
      <c r="P1225" s="140"/>
      <c r="Q1225" s="143"/>
      <c r="R1225" s="143"/>
      <c r="S1225" s="140"/>
      <c r="T1225" s="143"/>
      <c r="U1225" s="144"/>
      <c r="V1225" s="147"/>
      <c r="X1225" s="214"/>
    </row>
    <row r="1226" spans="2:24" ht="10.95" customHeight="1" x14ac:dyDescent="0.25">
      <c r="B1226" s="52"/>
      <c r="C1226" s="166"/>
      <c r="D1226" s="53"/>
      <c r="E1226" s="155"/>
      <c r="F1226" s="167" t="str">
        <f>_xlfn.IFNA(VLOOKUP(E1224,'Data Kyu'!$A$6:$I$471,2,0),"")</f>
        <v/>
      </c>
      <c r="G1226" s="168"/>
      <c r="H1226" s="168"/>
      <c r="I1226" s="168"/>
      <c r="J1226" s="168"/>
      <c r="K1226" s="169"/>
      <c r="L1226" s="146"/>
      <c r="M1226" s="147"/>
      <c r="N1226" s="173" t="s">
        <v>6</v>
      </c>
      <c r="O1226" s="159"/>
      <c r="P1226" s="57"/>
      <c r="Q1226" s="159" t="s">
        <v>7</v>
      </c>
      <c r="R1226" s="159"/>
      <c r="S1226" s="57"/>
      <c r="T1226" s="159" t="s">
        <v>8</v>
      </c>
      <c r="U1226" s="160"/>
      <c r="V1226" s="175"/>
      <c r="X1226" s="214"/>
    </row>
    <row r="1227" spans="2:24" ht="10.95" customHeight="1" x14ac:dyDescent="0.25">
      <c r="B1227" s="54"/>
      <c r="C1227" s="55"/>
      <c r="D1227" s="56"/>
      <c r="E1227" s="156"/>
      <c r="F1227" s="170"/>
      <c r="G1227" s="171"/>
      <c r="H1227" s="171"/>
      <c r="I1227" s="171"/>
      <c r="J1227" s="171"/>
      <c r="K1227" s="172"/>
      <c r="L1227" s="148"/>
      <c r="M1227" s="144"/>
      <c r="N1227" s="174"/>
      <c r="O1227" s="161"/>
      <c r="P1227" s="27"/>
      <c r="Q1227" s="161"/>
      <c r="R1227" s="161"/>
      <c r="S1227" s="27"/>
      <c r="T1227" s="161"/>
      <c r="U1227" s="162"/>
      <c r="V1227" s="176"/>
      <c r="X1227" s="214"/>
    </row>
    <row r="1228" spans="2:24" ht="7.5" customHeight="1" x14ac:dyDescent="0.25"/>
    <row r="1229" spans="2:24" s="34" customFormat="1" x14ac:dyDescent="0.25">
      <c r="E1229" s="35" t="s">
        <v>30</v>
      </c>
      <c r="K1229" s="35" t="s">
        <v>28</v>
      </c>
    </row>
    <row r="1230" spans="2:24" x14ac:dyDescent="0.25">
      <c r="E1230" s="33" t="s">
        <v>31</v>
      </c>
      <c r="F1230" s="149"/>
      <c r="G1230" s="149"/>
      <c r="H1230" s="149"/>
      <c r="I1230" s="149"/>
      <c r="J1230" s="149"/>
      <c r="K1230" s="33" t="s">
        <v>29</v>
      </c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</row>
    <row r="1231" spans="2:24" ht="6.75" customHeight="1" x14ac:dyDescent="0.25">
      <c r="F1231" s="34"/>
      <c r="G1231" s="34"/>
      <c r="H1231" s="34"/>
      <c r="I1231" s="34"/>
      <c r="J1231" s="34"/>
    </row>
    <row r="1232" spans="2:24" s="34" customFormat="1" x14ac:dyDescent="0.25">
      <c r="E1232" s="35" t="s">
        <v>32</v>
      </c>
      <c r="K1232" s="35" t="s">
        <v>36</v>
      </c>
    </row>
    <row r="1233" spans="2:24" x14ac:dyDescent="0.25">
      <c r="E1233" s="33" t="s">
        <v>33</v>
      </c>
      <c r="F1233" s="149"/>
      <c r="G1233" s="149"/>
      <c r="H1233" s="149"/>
      <c r="I1233" s="149"/>
      <c r="J1233" s="149"/>
      <c r="K1233" s="33" t="s">
        <v>29</v>
      </c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</row>
    <row r="1234" spans="2:24" ht="6.75" customHeight="1" x14ac:dyDescent="0.25">
      <c r="F1234" s="34"/>
      <c r="G1234" s="34"/>
      <c r="H1234" s="34"/>
      <c r="I1234" s="34"/>
      <c r="J1234" s="34"/>
    </row>
    <row r="1235" spans="2:24" s="34" customFormat="1" ht="13.8" x14ac:dyDescent="0.25">
      <c r="E1235" s="35" t="s">
        <v>34</v>
      </c>
      <c r="F1235" s="177" t="str">
        <f>IF(F1188&lt;&gt;"",$F$65,"")</f>
        <v/>
      </c>
      <c r="G1235" s="177"/>
      <c r="H1235" s="177"/>
      <c r="I1235" s="177"/>
      <c r="J1235" s="177"/>
      <c r="K1235" s="35" t="s">
        <v>28</v>
      </c>
      <c r="X1235" s="70" t="s">
        <v>107</v>
      </c>
    </row>
    <row r="1236" spans="2:24" ht="13.8" x14ac:dyDescent="0.25">
      <c r="E1236" s="33" t="s">
        <v>35</v>
      </c>
      <c r="F1236" s="178"/>
      <c r="G1236" s="178"/>
      <c r="H1236" s="178"/>
      <c r="I1236" s="178"/>
      <c r="J1236" s="178"/>
      <c r="K1236" s="33" t="s">
        <v>29</v>
      </c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X1236" s="70" t="s">
        <v>105</v>
      </c>
    </row>
    <row r="1237" spans="2:24" ht="12.75" customHeight="1" thickBot="1" x14ac:dyDescent="0.3"/>
    <row r="1238" spans="2:24" ht="13.8" thickTop="1" x14ac:dyDescent="0.25">
      <c r="B1238" s="34" t="s">
        <v>37</v>
      </c>
      <c r="C1238" s="34"/>
      <c r="D1238" s="34"/>
      <c r="H1238" s="150" t="s">
        <v>40</v>
      </c>
      <c r="I1238" s="151"/>
      <c r="J1238" s="151"/>
      <c r="K1238" s="151"/>
      <c r="L1238" s="151"/>
      <c r="M1238" s="151"/>
      <c r="N1238" s="151"/>
      <c r="O1238" s="151"/>
      <c r="P1238" s="151"/>
      <c r="Q1238" s="151"/>
      <c r="R1238" s="151"/>
      <c r="S1238" s="151"/>
      <c r="T1238" s="151"/>
      <c r="U1238" s="151"/>
      <c r="V1238" s="151"/>
    </row>
    <row r="1239" spans="2:24" x14ac:dyDescent="0.25">
      <c r="B1239" s="34" t="s">
        <v>38</v>
      </c>
      <c r="C1239" s="34"/>
      <c r="D1239" s="34"/>
      <c r="H1239" s="152"/>
      <c r="I1239" s="153"/>
      <c r="J1239" s="153"/>
      <c r="K1239" s="153"/>
      <c r="L1239" s="153"/>
      <c r="M1239" s="153"/>
      <c r="N1239" s="153"/>
      <c r="O1239" s="153"/>
      <c r="P1239" s="153"/>
      <c r="Q1239" s="153"/>
      <c r="R1239" s="153"/>
      <c r="S1239" s="153"/>
      <c r="T1239" s="153"/>
      <c r="U1239" s="153"/>
      <c r="V1239" s="153"/>
    </row>
    <row r="1240" spans="2:24" ht="12.75" customHeight="1" x14ac:dyDescent="0.25">
      <c r="B1240" s="163" t="s">
        <v>39</v>
      </c>
      <c r="C1240" s="163"/>
      <c r="D1240" s="163"/>
      <c r="E1240" s="163"/>
      <c r="F1240" s="163"/>
      <c r="H1240" s="37" t="s">
        <v>41</v>
      </c>
    </row>
    <row r="1241" spans="2:24" ht="13.8" x14ac:dyDescent="0.25">
      <c r="B1241" s="163"/>
      <c r="C1241" s="163"/>
      <c r="D1241" s="163"/>
      <c r="E1241" s="163"/>
      <c r="F1241" s="163"/>
      <c r="H1241" s="38" t="s">
        <v>42</v>
      </c>
    </row>
    <row r="1242" spans="2:24" x14ac:dyDescent="0.25">
      <c r="B1242" s="163"/>
      <c r="C1242" s="163"/>
      <c r="D1242" s="163"/>
      <c r="E1242" s="163"/>
      <c r="F1242" s="163"/>
      <c r="H1242" s="36"/>
    </row>
    <row r="1243" spans="2:24" x14ac:dyDescent="0.25">
      <c r="B1243" s="163"/>
      <c r="C1243" s="163"/>
      <c r="D1243" s="163"/>
      <c r="E1243" s="163"/>
      <c r="F1243" s="163"/>
      <c r="H1243" s="36"/>
    </row>
    <row r="1244" spans="2:24" x14ac:dyDescent="0.25">
      <c r="H1244" s="36"/>
    </row>
    <row r="1245" spans="2:24" x14ac:dyDescent="0.25">
      <c r="H1245" s="36"/>
    </row>
    <row r="1246" spans="2:24" x14ac:dyDescent="0.25">
      <c r="H1246" s="36"/>
    </row>
    <row r="1247" spans="2:24" x14ac:dyDescent="0.25">
      <c r="H1247" s="36"/>
    </row>
    <row r="1248" spans="2:24" ht="13.8" x14ac:dyDescent="0.25">
      <c r="H1248" s="157" t="str">
        <f>IF(F1188&lt;&gt;"",$H$78,"")</f>
        <v/>
      </c>
      <c r="I1248" s="158"/>
      <c r="J1248" s="158"/>
      <c r="K1248" s="158"/>
      <c r="L1248" s="158"/>
      <c r="M1248" s="158"/>
      <c r="N1248" s="158"/>
      <c r="O1248" s="158"/>
      <c r="P1248" s="158"/>
      <c r="Q1248" s="158"/>
      <c r="R1248" s="158"/>
      <c r="S1248" s="158"/>
      <c r="T1248" s="158"/>
      <c r="U1248" s="158"/>
      <c r="V1248" s="158"/>
    </row>
    <row r="1249" spans="2:24" x14ac:dyDescent="0.25">
      <c r="H1249" s="36"/>
    </row>
    <row r="1250" spans="2:24" ht="28.5" customHeight="1" x14ac:dyDescent="0.3">
      <c r="B1250" s="193" t="s">
        <v>43</v>
      </c>
      <c r="C1250" s="193"/>
      <c r="D1250" s="193"/>
      <c r="E1250" s="194"/>
      <c r="F1250" s="194"/>
      <c r="G1250" s="194"/>
      <c r="H1250" s="194"/>
      <c r="I1250" s="2"/>
      <c r="J1250" s="2"/>
      <c r="K1250" s="13" t="s">
        <v>25</v>
      </c>
      <c r="L1250" s="195" t="s">
        <v>14</v>
      </c>
      <c r="M1250" s="196"/>
      <c r="N1250" s="196"/>
      <c r="O1250" s="196"/>
      <c r="P1250" s="196"/>
      <c r="Q1250" s="196"/>
      <c r="R1250" s="196"/>
      <c r="S1250" s="196"/>
      <c r="T1250" s="196"/>
      <c r="U1250" s="196"/>
      <c r="V1250" s="197"/>
      <c r="X1250" s="1"/>
    </row>
    <row r="1251" spans="2:24" ht="26.25" customHeight="1" x14ac:dyDescent="0.4">
      <c r="B1251" s="39" t="s">
        <v>44</v>
      </c>
      <c r="C1251" s="39"/>
      <c r="D1251" s="39"/>
      <c r="E1251" s="2"/>
      <c r="F1251" s="2"/>
      <c r="G1251" s="2"/>
      <c r="H1251" s="2"/>
      <c r="I1251" s="2"/>
      <c r="J1251" s="2"/>
      <c r="K1251" s="29" t="s">
        <v>13</v>
      </c>
      <c r="L1251" s="15">
        <v>4</v>
      </c>
      <c r="M1251" s="16">
        <v>1</v>
      </c>
      <c r="N1251" s="15">
        <v>0</v>
      </c>
      <c r="O1251" s="198">
        <v>0</v>
      </c>
      <c r="P1251" s="199"/>
      <c r="Q1251" s="14">
        <v>0</v>
      </c>
      <c r="R1251" s="200">
        <v>1</v>
      </c>
      <c r="S1251" s="201"/>
      <c r="T1251" s="6"/>
      <c r="U1251" s="6"/>
      <c r="V1251" s="7"/>
      <c r="X1251" s="1"/>
    </row>
    <row r="1252" spans="2:24" ht="21" customHeight="1" x14ac:dyDescent="0.25">
      <c r="B1252" s="26" t="s">
        <v>45</v>
      </c>
      <c r="C1252" s="26"/>
      <c r="D1252" s="26"/>
      <c r="E1252" s="25"/>
      <c r="F1252" s="25"/>
      <c r="G1252" s="25"/>
      <c r="H1252" s="25"/>
      <c r="I1252" s="25"/>
      <c r="J1252" s="25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X1252" s="1"/>
    </row>
    <row r="1253" spans="2:24" ht="13.5" customHeight="1" x14ac:dyDescent="0.25">
      <c r="B1253" s="40" t="s">
        <v>24</v>
      </c>
      <c r="C1253" s="40"/>
      <c r="D1253" s="40"/>
      <c r="E1253" s="25"/>
      <c r="F1253" s="25"/>
      <c r="G1253" s="25"/>
      <c r="H1253" s="25"/>
      <c r="I1253" s="25"/>
      <c r="J1253" s="25"/>
      <c r="K1253" s="28" t="s">
        <v>6</v>
      </c>
      <c r="L1253" s="202" t="str">
        <f>IF(F1266&lt;&gt;"",$L$5,"")</f>
        <v/>
      </c>
      <c r="M1253" s="203"/>
      <c r="N1253" s="204" t="s">
        <v>15</v>
      </c>
      <c r="O1253" s="204"/>
      <c r="P1253" s="204"/>
      <c r="Q1253" s="205" t="str">
        <f>IF(F1266&lt;&gt;"",$Q$5,"")</f>
        <v/>
      </c>
      <c r="R1253" s="206"/>
      <c r="S1253" s="207" t="s">
        <v>16</v>
      </c>
      <c r="T1253" s="204"/>
      <c r="U1253" s="82" t="str">
        <f>IF(F1266&lt;&gt;"",$U$5,"")</f>
        <v/>
      </c>
      <c r="V1253" s="63"/>
      <c r="X1253" s="1"/>
    </row>
    <row r="1254" spans="2:24" ht="8.25" customHeight="1" x14ac:dyDescent="0.25"/>
    <row r="1255" spans="2:24" ht="11.25" customHeight="1" x14ac:dyDescent="0.25">
      <c r="B1255" s="24" t="s">
        <v>17</v>
      </c>
      <c r="C1255" s="24"/>
      <c r="D1255" s="24"/>
    </row>
    <row r="1256" spans="2:24" ht="11.25" customHeight="1" x14ac:dyDescent="0.25">
      <c r="B1256" s="8" t="s">
        <v>18</v>
      </c>
      <c r="C1256" s="8"/>
      <c r="D1256" s="8"/>
    </row>
    <row r="1257" spans="2:24" ht="5.25" customHeight="1" x14ac:dyDescent="0.25">
      <c r="B1257" s="8"/>
      <c r="C1257" s="8"/>
      <c r="D1257" s="8"/>
    </row>
    <row r="1258" spans="2:24" x14ac:dyDescent="0.25">
      <c r="B1258" s="179" t="s">
        <v>19</v>
      </c>
      <c r="C1258" s="179"/>
      <c r="D1258" s="179"/>
      <c r="E1258" s="179"/>
      <c r="F1258" s="179"/>
      <c r="G1258" s="18" t="s">
        <v>6</v>
      </c>
      <c r="H1258" s="64" t="str">
        <f>IF(F1266&lt;&gt;"",$H$10,"")</f>
        <v/>
      </c>
      <c r="I1258" s="9" t="s">
        <v>15</v>
      </c>
      <c r="J1258" s="83" t="str">
        <f>IF(F1266&lt;&gt;"",$J$10,"")</f>
        <v/>
      </c>
      <c r="K1258" s="9" t="s">
        <v>16</v>
      </c>
      <c r="L1258" s="180" t="str">
        <f>IF(F1266&lt;&gt;"",$L$10,"")</f>
        <v/>
      </c>
      <c r="M1258" s="181"/>
      <c r="X1258" s="32"/>
    </row>
    <row r="1259" spans="2:24" ht="5.25" customHeight="1" x14ac:dyDescent="0.25">
      <c r="B1259" s="8"/>
      <c r="C1259" s="8"/>
      <c r="D1259" s="8"/>
      <c r="E1259" s="8"/>
      <c r="F1259" s="8"/>
      <c r="G1259" s="19"/>
      <c r="H1259" s="20"/>
      <c r="I1259" s="21"/>
      <c r="J1259" s="20"/>
      <c r="K1259" s="10"/>
      <c r="L1259" s="22"/>
      <c r="X1259" s="32"/>
    </row>
    <row r="1260" spans="2:24" s="73" customFormat="1" ht="14.4" customHeight="1" x14ac:dyDescent="0.25">
      <c r="B1260" s="72" t="s">
        <v>20</v>
      </c>
      <c r="C1260" s="72"/>
      <c r="D1260" s="72"/>
      <c r="X1260" s="74"/>
    </row>
    <row r="1261" spans="2:24" s="73" customFormat="1" ht="14.4" customHeight="1" x14ac:dyDescent="0.25">
      <c r="B1261" s="75" t="s">
        <v>21</v>
      </c>
      <c r="C1261" s="10"/>
      <c r="D1261" s="10"/>
      <c r="E1261" s="22" t="s">
        <v>22</v>
      </c>
      <c r="X1261" s="74"/>
    </row>
    <row r="1262" spans="2:24" s="73" customFormat="1" ht="14.4" customHeight="1" x14ac:dyDescent="0.25">
      <c r="B1262" s="22"/>
      <c r="C1262" s="22"/>
      <c r="D1262" s="22"/>
      <c r="E1262" s="22" t="s">
        <v>23</v>
      </c>
      <c r="X1262" s="164" t="s">
        <v>102</v>
      </c>
    </row>
    <row r="1263" spans="2:24" ht="7.5" customHeight="1" x14ac:dyDescent="0.25">
      <c r="B1263" s="8"/>
      <c r="C1263" s="8"/>
      <c r="D1263" s="8"/>
      <c r="X1263" s="164"/>
    </row>
    <row r="1264" spans="2:24" ht="17.25" customHeight="1" x14ac:dyDescent="0.25">
      <c r="B1264" s="182"/>
      <c r="C1264" s="59"/>
      <c r="D1264" s="60"/>
      <c r="E1264" s="184" t="s">
        <v>0</v>
      </c>
      <c r="F1264" s="186" t="s">
        <v>1</v>
      </c>
      <c r="G1264" s="187"/>
      <c r="H1264" s="4"/>
      <c r="I1264" s="4"/>
      <c r="J1264" s="4"/>
      <c r="K1264" s="5"/>
      <c r="L1264" s="145" t="s">
        <v>3</v>
      </c>
      <c r="M1264" s="142"/>
      <c r="N1264" s="188" t="s">
        <v>10</v>
      </c>
      <c r="O1264" s="188"/>
      <c r="P1264" s="188"/>
      <c r="Q1264" s="188"/>
      <c r="R1264" s="188"/>
      <c r="S1264" s="188"/>
      <c r="T1264" s="188"/>
      <c r="U1264" s="189"/>
      <c r="V1264" s="3" t="s">
        <v>12</v>
      </c>
      <c r="X1264" s="68" t="s">
        <v>200</v>
      </c>
    </row>
    <row r="1265" spans="2:24" ht="17.25" customHeight="1" x14ac:dyDescent="0.25">
      <c r="B1265" s="183"/>
      <c r="C1265" s="61"/>
      <c r="D1265" s="62"/>
      <c r="E1265" s="185"/>
      <c r="F1265" s="30" t="s">
        <v>2</v>
      </c>
      <c r="G1265" s="17"/>
      <c r="H1265" s="6"/>
      <c r="I1265" s="6"/>
      <c r="J1265" s="6"/>
      <c r="K1265" s="7"/>
      <c r="L1265" s="190" t="s">
        <v>4</v>
      </c>
      <c r="M1265" s="191"/>
      <c r="N1265" s="192" t="s">
        <v>9</v>
      </c>
      <c r="O1265" s="192"/>
      <c r="P1265" s="192"/>
      <c r="Q1265" s="192"/>
      <c r="R1265" s="192"/>
      <c r="S1265" s="192"/>
      <c r="T1265" s="192"/>
      <c r="U1265" s="191"/>
      <c r="V1265" s="31" t="s">
        <v>11</v>
      </c>
      <c r="X1265" s="69"/>
    </row>
    <row r="1266" spans="2:24" ht="10.95" customHeight="1" x14ac:dyDescent="0.25">
      <c r="B1266" s="41"/>
      <c r="C1266" s="51"/>
      <c r="D1266" s="42"/>
      <c r="E1266" s="154">
        <v>161</v>
      </c>
      <c r="F1266" s="145" t="str">
        <f>_xlfn.IFNA(VLOOKUP(E1266,'Data Kyu'!$A$6:$I$471,3,0),"")</f>
        <v/>
      </c>
      <c r="G1266" s="142"/>
      <c r="H1266" s="66"/>
      <c r="I1266" s="66"/>
      <c r="J1266" s="66"/>
      <c r="K1266" s="66"/>
      <c r="L1266" s="145" t="str">
        <f>_xlfn.IFNA(VLOOKUP(E1266,'Data Kyu'!$A$6:$I$471,9,0),"")</f>
        <v/>
      </c>
      <c r="M1266" s="142"/>
      <c r="N1266" s="145" t="str">
        <f>_xlfn.IFNA(VLOOKUP(E1266,'Data Kyu'!$A$6:$I$471,6,0),"")</f>
        <v/>
      </c>
      <c r="O1266" s="141"/>
      <c r="P1266" s="139" t="s">
        <v>5</v>
      </c>
      <c r="Q1266" s="141" t="str">
        <f>_xlfn.IFNA(VLOOKUP(E1266,'Data Kyu'!$A$6:$I$471,7,0),"")</f>
        <v/>
      </c>
      <c r="R1266" s="141"/>
      <c r="S1266" s="139" t="s">
        <v>5</v>
      </c>
      <c r="T1266" s="141" t="str">
        <f>_xlfn.IFNA(VLOOKUP(E1266,'Data Kyu'!$A$6:$I$471,8,0),"")</f>
        <v/>
      </c>
      <c r="U1266" s="142"/>
      <c r="V1266" s="142" t="str">
        <f>_xlfn.IFNA(VLOOKUP(E1266,'Data Kyu'!$A$6:$I$471,4,0),"")</f>
        <v/>
      </c>
      <c r="X1266" s="214" t="str">
        <f>_xlfn.IFNA(VLOOKUP(F1266,'Data Kyu'!$C$6:$N$997,12,0),"No Data")</f>
        <v>No Data</v>
      </c>
    </row>
    <row r="1267" spans="2:24" ht="10.95" customHeight="1" x14ac:dyDescent="0.25">
      <c r="B1267" s="52"/>
      <c r="C1267" s="165" t="str">
        <f>IF(X1266="LULUS","V","")</f>
        <v/>
      </c>
      <c r="D1267" s="53"/>
      <c r="E1267" s="155"/>
      <c r="F1267" s="148"/>
      <c r="G1267" s="144"/>
      <c r="H1267" s="67"/>
      <c r="I1267" s="67"/>
      <c r="J1267" s="67"/>
      <c r="K1267" s="67"/>
      <c r="L1267" s="146"/>
      <c r="M1267" s="147"/>
      <c r="N1267" s="148"/>
      <c r="O1267" s="143"/>
      <c r="P1267" s="140"/>
      <c r="Q1267" s="143"/>
      <c r="R1267" s="143"/>
      <c r="S1267" s="140"/>
      <c r="T1267" s="143"/>
      <c r="U1267" s="144"/>
      <c r="V1267" s="147"/>
      <c r="X1267" s="214"/>
    </row>
    <row r="1268" spans="2:24" ht="10.95" customHeight="1" x14ac:dyDescent="0.25">
      <c r="B1268" s="52"/>
      <c r="C1268" s="166"/>
      <c r="D1268" s="53"/>
      <c r="E1268" s="155"/>
      <c r="F1268" s="167" t="str">
        <f>_xlfn.IFNA(VLOOKUP(E1266,'Data Kyu'!$A$6:$I$471,2,0),"")</f>
        <v/>
      </c>
      <c r="G1268" s="168"/>
      <c r="H1268" s="168"/>
      <c r="I1268" s="168"/>
      <c r="J1268" s="168"/>
      <c r="K1268" s="169"/>
      <c r="L1268" s="146"/>
      <c r="M1268" s="147"/>
      <c r="N1268" s="173" t="s">
        <v>6</v>
      </c>
      <c r="O1268" s="159"/>
      <c r="P1268" s="57"/>
      <c r="Q1268" s="159" t="s">
        <v>7</v>
      </c>
      <c r="R1268" s="159"/>
      <c r="S1268" s="57"/>
      <c r="T1268" s="159" t="s">
        <v>8</v>
      </c>
      <c r="U1268" s="160"/>
      <c r="V1268" s="175"/>
      <c r="X1268" s="214"/>
    </row>
    <row r="1269" spans="2:24" ht="10.95" customHeight="1" x14ac:dyDescent="0.25">
      <c r="B1269" s="54"/>
      <c r="C1269" s="76"/>
      <c r="D1269" s="56"/>
      <c r="E1269" s="156"/>
      <c r="F1269" s="170"/>
      <c r="G1269" s="171"/>
      <c r="H1269" s="171"/>
      <c r="I1269" s="171"/>
      <c r="J1269" s="171"/>
      <c r="K1269" s="172"/>
      <c r="L1269" s="148"/>
      <c r="M1269" s="144"/>
      <c r="N1269" s="174"/>
      <c r="O1269" s="161"/>
      <c r="P1269" s="27"/>
      <c r="Q1269" s="161"/>
      <c r="R1269" s="161"/>
      <c r="S1269" s="27"/>
      <c r="T1269" s="161"/>
      <c r="U1269" s="162"/>
      <c r="V1269" s="176"/>
      <c r="X1269" s="214"/>
    </row>
    <row r="1270" spans="2:24" ht="10.95" customHeight="1" x14ac:dyDescent="0.25">
      <c r="B1270" s="41"/>
      <c r="C1270" s="77"/>
      <c r="D1270" s="42"/>
      <c r="E1270" s="154">
        <f>E1266+1</f>
        <v>162</v>
      </c>
      <c r="F1270" s="145" t="str">
        <f>_xlfn.IFNA(VLOOKUP(E1270,'Data Kyu'!$A$6:$I$471,3,0),"")</f>
        <v/>
      </c>
      <c r="G1270" s="142"/>
      <c r="H1270" s="66"/>
      <c r="I1270" s="66"/>
      <c r="J1270" s="66"/>
      <c r="K1270" s="66"/>
      <c r="L1270" s="145" t="str">
        <f>_xlfn.IFNA(VLOOKUP(E1270,'Data Kyu'!$A$6:$I$471,9,0),"")</f>
        <v/>
      </c>
      <c r="M1270" s="142"/>
      <c r="N1270" s="145" t="str">
        <f>_xlfn.IFNA(VLOOKUP(E1270,'Data Kyu'!$A$6:$I$471,6,0),"")</f>
        <v/>
      </c>
      <c r="O1270" s="141"/>
      <c r="P1270" s="139" t="s">
        <v>5</v>
      </c>
      <c r="Q1270" s="141" t="str">
        <f>_xlfn.IFNA(VLOOKUP(E1270,'Data Kyu'!$A$6:$I$471,7,0),"")</f>
        <v/>
      </c>
      <c r="R1270" s="141"/>
      <c r="S1270" s="139" t="s">
        <v>5</v>
      </c>
      <c r="T1270" s="141" t="str">
        <f>_xlfn.IFNA(VLOOKUP(E1270,'Data Kyu'!$A$6:$I$471,8,0),"")</f>
        <v/>
      </c>
      <c r="U1270" s="142"/>
      <c r="V1270" s="142" t="str">
        <f>_xlfn.IFNA(VLOOKUP(E1270,'Data Kyu'!$A$6:$I$471,4,0),"")</f>
        <v/>
      </c>
      <c r="X1270" s="214" t="str">
        <f>_xlfn.IFNA(VLOOKUP(F1270,'Data Kyu'!$C$6:$N$997,12,0),"No Data")</f>
        <v>No Data</v>
      </c>
    </row>
    <row r="1271" spans="2:24" ht="10.95" customHeight="1" x14ac:dyDescent="0.25">
      <c r="B1271" s="52"/>
      <c r="C1271" s="165" t="str">
        <f>IF(X1270="LULUS","V","")</f>
        <v/>
      </c>
      <c r="D1271" s="53"/>
      <c r="E1271" s="155"/>
      <c r="F1271" s="148"/>
      <c r="G1271" s="144"/>
      <c r="H1271" s="67"/>
      <c r="I1271" s="67"/>
      <c r="J1271" s="67"/>
      <c r="K1271" s="67"/>
      <c r="L1271" s="146"/>
      <c r="M1271" s="147"/>
      <c r="N1271" s="148"/>
      <c r="O1271" s="143"/>
      <c r="P1271" s="140"/>
      <c r="Q1271" s="143"/>
      <c r="R1271" s="143"/>
      <c r="S1271" s="140"/>
      <c r="T1271" s="143"/>
      <c r="U1271" s="144"/>
      <c r="V1271" s="147"/>
      <c r="X1271" s="214"/>
    </row>
    <row r="1272" spans="2:24" ht="10.95" customHeight="1" x14ac:dyDescent="0.25">
      <c r="B1272" s="52"/>
      <c r="C1272" s="166"/>
      <c r="D1272" s="53"/>
      <c r="E1272" s="155"/>
      <c r="F1272" s="167" t="str">
        <f>_xlfn.IFNA(VLOOKUP(E1270,'Data Kyu'!$A$6:$I$471,2,0),"")</f>
        <v/>
      </c>
      <c r="G1272" s="168"/>
      <c r="H1272" s="168"/>
      <c r="I1272" s="168"/>
      <c r="J1272" s="168"/>
      <c r="K1272" s="169"/>
      <c r="L1272" s="146"/>
      <c r="M1272" s="147"/>
      <c r="N1272" s="173" t="s">
        <v>6</v>
      </c>
      <c r="O1272" s="159"/>
      <c r="P1272" s="57"/>
      <c r="Q1272" s="159" t="s">
        <v>7</v>
      </c>
      <c r="R1272" s="159"/>
      <c r="S1272" s="57"/>
      <c r="T1272" s="159" t="s">
        <v>8</v>
      </c>
      <c r="U1272" s="160"/>
      <c r="V1272" s="175"/>
      <c r="X1272" s="214"/>
    </row>
    <row r="1273" spans="2:24" ht="10.95" customHeight="1" x14ac:dyDescent="0.25">
      <c r="B1273" s="54"/>
      <c r="C1273" s="76"/>
      <c r="D1273" s="56"/>
      <c r="E1273" s="156"/>
      <c r="F1273" s="170"/>
      <c r="G1273" s="171"/>
      <c r="H1273" s="171"/>
      <c r="I1273" s="171"/>
      <c r="J1273" s="171"/>
      <c r="K1273" s="172"/>
      <c r="L1273" s="148"/>
      <c r="M1273" s="144"/>
      <c r="N1273" s="174"/>
      <c r="O1273" s="161"/>
      <c r="P1273" s="27"/>
      <c r="Q1273" s="161"/>
      <c r="R1273" s="161"/>
      <c r="S1273" s="27"/>
      <c r="T1273" s="161"/>
      <c r="U1273" s="162"/>
      <c r="V1273" s="176"/>
      <c r="X1273" s="214"/>
    </row>
    <row r="1274" spans="2:24" ht="10.95" customHeight="1" x14ac:dyDescent="0.25">
      <c r="B1274" s="41"/>
      <c r="C1274" s="77"/>
      <c r="D1274" s="42"/>
      <c r="E1274" s="154">
        <f t="shared" ref="E1274" si="48">E1270+1</f>
        <v>163</v>
      </c>
      <c r="F1274" s="145" t="str">
        <f>_xlfn.IFNA(VLOOKUP(E1274,'Data Kyu'!$A$6:$I$471,3,0),"")</f>
        <v/>
      </c>
      <c r="G1274" s="142"/>
      <c r="H1274" s="66"/>
      <c r="I1274" s="66"/>
      <c r="J1274" s="66"/>
      <c r="K1274" s="66"/>
      <c r="L1274" s="145" t="str">
        <f>_xlfn.IFNA(VLOOKUP(E1274,'Data Kyu'!$A$6:$I$471,9,0),"")</f>
        <v/>
      </c>
      <c r="M1274" s="142"/>
      <c r="N1274" s="145" t="str">
        <f>_xlfn.IFNA(VLOOKUP(E1274,'Data Kyu'!$A$6:$I$471,6,0),"")</f>
        <v/>
      </c>
      <c r="O1274" s="141"/>
      <c r="P1274" s="139" t="s">
        <v>5</v>
      </c>
      <c r="Q1274" s="141" t="str">
        <f>_xlfn.IFNA(VLOOKUP(E1274,'Data Kyu'!$A$6:$I$471,7,0),"")</f>
        <v/>
      </c>
      <c r="R1274" s="141"/>
      <c r="S1274" s="139" t="s">
        <v>5</v>
      </c>
      <c r="T1274" s="141" t="str">
        <f>_xlfn.IFNA(VLOOKUP(E1274,'Data Kyu'!$A$6:$I$471,8,0),"")</f>
        <v/>
      </c>
      <c r="U1274" s="142"/>
      <c r="V1274" s="142" t="str">
        <f>_xlfn.IFNA(VLOOKUP(E1274,'Data Kyu'!$A$6:$I$471,4,0),"")</f>
        <v/>
      </c>
      <c r="X1274" s="214" t="str">
        <f>_xlfn.IFNA(VLOOKUP(F1274,'Data Kyu'!$C$6:$N$997,12,0),"No Data")</f>
        <v>No Data</v>
      </c>
    </row>
    <row r="1275" spans="2:24" ht="10.95" customHeight="1" x14ac:dyDescent="0.25">
      <c r="B1275" s="52"/>
      <c r="C1275" s="165" t="str">
        <f>IF(X1274="LULUS","V","")</f>
        <v/>
      </c>
      <c r="D1275" s="53"/>
      <c r="E1275" s="155"/>
      <c r="F1275" s="148"/>
      <c r="G1275" s="144"/>
      <c r="H1275" s="67"/>
      <c r="I1275" s="67"/>
      <c r="J1275" s="67"/>
      <c r="K1275" s="67"/>
      <c r="L1275" s="146"/>
      <c r="M1275" s="147"/>
      <c r="N1275" s="148"/>
      <c r="O1275" s="143"/>
      <c r="P1275" s="140"/>
      <c r="Q1275" s="143"/>
      <c r="R1275" s="143"/>
      <c r="S1275" s="140"/>
      <c r="T1275" s="143"/>
      <c r="U1275" s="144"/>
      <c r="V1275" s="147"/>
      <c r="X1275" s="214"/>
    </row>
    <row r="1276" spans="2:24" ht="10.95" customHeight="1" x14ac:dyDescent="0.25">
      <c r="B1276" s="52"/>
      <c r="C1276" s="166"/>
      <c r="D1276" s="53"/>
      <c r="E1276" s="155"/>
      <c r="F1276" s="167" t="str">
        <f>_xlfn.IFNA(VLOOKUP(E1274,'Data Kyu'!$A$6:$I$471,2,0),"")</f>
        <v/>
      </c>
      <c r="G1276" s="168"/>
      <c r="H1276" s="168"/>
      <c r="I1276" s="168"/>
      <c r="J1276" s="168"/>
      <c r="K1276" s="169"/>
      <c r="L1276" s="146"/>
      <c r="M1276" s="147"/>
      <c r="N1276" s="173" t="s">
        <v>6</v>
      </c>
      <c r="O1276" s="159"/>
      <c r="P1276" s="57"/>
      <c r="Q1276" s="159" t="s">
        <v>7</v>
      </c>
      <c r="R1276" s="159"/>
      <c r="S1276" s="57"/>
      <c r="T1276" s="159" t="s">
        <v>8</v>
      </c>
      <c r="U1276" s="160"/>
      <c r="V1276" s="175"/>
      <c r="X1276" s="214"/>
    </row>
    <row r="1277" spans="2:24" ht="10.95" customHeight="1" x14ac:dyDescent="0.25">
      <c r="B1277" s="54"/>
      <c r="C1277" s="76"/>
      <c r="D1277" s="56"/>
      <c r="E1277" s="156"/>
      <c r="F1277" s="170"/>
      <c r="G1277" s="171"/>
      <c r="H1277" s="171"/>
      <c r="I1277" s="171"/>
      <c r="J1277" s="171"/>
      <c r="K1277" s="172"/>
      <c r="L1277" s="148"/>
      <c r="M1277" s="144"/>
      <c r="N1277" s="174"/>
      <c r="O1277" s="161"/>
      <c r="P1277" s="27"/>
      <c r="Q1277" s="161"/>
      <c r="R1277" s="161"/>
      <c r="S1277" s="27"/>
      <c r="T1277" s="161"/>
      <c r="U1277" s="162"/>
      <c r="V1277" s="176"/>
      <c r="X1277" s="214"/>
    </row>
    <row r="1278" spans="2:24" ht="10.95" customHeight="1" x14ac:dyDescent="0.25">
      <c r="B1278" s="41"/>
      <c r="C1278" s="77"/>
      <c r="D1278" s="42"/>
      <c r="E1278" s="154">
        <f t="shared" ref="E1278" si="49">E1274+1</f>
        <v>164</v>
      </c>
      <c r="F1278" s="145" t="str">
        <f>_xlfn.IFNA(VLOOKUP(E1278,'Data Kyu'!$A$6:$I$471,3,0),"")</f>
        <v/>
      </c>
      <c r="G1278" s="142"/>
      <c r="H1278" s="66"/>
      <c r="I1278" s="66"/>
      <c r="J1278" s="66"/>
      <c r="K1278" s="66"/>
      <c r="L1278" s="145" t="str">
        <f>_xlfn.IFNA(VLOOKUP(E1278,'Data Kyu'!$A$6:$I$471,9,0),"")</f>
        <v/>
      </c>
      <c r="M1278" s="142"/>
      <c r="N1278" s="145" t="str">
        <f>_xlfn.IFNA(VLOOKUP(E1278,'Data Kyu'!$A$6:$I$471,6,0),"")</f>
        <v/>
      </c>
      <c r="O1278" s="141"/>
      <c r="P1278" s="139" t="s">
        <v>5</v>
      </c>
      <c r="Q1278" s="141" t="str">
        <f>_xlfn.IFNA(VLOOKUP(E1278,'Data Kyu'!$A$6:$I$471,7,0),"")</f>
        <v/>
      </c>
      <c r="R1278" s="141"/>
      <c r="S1278" s="139" t="s">
        <v>5</v>
      </c>
      <c r="T1278" s="141" t="str">
        <f>_xlfn.IFNA(VLOOKUP(E1278,'Data Kyu'!$A$6:$I$471,8,0),"")</f>
        <v/>
      </c>
      <c r="U1278" s="142"/>
      <c r="V1278" s="142" t="str">
        <f>_xlfn.IFNA(VLOOKUP(E1278,'Data Kyu'!$A$6:$I$471,4,0),"")</f>
        <v/>
      </c>
      <c r="X1278" s="214" t="str">
        <f>_xlfn.IFNA(VLOOKUP(F1278,'Data Kyu'!$C$6:$N$997,12,0),"No Data")</f>
        <v>No Data</v>
      </c>
    </row>
    <row r="1279" spans="2:24" ht="10.95" customHeight="1" x14ac:dyDescent="0.25">
      <c r="B1279" s="52"/>
      <c r="C1279" s="165" t="str">
        <f>IF(X1278="LULUS","V","")</f>
        <v/>
      </c>
      <c r="D1279" s="53"/>
      <c r="E1279" s="155"/>
      <c r="F1279" s="148"/>
      <c r="G1279" s="144"/>
      <c r="H1279" s="67"/>
      <c r="I1279" s="67"/>
      <c r="J1279" s="67"/>
      <c r="K1279" s="67"/>
      <c r="L1279" s="146"/>
      <c r="M1279" s="147"/>
      <c r="N1279" s="148"/>
      <c r="O1279" s="143"/>
      <c r="P1279" s="140"/>
      <c r="Q1279" s="143"/>
      <c r="R1279" s="143"/>
      <c r="S1279" s="140"/>
      <c r="T1279" s="143"/>
      <c r="U1279" s="144"/>
      <c r="V1279" s="147"/>
      <c r="X1279" s="214"/>
    </row>
    <row r="1280" spans="2:24" ht="10.95" customHeight="1" x14ac:dyDescent="0.25">
      <c r="B1280" s="52"/>
      <c r="C1280" s="166"/>
      <c r="D1280" s="53"/>
      <c r="E1280" s="155"/>
      <c r="F1280" s="167" t="str">
        <f>_xlfn.IFNA(VLOOKUP(E1278,'Data Kyu'!$A$6:$I$471,2,0),"")</f>
        <v/>
      </c>
      <c r="G1280" s="168"/>
      <c r="H1280" s="168"/>
      <c r="I1280" s="168"/>
      <c r="J1280" s="168"/>
      <c r="K1280" s="169"/>
      <c r="L1280" s="146"/>
      <c r="M1280" s="147"/>
      <c r="N1280" s="173" t="s">
        <v>6</v>
      </c>
      <c r="O1280" s="159"/>
      <c r="P1280" s="57"/>
      <c r="Q1280" s="159" t="s">
        <v>7</v>
      </c>
      <c r="R1280" s="159"/>
      <c r="S1280" s="57"/>
      <c r="T1280" s="159" t="s">
        <v>8</v>
      </c>
      <c r="U1280" s="160"/>
      <c r="V1280" s="175"/>
      <c r="X1280" s="214"/>
    </row>
    <row r="1281" spans="2:24" ht="10.95" customHeight="1" x14ac:dyDescent="0.25">
      <c r="B1281" s="54"/>
      <c r="C1281" s="76"/>
      <c r="D1281" s="56"/>
      <c r="E1281" s="156"/>
      <c r="F1281" s="170"/>
      <c r="G1281" s="171"/>
      <c r="H1281" s="171"/>
      <c r="I1281" s="171"/>
      <c r="J1281" s="171"/>
      <c r="K1281" s="172"/>
      <c r="L1281" s="148"/>
      <c r="M1281" s="144"/>
      <c r="N1281" s="174"/>
      <c r="O1281" s="161"/>
      <c r="P1281" s="27"/>
      <c r="Q1281" s="161"/>
      <c r="R1281" s="161"/>
      <c r="S1281" s="27"/>
      <c r="T1281" s="161"/>
      <c r="U1281" s="162"/>
      <c r="V1281" s="176"/>
      <c r="X1281" s="214"/>
    </row>
    <row r="1282" spans="2:24" ht="10.95" customHeight="1" x14ac:dyDescent="0.25">
      <c r="B1282" s="41"/>
      <c r="C1282" s="77"/>
      <c r="D1282" s="42"/>
      <c r="E1282" s="154">
        <f t="shared" ref="E1282" si="50">E1278+1</f>
        <v>165</v>
      </c>
      <c r="F1282" s="145" t="str">
        <f>_xlfn.IFNA(VLOOKUP(E1282,'Data Kyu'!$A$6:$I$471,3,0),"")</f>
        <v/>
      </c>
      <c r="G1282" s="142"/>
      <c r="H1282" s="66"/>
      <c r="I1282" s="66"/>
      <c r="J1282" s="66"/>
      <c r="K1282" s="66"/>
      <c r="L1282" s="145" t="str">
        <f>_xlfn.IFNA(VLOOKUP(E1282,'Data Kyu'!$A$6:$I$471,9,0),"")</f>
        <v/>
      </c>
      <c r="M1282" s="142"/>
      <c r="N1282" s="145" t="str">
        <f>_xlfn.IFNA(VLOOKUP(E1282,'Data Kyu'!$A$6:$I$471,6,0),"")</f>
        <v/>
      </c>
      <c r="O1282" s="141"/>
      <c r="P1282" s="139" t="s">
        <v>5</v>
      </c>
      <c r="Q1282" s="141" t="str">
        <f>_xlfn.IFNA(VLOOKUP(E1282,'Data Kyu'!$A$6:$I$471,7,0),"")</f>
        <v/>
      </c>
      <c r="R1282" s="141"/>
      <c r="S1282" s="139" t="s">
        <v>5</v>
      </c>
      <c r="T1282" s="141" t="str">
        <f>_xlfn.IFNA(VLOOKUP(E1282,'Data Kyu'!$A$6:$I$471,8,0),"")</f>
        <v/>
      </c>
      <c r="U1282" s="142"/>
      <c r="V1282" s="142" t="str">
        <f>_xlfn.IFNA(VLOOKUP(E1282,'Data Kyu'!$A$6:$I$471,4,0),"")</f>
        <v/>
      </c>
      <c r="X1282" s="214" t="str">
        <f>_xlfn.IFNA(VLOOKUP(F1282,'Data Kyu'!$C$6:$N$997,12,0),"No Data")</f>
        <v>No Data</v>
      </c>
    </row>
    <row r="1283" spans="2:24" ht="10.95" customHeight="1" x14ac:dyDescent="0.25">
      <c r="B1283" s="52"/>
      <c r="C1283" s="165" t="str">
        <f>IF(X1282="LULUS","V","")</f>
        <v/>
      </c>
      <c r="D1283" s="53"/>
      <c r="E1283" s="155"/>
      <c r="F1283" s="148"/>
      <c r="G1283" s="144"/>
      <c r="H1283" s="67"/>
      <c r="I1283" s="67"/>
      <c r="J1283" s="67"/>
      <c r="K1283" s="67"/>
      <c r="L1283" s="146"/>
      <c r="M1283" s="147"/>
      <c r="N1283" s="148"/>
      <c r="O1283" s="143"/>
      <c r="P1283" s="140"/>
      <c r="Q1283" s="143"/>
      <c r="R1283" s="143"/>
      <c r="S1283" s="140"/>
      <c r="T1283" s="143"/>
      <c r="U1283" s="144"/>
      <c r="V1283" s="147"/>
      <c r="X1283" s="214"/>
    </row>
    <row r="1284" spans="2:24" ht="10.95" customHeight="1" x14ac:dyDescent="0.25">
      <c r="B1284" s="52"/>
      <c r="C1284" s="166"/>
      <c r="D1284" s="53"/>
      <c r="E1284" s="155"/>
      <c r="F1284" s="167" t="str">
        <f>_xlfn.IFNA(VLOOKUP(E1282,'Data Kyu'!$A$6:$I$471,2,0),"")</f>
        <v/>
      </c>
      <c r="G1284" s="168"/>
      <c r="H1284" s="168"/>
      <c r="I1284" s="168"/>
      <c r="J1284" s="168"/>
      <c r="K1284" s="169"/>
      <c r="L1284" s="146"/>
      <c r="M1284" s="147"/>
      <c r="N1284" s="173" t="s">
        <v>6</v>
      </c>
      <c r="O1284" s="159"/>
      <c r="P1284" s="57"/>
      <c r="Q1284" s="159" t="s">
        <v>7</v>
      </c>
      <c r="R1284" s="159"/>
      <c r="S1284" s="57"/>
      <c r="T1284" s="159" t="s">
        <v>8</v>
      </c>
      <c r="U1284" s="160"/>
      <c r="V1284" s="175"/>
      <c r="X1284" s="214"/>
    </row>
    <row r="1285" spans="2:24" ht="10.95" customHeight="1" x14ac:dyDescent="0.25">
      <c r="B1285" s="54"/>
      <c r="C1285" s="76"/>
      <c r="D1285" s="56"/>
      <c r="E1285" s="156"/>
      <c r="F1285" s="170"/>
      <c r="G1285" s="171"/>
      <c r="H1285" s="171"/>
      <c r="I1285" s="171"/>
      <c r="J1285" s="171"/>
      <c r="K1285" s="172"/>
      <c r="L1285" s="148"/>
      <c r="M1285" s="144"/>
      <c r="N1285" s="174"/>
      <c r="O1285" s="161"/>
      <c r="P1285" s="27"/>
      <c r="Q1285" s="161"/>
      <c r="R1285" s="161"/>
      <c r="S1285" s="27"/>
      <c r="T1285" s="161"/>
      <c r="U1285" s="162"/>
      <c r="V1285" s="176"/>
      <c r="X1285" s="214"/>
    </row>
    <row r="1286" spans="2:24" ht="10.95" customHeight="1" x14ac:dyDescent="0.25">
      <c r="B1286" s="41"/>
      <c r="C1286" s="77"/>
      <c r="D1286" s="42"/>
      <c r="E1286" s="154">
        <f t="shared" ref="E1286" si="51">E1282+1</f>
        <v>166</v>
      </c>
      <c r="F1286" s="145" t="str">
        <f>_xlfn.IFNA(VLOOKUP(E1286,'Data Kyu'!$A$6:$I$471,3,0),"")</f>
        <v/>
      </c>
      <c r="G1286" s="142"/>
      <c r="H1286" s="66"/>
      <c r="I1286" s="66"/>
      <c r="J1286" s="66"/>
      <c r="K1286" s="66"/>
      <c r="L1286" s="145" t="str">
        <f>_xlfn.IFNA(VLOOKUP(E1286,'Data Kyu'!$A$6:$I$471,9,0),"")</f>
        <v/>
      </c>
      <c r="M1286" s="142"/>
      <c r="N1286" s="145" t="str">
        <f>_xlfn.IFNA(VLOOKUP(E1286,'Data Kyu'!$A$6:$I$471,6,0),"")</f>
        <v/>
      </c>
      <c r="O1286" s="141"/>
      <c r="P1286" s="139" t="s">
        <v>5</v>
      </c>
      <c r="Q1286" s="141" t="str">
        <f>_xlfn.IFNA(VLOOKUP(E1286,'Data Kyu'!$A$6:$I$471,7,0),"")</f>
        <v/>
      </c>
      <c r="R1286" s="141"/>
      <c r="S1286" s="139" t="s">
        <v>5</v>
      </c>
      <c r="T1286" s="141" t="str">
        <f>_xlfn.IFNA(VLOOKUP(E1286,'Data Kyu'!$A$6:$I$471,8,0),"")</f>
        <v/>
      </c>
      <c r="U1286" s="142"/>
      <c r="V1286" s="142" t="str">
        <f>_xlfn.IFNA(VLOOKUP(E1286,'Data Kyu'!$A$6:$I$471,4,0),"")</f>
        <v/>
      </c>
      <c r="X1286" s="214" t="str">
        <f>_xlfn.IFNA(VLOOKUP(F1286,'Data Kyu'!$C$6:$N$997,12,0),"No Data")</f>
        <v>No Data</v>
      </c>
    </row>
    <row r="1287" spans="2:24" ht="10.95" customHeight="1" x14ac:dyDescent="0.25">
      <c r="B1287" s="52"/>
      <c r="C1287" s="165" t="str">
        <f>IF(X1286="LULUS","V","")</f>
        <v/>
      </c>
      <c r="D1287" s="53"/>
      <c r="E1287" s="155"/>
      <c r="F1287" s="148"/>
      <c r="G1287" s="144"/>
      <c r="H1287" s="67"/>
      <c r="I1287" s="67"/>
      <c r="J1287" s="67"/>
      <c r="K1287" s="67"/>
      <c r="L1287" s="146"/>
      <c r="M1287" s="147"/>
      <c r="N1287" s="148"/>
      <c r="O1287" s="143"/>
      <c r="P1287" s="140"/>
      <c r="Q1287" s="143"/>
      <c r="R1287" s="143"/>
      <c r="S1287" s="140"/>
      <c r="T1287" s="143"/>
      <c r="U1287" s="144"/>
      <c r="V1287" s="147"/>
      <c r="X1287" s="214"/>
    </row>
    <row r="1288" spans="2:24" ht="10.95" customHeight="1" x14ac:dyDescent="0.25">
      <c r="B1288" s="52"/>
      <c r="C1288" s="166"/>
      <c r="D1288" s="53"/>
      <c r="E1288" s="155"/>
      <c r="F1288" s="167" t="str">
        <f>_xlfn.IFNA(VLOOKUP(E1286,'Data Kyu'!$A$6:$I$471,2,0),"")</f>
        <v/>
      </c>
      <c r="G1288" s="168"/>
      <c r="H1288" s="168"/>
      <c r="I1288" s="168"/>
      <c r="J1288" s="168"/>
      <c r="K1288" s="169"/>
      <c r="L1288" s="146"/>
      <c r="M1288" s="147"/>
      <c r="N1288" s="173" t="s">
        <v>6</v>
      </c>
      <c r="O1288" s="159"/>
      <c r="P1288" s="57"/>
      <c r="Q1288" s="159" t="s">
        <v>7</v>
      </c>
      <c r="R1288" s="159"/>
      <c r="S1288" s="57"/>
      <c r="T1288" s="159" t="s">
        <v>8</v>
      </c>
      <c r="U1288" s="160"/>
      <c r="V1288" s="175"/>
      <c r="X1288" s="214"/>
    </row>
    <row r="1289" spans="2:24" ht="10.95" customHeight="1" x14ac:dyDescent="0.25">
      <c r="B1289" s="54"/>
      <c r="C1289" s="76"/>
      <c r="D1289" s="56"/>
      <c r="E1289" s="156"/>
      <c r="F1289" s="170"/>
      <c r="G1289" s="171"/>
      <c r="H1289" s="171"/>
      <c r="I1289" s="171"/>
      <c r="J1289" s="171"/>
      <c r="K1289" s="172"/>
      <c r="L1289" s="148"/>
      <c r="M1289" s="144"/>
      <c r="N1289" s="174"/>
      <c r="O1289" s="161"/>
      <c r="P1289" s="27"/>
      <c r="Q1289" s="161"/>
      <c r="R1289" s="161"/>
      <c r="S1289" s="27"/>
      <c r="T1289" s="161"/>
      <c r="U1289" s="162"/>
      <c r="V1289" s="176"/>
      <c r="X1289" s="214"/>
    </row>
    <row r="1290" spans="2:24" ht="10.95" customHeight="1" x14ac:dyDescent="0.25">
      <c r="B1290" s="41"/>
      <c r="C1290" s="77"/>
      <c r="D1290" s="42"/>
      <c r="E1290" s="154">
        <f t="shared" ref="E1290" si="52">E1286+1</f>
        <v>167</v>
      </c>
      <c r="F1290" s="145" t="str">
        <f>_xlfn.IFNA(VLOOKUP(E1290,'Data Kyu'!$A$6:$I$471,3,0),"")</f>
        <v/>
      </c>
      <c r="G1290" s="142"/>
      <c r="H1290" s="66"/>
      <c r="I1290" s="66"/>
      <c r="J1290" s="66"/>
      <c r="K1290" s="66"/>
      <c r="L1290" s="145" t="str">
        <f>_xlfn.IFNA(VLOOKUP(E1290,'Data Kyu'!$A$6:$I$471,9,0),"")</f>
        <v/>
      </c>
      <c r="M1290" s="142"/>
      <c r="N1290" s="145" t="str">
        <f>_xlfn.IFNA(VLOOKUP(E1290,'Data Kyu'!$A$6:$I$471,6,0),"")</f>
        <v/>
      </c>
      <c r="O1290" s="141"/>
      <c r="P1290" s="139" t="s">
        <v>5</v>
      </c>
      <c r="Q1290" s="141" t="str">
        <f>_xlfn.IFNA(VLOOKUP(E1290,'Data Kyu'!$A$6:$I$471,7,0),"")</f>
        <v/>
      </c>
      <c r="R1290" s="141"/>
      <c r="S1290" s="139" t="s">
        <v>5</v>
      </c>
      <c r="T1290" s="141" t="str">
        <f>_xlfn.IFNA(VLOOKUP(E1290,'Data Kyu'!$A$6:$I$471,8,0),"")</f>
        <v/>
      </c>
      <c r="U1290" s="142"/>
      <c r="V1290" s="142" t="str">
        <f>_xlfn.IFNA(VLOOKUP(E1290,'Data Kyu'!$A$6:$I$471,4,0),"")</f>
        <v/>
      </c>
      <c r="X1290" s="214" t="str">
        <f>_xlfn.IFNA(VLOOKUP(F1290,'Data Kyu'!$C$6:$N$997,12,0),"No Data")</f>
        <v>No Data</v>
      </c>
    </row>
    <row r="1291" spans="2:24" ht="10.95" customHeight="1" x14ac:dyDescent="0.25">
      <c r="B1291" s="52"/>
      <c r="C1291" s="165" t="str">
        <f>IF(X1290="LULUS","V","")</f>
        <v/>
      </c>
      <c r="D1291" s="53"/>
      <c r="E1291" s="155"/>
      <c r="F1291" s="148"/>
      <c r="G1291" s="144"/>
      <c r="H1291" s="67"/>
      <c r="I1291" s="67"/>
      <c r="J1291" s="67"/>
      <c r="K1291" s="67"/>
      <c r="L1291" s="146"/>
      <c r="M1291" s="147"/>
      <c r="N1291" s="148"/>
      <c r="O1291" s="143"/>
      <c r="P1291" s="140"/>
      <c r="Q1291" s="143"/>
      <c r="R1291" s="143"/>
      <c r="S1291" s="140"/>
      <c r="T1291" s="143"/>
      <c r="U1291" s="144"/>
      <c r="V1291" s="147"/>
      <c r="X1291" s="214"/>
    </row>
    <row r="1292" spans="2:24" ht="10.95" customHeight="1" x14ac:dyDescent="0.25">
      <c r="B1292" s="52"/>
      <c r="C1292" s="166"/>
      <c r="D1292" s="53"/>
      <c r="E1292" s="155"/>
      <c r="F1292" s="167" t="str">
        <f>_xlfn.IFNA(VLOOKUP(E1290,'Data Kyu'!$A$6:$I$471,2,0),"")</f>
        <v/>
      </c>
      <c r="G1292" s="168"/>
      <c r="H1292" s="168"/>
      <c r="I1292" s="168"/>
      <c r="J1292" s="168"/>
      <c r="K1292" s="169"/>
      <c r="L1292" s="146"/>
      <c r="M1292" s="147"/>
      <c r="N1292" s="173" t="s">
        <v>6</v>
      </c>
      <c r="O1292" s="159"/>
      <c r="P1292" s="57"/>
      <c r="Q1292" s="159" t="s">
        <v>7</v>
      </c>
      <c r="R1292" s="159"/>
      <c r="S1292" s="57"/>
      <c r="T1292" s="159" t="s">
        <v>8</v>
      </c>
      <c r="U1292" s="160"/>
      <c r="V1292" s="175"/>
      <c r="X1292" s="214"/>
    </row>
    <row r="1293" spans="2:24" ht="10.95" customHeight="1" x14ac:dyDescent="0.25">
      <c r="B1293" s="54"/>
      <c r="C1293" s="76"/>
      <c r="D1293" s="56"/>
      <c r="E1293" s="156"/>
      <c r="F1293" s="170"/>
      <c r="G1293" s="171"/>
      <c r="H1293" s="171"/>
      <c r="I1293" s="171"/>
      <c r="J1293" s="171"/>
      <c r="K1293" s="172"/>
      <c r="L1293" s="148"/>
      <c r="M1293" s="144"/>
      <c r="N1293" s="174"/>
      <c r="O1293" s="161"/>
      <c r="P1293" s="27"/>
      <c r="Q1293" s="161"/>
      <c r="R1293" s="161"/>
      <c r="S1293" s="27"/>
      <c r="T1293" s="161"/>
      <c r="U1293" s="162"/>
      <c r="V1293" s="176"/>
      <c r="X1293" s="214"/>
    </row>
    <row r="1294" spans="2:24" ht="10.95" customHeight="1" x14ac:dyDescent="0.25">
      <c r="B1294" s="41"/>
      <c r="C1294" s="77"/>
      <c r="D1294" s="42"/>
      <c r="E1294" s="154">
        <f t="shared" ref="E1294" si="53">E1290+1</f>
        <v>168</v>
      </c>
      <c r="F1294" s="145" t="str">
        <f>_xlfn.IFNA(VLOOKUP(E1294,'Data Kyu'!$A$6:$I$471,3,0),"")</f>
        <v/>
      </c>
      <c r="G1294" s="142"/>
      <c r="H1294" s="66"/>
      <c r="I1294" s="66"/>
      <c r="J1294" s="66"/>
      <c r="K1294" s="66"/>
      <c r="L1294" s="145" t="str">
        <f>_xlfn.IFNA(VLOOKUP(E1294,'Data Kyu'!$A$6:$I$471,9,0),"")</f>
        <v/>
      </c>
      <c r="M1294" s="142"/>
      <c r="N1294" s="145" t="str">
        <f>_xlfn.IFNA(VLOOKUP(E1294,'Data Kyu'!$A$6:$I$471,6,0),"")</f>
        <v/>
      </c>
      <c r="O1294" s="141"/>
      <c r="P1294" s="139" t="s">
        <v>5</v>
      </c>
      <c r="Q1294" s="141" t="str">
        <f>_xlfn.IFNA(VLOOKUP(E1294,'Data Kyu'!$A$6:$I$471,7,0),"")</f>
        <v/>
      </c>
      <c r="R1294" s="141"/>
      <c r="S1294" s="139" t="s">
        <v>5</v>
      </c>
      <c r="T1294" s="141" t="str">
        <f>_xlfn.IFNA(VLOOKUP(E1294,'Data Kyu'!$A$6:$I$471,8,0),"")</f>
        <v/>
      </c>
      <c r="U1294" s="142"/>
      <c r="V1294" s="142" t="str">
        <f>_xlfn.IFNA(VLOOKUP(E1294,'Data Kyu'!$A$6:$I$471,4,0),"")</f>
        <v/>
      </c>
      <c r="X1294" s="214" t="str">
        <f>_xlfn.IFNA(VLOOKUP(F1294,'Data Kyu'!$C$6:$N$997,12,0),"No Data")</f>
        <v>No Data</v>
      </c>
    </row>
    <row r="1295" spans="2:24" ht="10.95" customHeight="1" x14ac:dyDescent="0.25">
      <c r="B1295" s="52"/>
      <c r="C1295" s="165" t="str">
        <f>IF(X1294="LULUS","V","")</f>
        <v/>
      </c>
      <c r="D1295" s="53"/>
      <c r="E1295" s="155"/>
      <c r="F1295" s="148"/>
      <c r="G1295" s="144"/>
      <c r="H1295" s="67"/>
      <c r="I1295" s="67"/>
      <c r="J1295" s="67"/>
      <c r="K1295" s="67"/>
      <c r="L1295" s="146"/>
      <c r="M1295" s="147"/>
      <c r="N1295" s="148"/>
      <c r="O1295" s="143"/>
      <c r="P1295" s="140"/>
      <c r="Q1295" s="143"/>
      <c r="R1295" s="143"/>
      <c r="S1295" s="140"/>
      <c r="T1295" s="143"/>
      <c r="U1295" s="144"/>
      <c r="V1295" s="147"/>
      <c r="X1295" s="214"/>
    </row>
    <row r="1296" spans="2:24" ht="10.95" customHeight="1" x14ac:dyDescent="0.25">
      <c r="B1296" s="52"/>
      <c r="C1296" s="166"/>
      <c r="D1296" s="53"/>
      <c r="E1296" s="155"/>
      <c r="F1296" s="167" t="str">
        <f>_xlfn.IFNA(VLOOKUP(E1294,'Data Kyu'!$A$6:$I$471,2,0),"")</f>
        <v/>
      </c>
      <c r="G1296" s="168"/>
      <c r="H1296" s="168"/>
      <c r="I1296" s="168"/>
      <c r="J1296" s="168"/>
      <c r="K1296" s="169"/>
      <c r="L1296" s="146"/>
      <c r="M1296" s="147"/>
      <c r="N1296" s="173" t="s">
        <v>6</v>
      </c>
      <c r="O1296" s="159"/>
      <c r="P1296" s="57"/>
      <c r="Q1296" s="159" t="s">
        <v>7</v>
      </c>
      <c r="R1296" s="159"/>
      <c r="S1296" s="57"/>
      <c r="T1296" s="159" t="s">
        <v>8</v>
      </c>
      <c r="U1296" s="160"/>
      <c r="V1296" s="175"/>
      <c r="X1296" s="214"/>
    </row>
    <row r="1297" spans="2:24" ht="10.95" customHeight="1" x14ac:dyDescent="0.25">
      <c r="B1297" s="54"/>
      <c r="C1297" s="76"/>
      <c r="D1297" s="56"/>
      <c r="E1297" s="156"/>
      <c r="F1297" s="170"/>
      <c r="G1297" s="171"/>
      <c r="H1297" s="171"/>
      <c r="I1297" s="171"/>
      <c r="J1297" s="171"/>
      <c r="K1297" s="172"/>
      <c r="L1297" s="148"/>
      <c r="M1297" s="144"/>
      <c r="N1297" s="174"/>
      <c r="O1297" s="161"/>
      <c r="P1297" s="27"/>
      <c r="Q1297" s="161"/>
      <c r="R1297" s="161"/>
      <c r="S1297" s="27"/>
      <c r="T1297" s="161"/>
      <c r="U1297" s="162"/>
      <c r="V1297" s="176"/>
      <c r="X1297" s="214"/>
    </row>
    <row r="1298" spans="2:24" ht="10.95" customHeight="1" x14ac:dyDescent="0.25">
      <c r="B1298" s="41"/>
      <c r="C1298" s="77"/>
      <c r="D1298" s="42"/>
      <c r="E1298" s="154">
        <f t="shared" ref="E1298" si="54">E1294+1</f>
        <v>169</v>
      </c>
      <c r="F1298" s="145" t="str">
        <f>_xlfn.IFNA(VLOOKUP(E1298,'Data Kyu'!$A$6:$I$471,3,0),"")</f>
        <v/>
      </c>
      <c r="G1298" s="142"/>
      <c r="H1298" s="66"/>
      <c r="I1298" s="66"/>
      <c r="J1298" s="66"/>
      <c r="K1298" s="66"/>
      <c r="L1298" s="145" t="str">
        <f>_xlfn.IFNA(VLOOKUP(E1298,'Data Kyu'!$A$6:$I$471,9,0),"")</f>
        <v/>
      </c>
      <c r="M1298" s="142"/>
      <c r="N1298" s="145" t="str">
        <f>_xlfn.IFNA(VLOOKUP(E1298,'Data Kyu'!$A$6:$I$471,6,0),"")</f>
        <v/>
      </c>
      <c r="O1298" s="141"/>
      <c r="P1298" s="139" t="s">
        <v>5</v>
      </c>
      <c r="Q1298" s="141" t="str">
        <f>_xlfn.IFNA(VLOOKUP(E1298,'Data Kyu'!$A$6:$I$471,7,0),"")</f>
        <v/>
      </c>
      <c r="R1298" s="141"/>
      <c r="S1298" s="139" t="s">
        <v>5</v>
      </c>
      <c r="T1298" s="141" t="str">
        <f>_xlfn.IFNA(VLOOKUP(E1298,'Data Kyu'!$A$6:$I$471,8,0),"")</f>
        <v/>
      </c>
      <c r="U1298" s="142"/>
      <c r="V1298" s="142" t="str">
        <f>_xlfn.IFNA(VLOOKUP(E1298,'Data Kyu'!$A$6:$I$471,4,0),"")</f>
        <v/>
      </c>
      <c r="X1298" s="214" t="str">
        <f>_xlfn.IFNA(VLOOKUP(F1298,'Data Kyu'!$C$6:$N$997,12,0),"No Data")</f>
        <v>No Data</v>
      </c>
    </row>
    <row r="1299" spans="2:24" ht="10.95" customHeight="1" x14ac:dyDescent="0.25">
      <c r="B1299" s="52"/>
      <c r="C1299" s="165" t="str">
        <f>IF(X1298="LULUS","V","")</f>
        <v/>
      </c>
      <c r="D1299" s="53"/>
      <c r="E1299" s="155"/>
      <c r="F1299" s="148"/>
      <c r="G1299" s="144"/>
      <c r="H1299" s="67"/>
      <c r="I1299" s="67"/>
      <c r="J1299" s="67"/>
      <c r="K1299" s="67"/>
      <c r="L1299" s="146"/>
      <c r="M1299" s="147"/>
      <c r="N1299" s="148"/>
      <c r="O1299" s="143"/>
      <c r="P1299" s="140"/>
      <c r="Q1299" s="143"/>
      <c r="R1299" s="143"/>
      <c r="S1299" s="140"/>
      <c r="T1299" s="143"/>
      <c r="U1299" s="144"/>
      <c r="V1299" s="147"/>
      <c r="X1299" s="214"/>
    </row>
    <row r="1300" spans="2:24" ht="10.95" customHeight="1" x14ac:dyDescent="0.25">
      <c r="B1300" s="52"/>
      <c r="C1300" s="166"/>
      <c r="D1300" s="53"/>
      <c r="E1300" s="155"/>
      <c r="F1300" s="167" t="str">
        <f>_xlfn.IFNA(VLOOKUP(E1298,'Data Kyu'!$A$6:$I$471,2,0),"")</f>
        <v/>
      </c>
      <c r="G1300" s="168"/>
      <c r="H1300" s="168"/>
      <c r="I1300" s="168"/>
      <c r="J1300" s="168"/>
      <c r="K1300" s="169"/>
      <c r="L1300" s="146"/>
      <c r="M1300" s="147"/>
      <c r="N1300" s="173" t="s">
        <v>6</v>
      </c>
      <c r="O1300" s="159"/>
      <c r="P1300" s="57"/>
      <c r="Q1300" s="159" t="s">
        <v>7</v>
      </c>
      <c r="R1300" s="159"/>
      <c r="S1300" s="57"/>
      <c r="T1300" s="159" t="s">
        <v>8</v>
      </c>
      <c r="U1300" s="160"/>
      <c r="V1300" s="175"/>
      <c r="X1300" s="214"/>
    </row>
    <row r="1301" spans="2:24" ht="10.95" customHeight="1" x14ac:dyDescent="0.25">
      <c r="B1301" s="54"/>
      <c r="C1301" s="76"/>
      <c r="D1301" s="56"/>
      <c r="E1301" s="156"/>
      <c r="F1301" s="170"/>
      <c r="G1301" s="171"/>
      <c r="H1301" s="171"/>
      <c r="I1301" s="171"/>
      <c r="J1301" s="171"/>
      <c r="K1301" s="172"/>
      <c r="L1301" s="148"/>
      <c r="M1301" s="144"/>
      <c r="N1301" s="174"/>
      <c r="O1301" s="161"/>
      <c r="P1301" s="27"/>
      <c r="Q1301" s="161"/>
      <c r="R1301" s="161"/>
      <c r="S1301" s="27"/>
      <c r="T1301" s="161"/>
      <c r="U1301" s="162"/>
      <c r="V1301" s="176"/>
      <c r="X1301" s="214"/>
    </row>
    <row r="1302" spans="2:24" ht="10.95" customHeight="1" x14ac:dyDescent="0.25">
      <c r="B1302" s="41"/>
      <c r="C1302" s="77"/>
      <c r="D1302" s="42"/>
      <c r="E1302" s="154">
        <f t="shared" ref="E1302" si="55">E1298+1</f>
        <v>170</v>
      </c>
      <c r="F1302" s="145" t="str">
        <f>_xlfn.IFNA(VLOOKUP(E1302,'Data Kyu'!$A$6:$I$471,3,0),"")</f>
        <v/>
      </c>
      <c r="G1302" s="142"/>
      <c r="H1302" s="66"/>
      <c r="I1302" s="66"/>
      <c r="J1302" s="66"/>
      <c r="K1302" s="66"/>
      <c r="L1302" s="145" t="str">
        <f>_xlfn.IFNA(VLOOKUP(E1302,'Data Kyu'!$A$6:$I$471,9,0),"")</f>
        <v/>
      </c>
      <c r="M1302" s="142"/>
      <c r="N1302" s="145" t="str">
        <f>_xlfn.IFNA(VLOOKUP(E1302,'Data Kyu'!$A$6:$I$471,6,0),"")</f>
        <v/>
      </c>
      <c r="O1302" s="141"/>
      <c r="P1302" s="139" t="s">
        <v>5</v>
      </c>
      <c r="Q1302" s="141" t="str">
        <f>_xlfn.IFNA(VLOOKUP(E1302,'Data Kyu'!$A$6:$I$471,7,0),"")</f>
        <v/>
      </c>
      <c r="R1302" s="141"/>
      <c r="S1302" s="139" t="s">
        <v>5</v>
      </c>
      <c r="T1302" s="141" t="str">
        <f>_xlfn.IFNA(VLOOKUP(E1302,'Data Kyu'!$A$6:$I$471,8,0),"")</f>
        <v/>
      </c>
      <c r="U1302" s="142"/>
      <c r="V1302" s="142" t="str">
        <f>_xlfn.IFNA(VLOOKUP(E1302,'Data Kyu'!$A$6:$I$471,4,0),"")</f>
        <v/>
      </c>
      <c r="X1302" s="214" t="str">
        <f>_xlfn.IFNA(VLOOKUP(F1302,'Data Kyu'!$C$6:$N$997,12,0),"No Data")</f>
        <v>No Data</v>
      </c>
    </row>
    <row r="1303" spans="2:24" ht="10.95" customHeight="1" x14ac:dyDescent="0.25">
      <c r="B1303" s="52"/>
      <c r="C1303" s="165" t="str">
        <f>IF(X1302="LULUS","V","")</f>
        <v/>
      </c>
      <c r="D1303" s="53"/>
      <c r="E1303" s="155"/>
      <c r="F1303" s="148"/>
      <c r="G1303" s="144"/>
      <c r="H1303" s="67"/>
      <c r="I1303" s="67"/>
      <c r="J1303" s="67"/>
      <c r="K1303" s="67"/>
      <c r="L1303" s="146"/>
      <c r="M1303" s="147"/>
      <c r="N1303" s="148"/>
      <c r="O1303" s="143"/>
      <c r="P1303" s="140"/>
      <c r="Q1303" s="143"/>
      <c r="R1303" s="143"/>
      <c r="S1303" s="140"/>
      <c r="T1303" s="143"/>
      <c r="U1303" s="144"/>
      <c r="V1303" s="147"/>
      <c r="X1303" s="214"/>
    </row>
    <row r="1304" spans="2:24" ht="10.95" customHeight="1" x14ac:dyDescent="0.25">
      <c r="B1304" s="52"/>
      <c r="C1304" s="166"/>
      <c r="D1304" s="53"/>
      <c r="E1304" s="155"/>
      <c r="F1304" s="167" t="str">
        <f>_xlfn.IFNA(VLOOKUP(E1302,'Data Kyu'!$A$6:$I$471,2,0),"")</f>
        <v/>
      </c>
      <c r="G1304" s="168"/>
      <c r="H1304" s="168"/>
      <c r="I1304" s="168"/>
      <c r="J1304" s="168"/>
      <c r="K1304" s="169"/>
      <c r="L1304" s="146"/>
      <c r="M1304" s="147"/>
      <c r="N1304" s="173" t="s">
        <v>6</v>
      </c>
      <c r="O1304" s="159"/>
      <c r="P1304" s="57"/>
      <c r="Q1304" s="159" t="s">
        <v>7</v>
      </c>
      <c r="R1304" s="159"/>
      <c r="S1304" s="57"/>
      <c r="T1304" s="159" t="s">
        <v>8</v>
      </c>
      <c r="U1304" s="160"/>
      <c r="V1304" s="175"/>
      <c r="X1304" s="214"/>
    </row>
    <row r="1305" spans="2:24" ht="10.95" customHeight="1" x14ac:dyDescent="0.25">
      <c r="B1305" s="54"/>
      <c r="C1305" s="55"/>
      <c r="D1305" s="56"/>
      <c r="E1305" s="156"/>
      <c r="F1305" s="170"/>
      <c r="G1305" s="171"/>
      <c r="H1305" s="171"/>
      <c r="I1305" s="171"/>
      <c r="J1305" s="171"/>
      <c r="K1305" s="172"/>
      <c r="L1305" s="148"/>
      <c r="M1305" s="144"/>
      <c r="N1305" s="174"/>
      <c r="O1305" s="161"/>
      <c r="P1305" s="27"/>
      <c r="Q1305" s="161"/>
      <c r="R1305" s="161"/>
      <c r="S1305" s="27"/>
      <c r="T1305" s="161"/>
      <c r="U1305" s="162"/>
      <c r="V1305" s="176"/>
      <c r="X1305" s="214"/>
    </row>
    <row r="1306" spans="2:24" ht="7.5" customHeight="1" x14ac:dyDescent="0.25"/>
    <row r="1307" spans="2:24" s="34" customFormat="1" x14ac:dyDescent="0.25">
      <c r="E1307" s="35" t="s">
        <v>30</v>
      </c>
      <c r="K1307" s="35" t="s">
        <v>28</v>
      </c>
    </row>
    <row r="1308" spans="2:24" x14ac:dyDescent="0.25">
      <c r="E1308" s="33" t="s">
        <v>31</v>
      </c>
      <c r="F1308" s="149"/>
      <c r="G1308" s="149"/>
      <c r="H1308" s="149"/>
      <c r="I1308" s="149"/>
      <c r="J1308" s="149"/>
      <c r="K1308" s="33" t="s">
        <v>29</v>
      </c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</row>
    <row r="1309" spans="2:24" ht="6.75" customHeight="1" x14ac:dyDescent="0.25">
      <c r="F1309" s="34"/>
      <c r="G1309" s="34"/>
      <c r="H1309" s="34"/>
      <c r="I1309" s="34"/>
      <c r="J1309" s="34"/>
    </row>
    <row r="1310" spans="2:24" s="34" customFormat="1" x14ac:dyDescent="0.25">
      <c r="E1310" s="35" t="s">
        <v>32</v>
      </c>
      <c r="K1310" s="35" t="s">
        <v>36</v>
      </c>
    </row>
    <row r="1311" spans="2:24" x14ac:dyDescent="0.25">
      <c r="E1311" s="33" t="s">
        <v>33</v>
      </c>
      <c r="F1311" s="149"/>
      <c r="G1311" s="149"/>
      <c r="H1311" s="149"/>
      <c r="I1311" s="149"/>
      <c r="J1311" s="149"/>
      <c r="K1311" s="33" t="s">
        <v>29</v>
      </c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</row>
    <row r="1312" spans="2:24" ht="6.75" customHeight="1" x14ac:dyDescent="0.25">
      <c r="F1312" s="34"/>
      <c r="G1312" s="34"/>
      <c r="H1312" s="34"/>
      <c r="I1312" s="34"/>
      <c r="J1312" s="34"/>
    </row>
    <row r="1313" spans="2:24" s="34" customFormat="1" ht="13.8" x14ac:dyDescent="0.25">
      <c r="E1313" s="35" t="s">
        <v>34</v>
      </c>
      <c r="F1313" s="177" t="str">
        <f>IF(F1266&lt;&gt;"",$F$65,"")</f>
        <v/>
      </c>
      <c r="G1313" s="177"/>
      <c r="H1313" s="177"/>
      <c r="I1313" s="177"/>
      <c r="J1313" s="177"/>
      <c r="K1313" s="35" t="s">
        <v>28</v>
      </c>
      <c r="X1313" s="70" t="s">
        <v>107</v>
      </c>
    </row>
    <row r="1314" spans="2:24" ht="13.8" x14ac:dyDescent="0.25">
      <c r="E1314" s="33" t="s">
        <v>35</v>
      </c>
      <c r="F1314" s="178"/>
      <c r="G1314" s="178"/>
      <c r="H1314" s="178"/>
      <c r="I1314" s="178"/>
      <c r="J1314" s="178"/>
      <c r="K1314" s="33" t="s">
        <v>29</v>
      </c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X1314" s="70" t="s">
        <v>105</v>
      </c>
    </row>
    <row r="1315" spans="2:24" ht="12.75" customHeight="1" thickBot="1" x14ac:dyDescent="0.3"/>
    <row r="1316" spans="2:24" ht="13.8" thickTop="1" x14ac:dyDescent="0.25">
      <c r="B1316" s="34" t="s">
        <v>37</v>
      </c>
      <c r="C1316" s="34"/>
      <c r="D1316" s="34"/>
      <c r="H1316" s="150" t="s">
        <v>40</v>
      </c>
      <c r="I1316" s="151"/>
      <c r="J1316" s="151"/>
      <c r="K1316" s="151"/>
      <c r="L1316" s="151"/>
      <c r="M1316" s="151"/>
      <c r="N1316" s="151"/>
      <c r="O1316" s="151"/>
      <c r="P1316" s="151"/>
      <c r="Q1316" s="151"/>
      <c r="R1316" s="151"/>
      <c r="S1316" s="151"/>
      <c r="T1316" s="151"/>
      <c r="U1316" s="151"/>
      <c r="V1316" s="151"/>
    </row>
    <row r="1317" spans="2:24" x14ac:dyDescent="0.25">
      <c r="B1317" s="34" t="s">
        <v>38</v>
      </c>
      <c r="C1317" s="34"/>
      <c r="D1317" s="34"/>
      <c r="H1317" s="152"/>
      <c r="I1317" s="153"/>
      <c r="J1317" s="153"/>
      <c r="K1317" s="153"/>
      <c r="L1317" s="153"/>
      <c r="M1317" s="153"/>
      <c r="N1317" s="153"/>
      <c r="O1317" s="153"/>
      <c r="P1317" s="153"/>
      <c r="Q1317" s="153"/>
      <c r="R1317" s="153"/>
      <c r="S1317" s="153"/>
      <c r="T1317" s="153"/>
      <c r="U1317" s="153"/>
      <c r="V1317" s="153"/>
    </row>
    <row r="1318" spans="2:24" ht="12.75" customHeight="1" x14ac:dyDescent="0.25">
      <c r="B1318" s="163" t="s">
        <v>39</v>
      </c>
      <c r="C1318" s="163"/>
      <c r="D1318" s="163"/>
      <c r="E1318" s="163"/>
      <c r="F1318" s="163"/>
      <c r="H1318" s="37" t="s">
        <v>41</v>
      </c>
    </row>
    <row r="1319" spans="2:24" ht="13.8" x14ac:dyDescent="0.25">
      <c r="B1319" s="163"/>
      <c r="C1319" s="163"/>
      <c r="D1319" s="163"/>
      <c r="E1319" s="163"/>
      <c r="F1319" s="163"/>
      <c r="H1319" s="38" t="s">
        <v>42</v>
      </c>
    </row>
    <row r="1320" spans="2:24" x14ac:dyDescent="0.25">
      <c r="B1320" s="163"/>
      <c r="C1320" s="163"/>
      <c r="D1320" s="163"/>
      <c r="E1320" s="163"/>
      <c r="F1320" s="163"/>
      <c r="H1320" s="36"/>
    </row>
    <row r="1321" spans="2:24" x14ac:dyDescent="0.25">
      <c r="B1321" s="163"/>
      <c r="C1321" s="163"/>
      <c r="D1321" s="163"/>
      <c r="E1321" s="163"/>
      <c r="F1321" s="163"/>
      <c r="H1321" s="36"/>
    </row>
    <row r="1322" spans="2:24" x14ac:dyDescent="0.25">
      <c r="H1322" s="36"/>
    </row>
    <row r="1323" spans="2:24" x14ac:dyDescent="0.25">
      <c r="H1323" s="36"/>
    </row>
    <row r="1324" spans="2:24" x14ac:dyDescent="0.25">
      <c r="H1324" s="36"/>
    </row>
    <row r="1325" spans="2:24" x14ac:dyDescent="0.25">
      <c r="H1325" s="36"/>
    </row>
    <row r="1326" spans="2:24" ht="13.8" x14ac:dyDescent="0.25">
      <c r="H1326" s="157" t="str">
        <f>IF(F1266&lt;&gt;"",$H$78,"")</f>
        <v/>
      </c>
      <c r="I1326" s="158"/>
      <c r="J1326" s="158"/>
      <c r="K1326" s="158"/>
      <c r="L1326" s="158"/>
      <c r="M1326" s="158"/>
      <c r="N1326" s="158"/>
      <c r="O1326" s="158"/>
      <c r="P1326" s="158"/>
      <c r="Q1326" s="158"/>
      <c r="R1326" s="158"/>
      <c r="S1326" s="158"/>
      <c r="T1326" s="158"/>
      <c r="U1326" s="158"/>
      <c r="V1326" s="158"/>
    </row>
    <row r="1327" spans="2:24" x14ac:dyDescent="0.25">
      <c r="H1327" s="36"/>
    </row>
    <row r="1328" spans="2:24" ht="28.5" customHeight="1" x14ac:dyDescent="0.3">
      <c r="B1328" s="193" t="s">
        <v>43</v>
      </c>
      <c r="C1328" s="193"/>
      <c r="D1328" s="193"/>
      <c r="E1328" s="194"/>
      <c r="F1328" s="194"/>
      <c r="G1328" s="194"/>
      <c r="H1328" s="194"/>
      <c r="I1328" s="2"/>
      <c r="J1328" s="2"/>
      <c r="K1328" s="13" t="s">
        <v>25</v>
      </c>
      <c r="L1328" s="195" t="s">
        <v>14</v>
      </c>
      <c r="M1328" s="196"/>
      <c r="N1328" s="196"/>
      <c r="O1328" s="196"/>
      <c r="P1328" s="196"/>
      <c r="Q1328" s="196"/>
      <c r="R1328" s="196"/>
      <c r="S1328" s="196"/>
      <c r="T1328" s="196"/>
      <c r="U1328" s="196"/>
      <c r="V1328" s="197"/>
      <c r="X1328" s="1"/>
    </row>
    <row r="1329" spans="2:24" ht="26.25" customHeight="1" x14ac:dyDescent="0.4">
      <c r="B1329" s="39" t="s">
        <v>44</v>
      </c>
      <c r="C1329" s="39"/>
      <c r="D1329" s="39"/>
      <c r="E1329" s="2"/>
      <c r="F1329" s="2"/>
      <c r="G1329" s="2"/>
      <c r="H1329" s="2"/>
      <c r="I1329" s="2"/>
      <c r="J1329" s="2"/>
      <c r="K1329" s="29" t="s">
        <v>13</v>
      </c>
      <c r="L1329" s="15">
        <v>4</v>
      </c>
      <c r="M1329" s="16">
        <v>1</v>
      </c>
      <c r="N1329" s="15">
        <v>0</v>
      </c>
      <c r="O1329" s="198">
        <v>0</v>
      </c>
      <c r="P1329" s="199"/>
      <c r="Q1329" s="14">
        <v>0</v>
      </c>
      <c r="R1329" s="200">
        <v>1</v>
      </c>
      <c r="S1329" s="201"/>
      <c r="T1329" s="6"/>
      <c r="U1329" s="6"/>
      <c r="V1329" s="7"/>
      <c r="X1329" s="1"/>
    </row>
    <row r="1330" spans="2:24" ht="21" customHeight="1" x14ac:dyDescent="0.25">
      <c r="B1330" s="26" t="s">
        <v>45</v>
      </c>
      <c r="C1330" s="26"/>
      <c r="D1330" s="26"/>
      <c r="E1330" s="25"/>
      <c r="F1330" s="25"/>
      <c r="G1330" s="25"/>
      <c r="H1330" s="25"/>
      <c r="I1330" s="25"/>
      <c r="J1330" s="25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X1330" s="1"/>
    </row>
    <row r="1331" spans="2:24" ht="13.5" customHeight="1" x14ac:dyDescent="0.25">
      <c r="B1331" s="40" t="s">
        <v>24</v>
      </c>
      <c r="C1331" s="40"/>
      <c r="D1331" s="40"/>
      <c r="E1331" s="25"/>
      <c r="F1331" s="25"/>
      <c r="G1331" s="25"/>
      <c r="H1331" s="25"/>
      <c r="I1331" s="25"/>
      <c r="J1331" s="25"/>
      <c r="K1331" s="28" t="s">
        <v>6</v>
      </c>
      <c r="L1331" s="202" t="str">
        <f>IF(F1344&lt;&gt;"",$L$5,"")</f>
        <v/>
      </c>
      <c r="M1331" s="203"/>
      <c r="N1331" s="204" t="s">
        <v>15</v>
      </c>
      <c r="O1331" s="204"/>
      <c r="P1331" s="204"/>
      <c r="Q1331" s="205" t="str">
        <f>IF(F1344&lt;&gt;"",$Q$5,"")</f>
        <v/>
      </c>
      <c r="R1331" s="206"/>
      <c r="S1331" s="207" t="s">
        <v>16</v>
      </c>
      <c r="T1331" s="204"/>
      <c r="U1331" s="82" t="str">
        <f>IF(F1344&lt;&gt;"",$U$5,"")</f>
        <v/>
      </c>
      <c r="V1331" s="63"/>
      <c r="X1331" s="1"/>
    </row>
    <row r="1332" spans="2:24" ht="8.25" customHeight="1" x14ac:dyDescent="0.25"/>
    <row r="1333" spans="2:24" ht="11.25" customHeight="1" x14ac:dyDescent="0.25">
      <c r="B1333" s="24" t="s">
        <v>17</v>
      </c>
      <c r="C1333" s="24"/>
      <c r="D1333" s="24"/>
    </row>
    <row r="1334" spans="2:24" ht="11.25" customHeight="1" x14ac:dyDescent="0.25">
      <c r="B1334" s="8" t="s">
        <v>18</v>
      </c>
      <c r="C1334" s="8"/>
      <c r="D1334" s="8"/>
    </row>
    <row r="1335" spans="2:24" ht="5.25" customHeight="1" x14ac:dyDescent="0.25">
      <c r="B1335" s="8"/>
      <c r="C1335" s="8"/>
      <c r="D1335" s="8"/>
    </row>
    <row r="1336" spans="2:24" x14ac:dyDescent="0.25">
      <c r="B1336" s="179" t="s">
        <v>19</v>
      </c>
      <c r="C1336" s="179"/>
      <c r="D1336" s="179"/>
      <c r="E1336" s="179"/>
      <c r="F1336" s="179"/>
      <c r="G1336" s="18" t="s">
        <v>6</v>
      </c>
      <c r="H1336" s="64" t="str">
        <f>IF(F1344&lt;&gt;"",$H$10,"")</f>
        <v/>
      </c>
      <c r="I1336" s="9" t="s">
        <v>15</v>
      </c>
      <c r="J1336" s="83" t="str">
        <f>IF(F1344&lt;&gt;"",$J$10,"")</f>
        <v/>
      </c>
      <c r="K1336" s="9" t="s">
        <v>16</v>
      </c>
      <c r="L1336" s="180" t="str">
        <f>IF(F1344&lt;&gt;"",$L$10,"")</f>
        <v/>
      </c>
      <c r="M1336" s="181"/>
      <c r="X1336" s="32"/>
    </row>
    <row r="1337" spans="2:24" ht="5.25" customHeight="1" x14ac:dyDescent="0.25">
      <c r="B1337" s="8"/>
      <c r="C1337" s="8"/>
      <c r="D1337" s="8"/>
      <c r="E1337" s="8"/>
      <c r="F1337" s="8"/>
      <c r="G1337" s="19"/>
      <c r="H1337" s="20"/>
      <c r="I1337" s="21"/>
      <c r="J1337" s="20"/>
      <c r="K1337" s="10"/>
      <c r="L1337" s="22"/>
      <c r="X1337" s="32"/>
    </row>
    <row r="1338" spans="2:24" s="73" customFormat="1" ht="14.4" customHeight="1" x14ac:dyDescent="0.25">
      <c r="B1338" s="72" t="s">
        <v>20</v>
      </c>
      <c r="C1338" s="72"/>
      <c r="D1338" s="72"/>
      <c r="X1338" s="74"/>
    </row>
    <row r="1339" spans="2:24" s="73" customFormat="1" ht="14.4" customHeight="1" x14ac:dyDescent="0.25">
      <c r="B1339" s="75" t="s">
        <v>21</v>
      </c>
      <c r="C1339" s="10"/>
      <c r="D1339" s="10"/>
      <c r="E1339" s="22" t="s">
        <v>22</v>
      </c>
      <c r="X1339" s="74"/>
    </row>
    <row r="1340" spans="2:24" s="73" customFormat="1" ht="14.4" customHeight="1" x14ac:dyDescent="0.25">
      <c r="B1340" s="22"/>
      <c r="C1340" s="22"/>
      <c r="D1340" s="22"/>
      <c r="E1340" s="22" t="s">
        <v>23</v>
      </c>
      <c r="X1340" s="164" t="s">
        <v>102</v>
      </c>
    </row>
    <row r="1341" spans="2:24" ht="7.5" customHeight="1" x14ac:dyDescent="0.25">
      <c r="B1341" s="8"/>
      <c r="C1341" s="8"/>
      <c r="D1341" s="8"/>
      <c r="X1341" s="164"/>
    </row>
    <row r="1342" spans="2:24" ht="17.25" customHeight="1" x14ac:dyDescent="0.25">
      <c r="B1342" s="182"/>
      <c r="C1342" s="59"/>
      <c r="D1342" s="60"/>
      <c r="E1342" s="184" t="s">
        <v>0</v>
      </c>
      <c r="F1342" s="186" t="s">
        <v>1</v>
      </c>
      <c r="G1342" s="187"/>
      <c r="H1342" s="4"/>
      <c r="I1342" s="4"/>
      <c r="J1342" s="4"/>
      <c r="K1342" s="5"/>
      <c r="L1342" s="145" t="s">
        <v>3</v>
      </c>
      <c r="M1342" s="142"/>
      <c r="N1342" s="188" t="s">
        <v>10</v>
      </c>
      <c r="O1342" s="188"/>
      <c r="P1342" s="188"/>
      <c r="Q1342" s="188"/>
      <c r="R1342" s="188"/>
      <c r="S1342" s="188"/>
      <c r="T1342" s="188"/>
      <c r="U1342" s="189"/>
      <c r="V1342" s="3" t="s">
        <v>12</v>
      </c>
      <c r="X1342" s="68" t="s">
        <v>200</v>
      </c>
    </row>
    <row r="1343" spans="2:24" ht="17.25" customHeight="1" x14ac:dyDescent="0.25">
      <c r="B1343" s="183"/>
      <c r="C1343" s="61"/>
      <c r="D1343" s="62"/>
      <c r="E1343" s="185"/>
      <c r="F1343" s="30" t="s">
        <v>2</v>
      </c>
      <c r="G1343" s="17"/>
      <c r="H1343" s="6"/>
      <c r="I1343" s="6"/>
      <c r="J1343" s="6"/>
      <c r="K1343" s="7"/>
      <c r="L1343" s="190" t="s">
        <v>4</v>
      </c>
      <c r="M1343" s="191"/>
      <c r="N1343" s="192" t="s">
        <v>9</v>
      </c>
      <c r="O1343" s="192"/>
      <c r="P1343" s="192"/>
      <c r="Q1343" s="192"/>
      <c r="R1343" s="192"/>
      <c r="S1343" s="192"/>
      <c r="T1343" s="192"/>
      <c r="U1343" s="191"/>
      <c r="V1343" s="31" t="s">
        <v>11</v>
      </c>
      <c r="X1343" s="69"/>
    </row>
    <row r="1344" spans="2:24" ht="10.95" customHeight="1" x14ac:dyDescent="0.25">
      <c r="B1344" s="41"/>
      <c r="C1344" s="51"/>
      <c r="D1344" s="42"/>
      <c r="E1344" s="154">
        <v>171</v>
      </c>
      <c r="F1344" s="145" t="str">
        <f>_xlfn.IFNA(VLOOKUP(E1344,'Data Kyu'!$A$6:$I$471,3,0),"")</f>
        <v/>
      </c>
      <c r="G1344" s="142"/>
      <c r="H1344" s="66"/>
      <c r="I1344" s="66"/>
      <c r="J1344" s="66"/>
      <c r="K1344" s="66"/>
      <c r="L1344" s="145" t="str">
        <f>_xlfn.IFNA(VLOOKUP(E1344,'Data Kyu'!$A$6:$I$471,9,0),"")</f>
        <v/>
      </c>
      <c r="M1344" s="142"/>
      <c r="N1344" s="145" t="str">
        <f>_xlfn.IFNA(VLOOKUP(E1344,'Data Kyu'!$A$6:$I$471,6,0),"")</f>
        <v/>
      </c>
      <c r="O1344" s="141"/>
      <c r="P1344" s="139" t="s">
        <v>5</v>
      </c>
      <c r="Q1344" s="141" t="str">
        <f>_xlfn.IFNA(VLOOKUP(E1344,'Data Kyu'!$A$6:$I$471,7,0),"")</f>
        <v/>
      </c>
      <c r="R1344" s="141"/>
      <c r="S1344" s="139" t="s">
        <v>5</v>
      </c>
      <c r="T1344" s="141" t="str">
        <f>_xlfn.IFNA(VLOOKUP(E1344,'Data Kyu'!$A$6:$I$471,8,0),"")</f>
        <v/>
      </c>
      <c r="U1344" s="142"/>
      <c r="V1344" s="142" t="str">
        <f>_xlfn.IFNA(VLOOKUP(E1344,'Data Kyu'!$A$6:$I$471,4,0),"")</f>
        <v/>
      </c>
      <c r="X1344" s="214" t="str">
        <f>_xlfn.IFNA(VLOOKUP(F1344,'Data Kyu'!$C$6:$N$997,12,0),"No Data")</f>
        <v>No Data</v>
      </c>
    </row>
    <row r="1345" spans="2:24" ht="10.95" customHeight="1" x14ac:dyDescent="0.25">
      <c r="B1345" s="52"/>
      <c r="C1345" s="165" t="str">
        <f>IF(X1344="LULUS","V","")</f>
        <v/>
      </c>
      <c r="D1345" s="53"/>
      <c r="E1345" s="155"/>
      <c r="F1345" s="148"/>
      <c r="G1345" s="144"/>
      <c r="H1345" s="67"/>
      <c r="I1345" s="67"/>
      <c r="J1345" s="67"/>
      <c r="K1345" s="67"/>
      <c r="L1345" s="146"/>
      <c r="M1345" s="147"/>
      <c r="N1345" s="148"/>
      <c r="O1345" s="143"/>
      <c r="P1345" s="140"/>
      <c r="Q1345" s="143"/>
      <c r="R1345" s="143"/>
      <c r="S1345" s="140"/>
      <c r="T1345" s="143"/>
      <c r="U1345" s="144"/>
      <c r="V1345" s="147"/>
      <c r="X1345" s="214"/>
    </row>
    <row r="1346" spans="2:24" ht="10.95" customHeight="1" x14ac:dyDescent="0.25">
      <c r="B1346" s="52"/>
      <c r="C1346" s="166"/>
      <c r="D1346" s="53"/>
      <c r="E1346" s="155"/>
      <c r="F1346" s="167" t="str">
        <f>_xlfn.IFNA(VLOOKUP(E1344,'Data Kyu'!$A$6:$I$471,2,0),"")</f>
        <v/>
      </c>
      <c r="G1346" s="168"/>
      <c r="H1346" s="168"/>
      <c r="I1346" s="168"/>
      <c r="J1346" s="168"/>
      <c r="K1346" s="169"/>
      <c r="L1346" s="146"/>
      <c r="M1346" s="147"/>
      <c r="N1346" s="173" t="s">
        <v>6</v>
      </c>
      <c r="O1346" s="159"/>
      <c r="P1346" s="57"/>
      <c r="Q1346" s="159" t="s">
        <v>7</v>
      </c>
      <c r="R1346" s="159"/>
      <c r="S1346" s="57"/>
      <c r="T1346" s="159" t="s">
        <v>8</v>
      </c>
      <c r="U1346" s="160"/>
      <c r="V1346" s="175"/>
      <c r="X1346" s="214"/>
    </row>
    <row r="1347" spans="2:24" ht="10.95" customHeight="1" x14ac:dyDescent="0.25">
      <c r="B1347" s="54"/>
      <c r="C1347" s="76"/>
      <c r="D1347" s="56"/>
      <c r="E1347" s="156"/>
      <c r="F1347" s="170"/>
      <c r="G1347" s="171"/>
      <c r="H1347" s="171"/>
      <c r="I1347" s="171"/>
      <c r="J1347" s="171"/>
      <c r="K1347" s="172"/>
      <c r="L1347" s="148"/>
      <c r="M1347" s="144"/>
      <c r="N1347" s="174"/>
      <c r="O1347" s="161"/>
      <c r="P1347" s="27"/>
      <c r="Q1347" s="161"/>
      <c r="R1347" s="161"/>
      <c r="S1347" s="27"/>
      <c r="T1347" s="161"/>
      <c r="U1347" s="162"/>
      <c r="V1347" s="176"/>
      <c r="X1347" s="214"/>
    </row>
    <row r="1348" spans="2:24" ht="10.95" customHeight="1" x14ac:dyDescent="0.25">
      <c r="B1348" s="41"/>
      <c r="C1348" s="77"/>
      <c r="D1348" s="42"/>
      <c r="E1348" s="154">
        <f>E1344+1</f>
        <v>172</v>
      </c>
      <c r="F1348" s="145" t="str">
        <f>_xlfn.IFNA(VLOOKUP(E1348,'Data Kyu'!$A$6:$I$471,3,0),"")</f>
        <v/>
      </c>
      <c r="G1348" s="142"/>
      <c r="H1348" s="66"/>
      <c r="I1348" s="66"/>
      <c r="J1348" s="66"/>
      <c r="K1348" s="66"/>
      <c r="L1348" s="145" t="str">
        <f>_xlfn.IFNA(VLOOKUP(E1348,'Data Kyu'!$A$6:$I$471,9,0),"")</f>
        <v/>
      </c>
      <c r="M1348" s="142"/>
      <c r="N1348" s="145" t="str">
        <f>_xlfn.IFNA(VLOOKUP(E1348,'Data Kyu'!$A$6:$I$471,6,0),"")</f>
        <v/>
      </c>
      <c r="O1348" s="141"/>
      <c r="P1348" s="139" t="s">
        <v>5</v>
      </c>
      <c r="Q1348" s="141" t="str">
        <f>_xlfn.IFNA(VLOOKUP(E1348,'Data Kyu'!$A$6:$I$471,7,0),"")</f>
        <v/>
      </c>
      <c r="R1348" s="141"/>
      <c r="S1348" s="139" t="s">
        <v>5</v>
      </c>
      <c r="T1348" s="141" t="str">
        <f>_xlfn.IFNA(VLOOKUP(E1348,'Data Kyu'!$A$6:$I$471,8,0),"")</f>
        <v/>
      </c>
      <c r="U1348" s="142"/>
      <c r="V1348" s="142" t="str">
        <f>_xlfn.IFNA(VLOOKUP(E1348,'Data Kyu'!$A$6:$I$471,4,0),"")</f>
        <v/>
      </c>
      <c r="X1348" s="214" t="str">
        <f>_xlfn.IFNA(VLOOKUP(F1348,'Data Kyu'!$C$6:$N$997,12,0),"No Data")</f>
        <v>No Data</v>
      </c>
    </row>
    <row r="1349" spans="2:24" ht="10.95" customHeight="1" x14ac:dyDescent="0.25">
      <c r="B1349" s="52"/>
      <c r="C1349" s="165" t="str">
        <f>IF(X1348="LULUS","V","")</f>
        <v/>
      </c>
      <c r="D1349" s="53"/>
      <c r="E1349" s="155"/>
      <c r="F1349" s="148"/>
      <c r="G1349" s="144"/>
      <c r="H1349" s="67"/>
      <c r="I1349" s="67"/>
      <c r="J1349" s="67"/>
      <c r="K1349" s="67"/>
      <c r="L1349" s="146"/>
      <c r="M1349" s="147"/>
      <c r="N1349" s="148"/>
      <c r="O1349" s="143"/>
      <c r="P1349" s="140"/>
      <c r="Q1349" s="143"/>
      <c r="R1349" s="143"/>
      <c r="S1349" s="140"/>
      <c r="T1349" s="143"/>
      <c r="U1349" s="144"/>
      <c r="V1349" s="147"/>
      <c r="X1349" s="214"/>
    </row>
    <row r="1350" spans="2:24" ht="10.95" customHeight="1" x14ac:dyDescent="0.25">
      <c r="B1350" s="52"/>
      <c r="C1350" s="166"/>
      <c r="D1350" s="53"/>
      <c r="E1350" s="155"/>
      <c r="F1350" s="167" t="str">
        <f>_xlfn.IFNA(VLOOKUP(E1348,'Data Kyu'!$A$6:$I$471,2,0),"")</f>
        <v/>
      </c>
      <c r="G1350" s="168"/>
      <c r="H1350" s="168"/>
      <c r="I1350" s="168"/>
      <c r="J1350" s="168"/>
      <c r="K1350" s="169"/>
      <c r="L1350" s="146"/>
      <c r="M1350" s="147"/>
      <c r="N1350" s="173" t="s">
        <v>6</v>
      </c>
      <c r="O1350" s="159"/>
      <c r="P1350" s="57"/>
      <c r="Q1350" s="159" t="s">
        <v>7</v>
      </c>
      <c r="R1350" s="159"/>
      <c r="S1350" s="57"/>
      <c r="T1350" s="159" t="s">
        <v>8</v>
      </c>
      <c r="U1350" s="160"/>
      <c r="V1350" s="175"/>
      <c r="X1350" s="214"/>
    </row>
    <row r="1351" spans="2:24" ht="10.95" customHeight="1" x14ac:dyDescent="0.25">
      <c r="B1351" s="54"/>
      <c r="C1351" s="76"/>
      <c r="D1351" s="56"/>
      <c r="E1351" s="156"/>
      <c r="F1351" s="170"/>
      <c r="G1351" s="171"/>
      <c r="H1351" s="171"/>
      <c r="I1351" s="171"/>
      <c r="J1351" s="171"/>
      <c r="K1351" s="172"/>
      <c r="L1351" s="148"/>
      <c r="M1351" s="144"/>
      <c r="N1351" s="174"/>
      <c r="O1351" s="161"/>
      <c r="P1351" s="27"/>
      <c r="Q1351" s="161"/>
      <c r="R1351" s="161"/>
      <c r="S1351" s="27"/>
      <c r="T1351" s="161"/>
      <c r="U1351" s="162"/>
      <c r="V1351" s="176"/>
      <c r="X1351" s="214"/>
    </row>
    <row r="1352" spans="2:24" ht="10.95" customHeight="1" x14ac:dyDescent="0.25">
      <c r="B1352" s="41"/>
      <c r="C1352" s="77"/>
      <c r="D1352" s="42"/>
      <c r="E1352" s="154">
        <f t="shared" ref="E1352" si="56">E1348+1</f>
        <v>173</v>
      </c>
      <c r="F1352" s="145" t="str">
        <f>_xlfn.IFNA(VLOOKUP(E1352,'Data Kyu'!$A$6:$I$471,3,0),"")</f>
        <v/>
      </c>
      <c r="G1352" s="142"/>
      <c r="H1352" s="66"/>
      <c r="I1352" s="66"/>
      <c r="J1352" s="66"/>
      <c r="K1352" s="66"/>
      <c r="L1352" s="145" t="str">
        <f>_xlfn.IFNA(VLOOKUP(E1352,'Data Kyu'!$A$6:$I$471,9,0),"")</f>
        <v/>
      </c>
      <c r="M1352" s="142"/>
      <c r="N1352" s="145" t="str">
        <f>_xlfn.IFNA(VLOOKUP(E1352,'Data Kyu'!$A$6:$I$471,6,0),"")</f>
        <v/>
      </c>
      <c r="O1352" s="141"/>
      <c r="P1352" s="139" t="s">
        <v>5</v>
      </c>
      <c r="Q1352" s="141" t="str">
        <f>_xlfn.IFNA(VLOOKUP(E1352,'Data Kyu'!$A$6:$I$471,7,0),"")</f>
        <v/>
      </c>
      <c r="R1352" s="141"/>
      <c r="S1352" s="139" t="s">
        <v>5</v>
      </c>
      <c r="T1352" s="141" t="str">
        <f>_xlfn.IFNA(VLOOKUP(E1352,'Data Kyu'!$A$6:$I$471,8,0),"")</f>
        <v/>
      </c>
      <c r="U1352" s="142"/>
      <c r="V1352" s="142" t="str">
        <f>_xlfn.IFNA(VLOOKUP(E1352,'Data Kyu'!$A$6:$I$471,4,0),"")</f>
        <v/>
      </c>
      <c r="X1352" s="214" t="str">
        <f>_xlfn.IFNA(VLOOKUP(F1352,'Data Kyu'!$C$6:$N$997,12,0),"No Data")</f>
        <v>No Data</v>
      </c>
    </row>
    <row r="1353" spans="2:24" ht="10.95" customHeight="1" x14ac:dyDescent="0.25">
      <c r="B1353" s="52"/>
      <c r="C1353" s="165" t="str">
        <f>IF(X1352="LULUS","V","")</f>
        <v/>
      </c>
      <c r="D1353" s="53"/>
      <c r="E1353" s="155"/>
      <c r="F1353" s="148"/>
      <c r="G1353" s="144"/>
      <c r="H1353" s="67"/>
      <c r="I1353" s="67"/>
      <c r="J1353" s="67"/>
      <c r="K1353" s="67"/>
      <c r="L1353" s="146"/>
      <c r="M1353" s="147"/>
      <c r="N1353" s="148"/>
      <c r="O1353" s="143"/>
      <c r="P1353" s="140"/>
      <c r="Q1353" s="143"/>
      <c r="R1353" s="143"/>
      <c r="S1353" s="140"/>
      <c r="T1353" s="143"/>
      <c r="U1353" s="144"/>
      <c r="V1353" s="147"/>
      <c r="X1353" s="214"/>
    </row>
    <row r="1354" spans="2:24" ht="10.95" customHeight="1" x14ac:dyDescent="0.25">
      <c r="B1354" s="52"/>
      <c r="C1354" s="166"/>
      <c r="D1354" s="53"/>
      <c r="E1354" s="155"/>
      <c r="F1354" s="167" t="str">
        <f>_xlfn.IFNA(VLOOKUP(E1352,'Data Kyu'!$A$6:$I$471,2,0),"")</f>
        <v/>
      </c>
      <c r="G1354" s="168"/>
      <c r="H1354" s="168"/>
      <c r="I1354" s="168"/>
      <c r="J1354" s="168"/>
      <c r="K1354" s="169"/>
      <c r="L1354" s="146"/>
      <c r="M1354" s="147"/>
      <c r="N1354" s="173" t="s">
        <v>6</v>
      </c>
      <c r="O1354" s="159"/>
      <c r="P1354" s="57"/>
      <c r="Q1354" s="159" t="s">
        <v>7</v>
      </c>
      <c r="R1354" s="159"/>
      <c r="S1354" s="57"/>
      <c r="T1354" s="159" t="s">
        <v>8</v>
      </c>
      <c r="U1354" s="160"/>
      <c r="V1354" s="175"/>
      <c r="X1354" s="214"/>
    </row>
    <row r="1355" spans="2:24" ht="10.95" customHeight="1" x14ac:dyDescent="0.25">
      <c r="B1355" s="54"/>
      <c r="C1355" s="76"/>
      <c r="D1355" s="56"/>
      <c r="E1355" s="156"/>
      <c r="F1355" s="170"/>
      <c r="G1355" s="171"/>
      <c r="H1355" s="171"/>
      <c r="I1355" s="171"/>
      <c r="J1355" s="171"/>
      <c r="K1355" s="172"/>
      <c r="L1355" s="148"/>
      <c r="M1355" s="144"/>
      <c r="N1355" s="174"/>
      <c r="O1355" s="161"/>
      <c r="P1355" s="27"/>
      <c r="Q1355" s="161"/>
      <c r="R1355" s="161"/>
      <c r="S1355" s="27"/>
      <c r="T1355" s="161"/>
      <c r="U1355" s="162"/>
      <c r="V1355" s="176"/>
      <c r="X1355" s="214"/>
    </row>
    <row r="1356" spans="2:24" ht="10.95" customHeight="1" x14ac:dyDescent="0.25">
      <c r="B1356" s="41"/>
      <c r="C1356" s="77"/>
      <c r="D1356" s="42"/>
      <c r="E1356" s="154">
        <f t="shared" ref="E1356" si="57">E1352+1</f>
        <v>174</v>
      </c>
      <c r="F1356" s="145" t="str">
        <f>_xlfn.IFNA(VLOOKUP(E1356,'Data Kyu'!$A$6:$I$471,3,0),"")</f>
        <v/>
      </c>
      <c r="G1356" s="142"/>
      <c r="H1356" s="66"/>
      <c r="I1356" s="66"/>
      <c r="J1356" s="66"/>
      <c r="K1356" s="66"/>
      <c r="L1356" s="145" t="str">
        <f>_xlfn.IFNA(VLOOKUP(E1356,'Data Kyu'!$A$6:$I$471,9,0),"")</f>
        <v/>
      </c>
      <c r="M1356" s="142"/>
      <c r="N1356" s="145" t="str">
        <f>_xlfn.IFNA(VLOOKUP(E1356,'Data Kyu'!$A$6:$I$471,6,0),"")</f>
        <v/>
      </c>
      <c r="O1356" s="141"/>
      <c r="P1356" s="139" t="s">
        <v>5</v>
      </c>
      <c r="Q1356" s="141" t="str">
        <f>_xlfn.IFNA(VLOOKUP(E1356,'Data Kyu'!$A$6:$I$471,7,0),"")</f>
        <v/>
      </c>
      <c r="R1356" s="141"/>
      <c r="S1356" s="139" t="s">
        <v>5</v>
      </c>
      <c r="T1356" s="141" t="str">
        <f>_xlfn.IFNA(VLOOKUP(E1356,'Data Kyu'!$A$6:$I$471,8,0),"")</f>
        <v/>
      </c>
      <c r="U1356" s="142"/>
      <c r="V1356" s="142" t="str">
        <f>_xlfn.IFNA(VLOOKUP(E1356,'Data Kyu'!$A$6:$I$471,4,0),"")</f>
        <v/>
      </c>
      <c r="X1356" s="214" t="str">
        <f>_xlfn.IFNA(VLOOKUP(F1356,'Data Kyu'!$C$6:$N$997,12,0),"No Data")</f>
        <v>No Data</v>
      </c>
    </row>
    <row r="1357" spans="2:24" ht="10.95" customHeight="1" x14ac:dyDescent="0.25">
      <c r="B1357" s="52"/>
      <c r="C1357" s="165" t="str">
        <f>IF(X1356="LULUS","V","")</f>
        <v/>
      </c>
      <c r="D1357" s="53"/>
      <c r="E1357" s="155"/>
      <c r="F1357" s="148"/>
      <c r="G1357" s="144"/>
      <c r="H1357" s="67"/>
      <c r="I1357" s="67"/>
      <c r="J1357" s="67"/>
      <c r="K1357" s="67"/>
      <c r="L1357" s="146"/>
      <c r="M1357" s="147"/>
      <c r="N1357" s="148"/>
      <c r="O1357" s="143"/>
      <c r="P1357" s="140"/>
      <c r="Q1357" s="143"/>
      <c r="R1357" s="143"/>
      <c r="S1357" s="140"/>
      <c r="T1357" s="143"/>
      <c r="U1357" s="144"/>
      <c r="V1357" s="147"/>
      <c r="X1357" s="214"/>
    </row>
    <row r="1358" spans="2:24" ht="10.95" customHeight="1" x14ac:dyDescent="0.25">
      <c r="B1358" s="52"/>
      <c r="C1358" s="166"/>
      <c r="D1358" s="53"/>
      <c r="E1358" s="155"/>
      <c r="F1358" s="167" t="str">
        <f>_xlfn.IFNA(VLOOKUP(E1356,'Data Kyu'!$A$6:$I$471,2,0),"")</f>
        <v/>
      </c>
      <c r="G1358" s="168"/>
      <c r="H1358" s="168"/>
      <c r="I1358" s="168"/>
      <c r="J1358" s="168"/>
      <c r="K1358" s="169"/>
      <c r="L1358" s="146"/>
      <c r="M1358" s="147"/>
      <c r="N1358" s="173" t="s">
        <v>6</v>
      </c>
      <c r="O1358" s="159"/>
      <c r="P1358" s="57"/>
      <c r="Q1358" s="159" t="s">
        <v>7</v>
      </c>
      <c r="R1358" s="159"/>
      <c r="S1358" s="57"/>
      <c r="T1358" s="159" t="s">
        <v>8</v>
      </c>
      <c r="U1358" s="160"/>
      <c r="V1358" s="175"/>
      <c r="X1358" s="214"/>
    </row>
    <row r="1359" spans="2:24" ht="10.95" customHeight="1" x14ac:dyDescent="0.25">
      <c r="B1359" s="54"/>
      <c r="C1359" s="76"/>
      <c r="D1359" s="56"/>
      <c r="E1359" s="156"/>
      <c r="F1359" s="170"/>
      <c r="G1359" s="171"/>
      <c r="H1359" s="171"/>
      <c r="I1359" s="171"/>
      <c r="J1359" s="171"/>
      <c r="K1359" s="172"/>
      <c r="L1359" s="148"/>
      <c r="M1359" s="144"/>
      <c r="N1359" s="174"/>
      <c r="O1359" s="161"/>
      <c r="P1359" s="27"/>
      <c r="Q1359" s="161"/>
      <c r="R1359" s="161"/>
      <c r="S1359" s="27"/>
      <c r="T1359" s="161"/>
      <c r="U1359" s="162"/>
      <c r="V1359" s="176"/>
      <c r="X1359" s="214"/>
    </row>
    <row r="1360" spans="2:24" ht="10.95" customHeight="1" x14ac:dyDescent="0.25">
      <c r="B1360" s="41"/>
      <c r="C1360" s="77"/>
      <c r="D1360" s="42"/>
      <c r="E1360" s="154">
        <f t="shared" ref="E1360" si="58">E1356+1</f>
        <v>175</v>
      </c>
      <c r="F1360" s="145" t="str">
        <f>_xlfn.IFNA(VLOOKUP(E1360,'Data Kyu'!$A$6:$I$471,3,0),"")</f>
        <v/>
      </c>
      <c r="G1360" s="142"/>
      <c r="H1360" s="66"/>
      <c r="I1360" s="66"/>
      <c r="J1360" s="66"/>
      <c r="K1360" s="66"/>
      <c r="L1360" s="145" t="str">
        <f>_xlfn.IFNA(VLOOKUP(E1360,'Data Kyu'!$A$6:$I$471,9,0),"")</f>
        <v/>
      </c>
      <c r="M1360" s="142"/>
      <c r="N1360" s="145" t="str">
        <f>_xlfn.IFNA(VLOOKUP(E1360,'Data Kyu'!$A$6:$I$471,6,0),"")</f>
        <v/>
      </c>
      <c r="O1360" s="141"/>
      <c r="P1360" s="139" t="s">
        <v>5</v>
      </c>
      <c r="Q1360" s="141" t="str">
        <f>_xlfn.IFNA(VLOOKUP(E1360,'Data Kyu'!$A$6:$I$471,7,0),"")</f>
        <v/>
      </c>
      <c r="R1360" s="141"/>
      <c r="S1360" s="139" t="s">
        <v>5</v>
      </c>
      <c r="T1360" s="141" t="str">
        <f>_xlfn.IFNA(VLOOKUP(E1360,'Data Kyu'!$A$6:$I$471,8,0),"")</f>
        <v/>
      </c>
      <c r="U1360" s="142"/>
      <c r="V1360" s="142" t="str">
        <f>_xlfn.IFNA(VLOOKUP(E1360,'Data Kyu'!$A$6:$I$471,4,0),"")</f>
        <v/>
      </c>
      <c r="X1360" s="214" t="str">
        <f>_xlfn.IFNA(VLOOKUP(F1360,'Data Kyu'!$C$6:$N$997,12,0),"No Data")</f>
        <v>No Data</v>
      </c>
    </row>
    <row r="1361" spans="2:24" ht="10.95" customHeight="1" x14ac:dyDescent="0.25">
      <c r="B1361" s="52"/>
      <c r="C1361" s="165" t="str">
        <f>IF(X1360="LULUS","V","")</f>
        <v/>
      </c>
      <c r="D1361" s="53"/>
      <c r="E1361" s="155"/>
      <c r="F1361" s="148"/>
      <c r="G1361" s="144"/>
      <c r="H1361" s="67"/>
      <c r="I1361" s="67"/>
      <c r="J1361" s="67"/>
      <c r="K1361" s="67"/>
      <c r="L1361" s="146"/>
      <c r="M1361" s="147"/>
      <c r="N1361" s="148"/>
      <c r="O1361" s="143"/>
      <c r="P1361" s="140"/>
      <c r="Q1361" s="143"/>
      <c r="R1361" s="143"/>
      <c r="S1361" s="140"/>
      <c r="T1361" s="143"/>
      <c r="U1361" s="144"/>
      <c r="V1361" s="147"/>
      <c r="X1361" s="214"/>
    </row>
    <row r="1362" spans="2:24" ht="10.95" customHeight="1" x14ac:dyDescent="0.25">
      <c r="B1362" s="52"/>
      <c r="C1362" s="166"/>
      <c r="D1362" s="53"/>
      <c r="E1362" s="155"/>
      <c r="F1362" s="167" t="str">
        <f>_xlfn.IFNA(VLOOKUP(E1360,'Data Kyu'!$A$6:$I$471,2,0),"")</f>
        <v/>
      </c>
      <c r="G1362" s="168"/>
      <c r="H1362" s="168"/>
      <c r="I1362" s="168"/>
      <c r="J1362" s="168"/>
      <c r="K1362" s="169"/>
      <c r="L1362" s="146"/>
      <c r="M1362" s="147"/>
      <c r="N1362" s="173" t="s">
        <v>6</v>
      </c>
      <c r="O1362" s="159"/>
      <c r="P1362" s="57"/>
      <c r="Q1362" s="159" t="s">
        <v>7</v>
      </c>
      <c r="R1362" s="159"/>
      <c r="S1362" s="57"/>
      <c r="T1362" s="159" t="s">
        <v>8</v>
      </c>
      <c r="U1362" s="160"/>
      <c r="V1362" s="175"/>
      <c r="X1362" s="214"/>
    </row>
    <row r="1363" spans="2:24" ht="10.95" customHeight="1" x14ac:dyDescent="0.25">
      <c r="B1363" s="54"/>
      <c r="C1363" s="76"/>
      <c r="D1363" s="56"/>
      <c r="E1363" s="156"/>
      <c r="F1363" s="170"/>
      <c r="G1363" s="171"/>
      <c r="H1363" s="171"/>
      <c r="I1363" s="171"/>
      <c r="J1363" s="171"/>
      <c r="K1363" s="172"/>
      <c r="L1363" s="148"/>
      <c r="M1363" s="144"/>
      <c r="N1363" s="174"/>
      <c r="O1363" s="161"/>
      <c r="P1363" s="27"/>
      <c r="Q1363" s="161"/>
      <c r="R1363" s="161"/>
      <c r="S1363" s="27"/>
      <c r="T1363" s="161"/>
      <c r="U1363" s="162"/>
      <c r="V1363" s="176"/>
      <c r="X1363" s="214"/>
    </row>
    <row r="1364" spans="2:24" ht="10.95" customHeight="1" x14ac:dyDescent="0.25">
      <c r="B1364" s="41"/>
      <c r="C1364" s="77"/>
      <c r="D1364" s="42"/>
      <c r="E1364" s="154">
        <f t="shared" ref="E1364" si="59">E1360+1</f>
        <v>176</v>
      </c>
      <c r="F1364" s="145" t="str">
        <f>_xlfn.IFNA(VLOOKUP(E1364,'Data Kyu'!$A$6:$I$471,3,0),"")</f>
        <v/>
      </c>
      <c r="G1364" s="142"/>
      <c r="H1364" s="66"/>
      <c r="I1364" s="66"/>
      <c r="J1364" s="66"/>
      <c r="K1364" s="66"/>
      <c r="L1364" s="145" t="str">
        <f>_xlfn.IFNA(VLOOKUP(E1364,'Data Kyu'!$A$6:$I$471,9,0),"")</f>
        <v/>
      </c>
      <c r="M1364" s="142"/>
      <c r="N1364" s="145" t="str">
        <f>_xlfn.IFNA(VLOOKUP(E1364,'Data Kyu'!$A$6:$I$471,6,0),"")</f>
        <v/>
      </c>
      <c r="O1364" s="141"/>
      <c r="P1364" s="139" t="s">
        <v>5</v>
      </c>
      <c r="Q1364" s="141" t="str">
        <f>_xlfn.IFNA(VLOOKUP(E1364,'Data Kyu'!$A$6:$I$471,7,0),"")</f>
        <v/>
      </c>
      <c r="R1364" s="141"/>
      <c r="S1364" s="139" t="s">
        <v>5</v>
      </c>
      <c r="T1364" s="141" t="str">
        <f>_xlfn.IFNA(VLOOKUP(E1364,'Data Kyu'!$A$6:$I$471,8,0),"")</f>
        <v/>
      </c>
      <c r="U1364" s="142"/>
      <c r="V1364" s="142" t="str">
        <f>_xlfn.IFNA(VLOOKUP(E1364,'Data Kyu'!$A$6:$I$471,4,0),"")</f>
        <v/>
      </c>
      <c r="X1364" s="214" t="str">
        <f>_xlfn.IFNA(VLOOKUP(F1364,'Data Kyu'!$C$6:$N$997,12,0),"No Data")</f>
        <v>No Data</v>
      </c>
    </row>
    <row r="1365" spans="2:24" ht="10.95" customHeight="1" x14ac:dyDescent="0.25">
      <c r="B1365" s="52"/>
      <c r="C1365" s="165" t="str">
        <f>IF(X1364="LULUS","V","")</f>
        <v/>
      </c>
      <c r="D1365" s="53"/>
      <c r="E1365" s="155"/>
      <c r="F1365" s="148"/>
      <c r="G1365" s="144"/>
      <c r="H1365" s="67"/>
      <c r="I1365" s="67"/>
      <c r="J1365" s="67"/>
      <c r="K1365" s="67"/>
      <c r="L1365" s="146"/>
      <c r="M1365" s="147"/>
      <c r="N1365" s="148"/>
      <c r="O1365" s="143"/>
      <c r="P1365" s="140"/>
      <c r="Q1365" s="143"/>
      <c r="R1365" s="143"/>
      <c r="S1365" s="140"/>
      <c r="T1365" s="143"/>
      <c r="U1365" s="144"/>
      <c r="V1365" s="147"/>
      <c r="X1365" s="214"/>
    </row>
    <row r="1366" spans="2:24" ht="10.95" customHeight="1" x14ac:dyDescent="0.25">
      <c r="B1366" s="52"/>
      <c r="C1366" s="166"/>
      <c r="D1366" s="53"/>
      <c r="E1366" s="155"/>
      <c r="F1366" s="167" t="str">
        <f>_xlfn.IFNA(VLOOKUP(E1364,'Data Kyu'!$A$6:$I$471,2,0),"")</f>
        <v/>
      </c>
      <c r="G1366" s="168"/>
      <c r="H1366" s="168"/>
      <c r="I1366" s="168"/>
      <c r="J1366" s="168"/>
      <c r="K1366" s="169"/>
      <c r="L1366" s="146"/>
      <c r="M1366" s="147"/>
      <c r="N1366" s="173" t="s">
        <v>6</v>
      </c>
      <c r="O1366" s="159"/>
      <c r="P1366" s="57"/>
      <c r="Q1366" s="159" t="s">
        <v>7</v>
      </c>
      <c r="R1366" s="159"/>
      <c r="S1366" s="57"/>
      <c r="T1366" s="159" t="s">
        <v>8</v>
      </c>
      <c r="U1366" s="160"/>
      <c r="V1366" s="175"/>
      <c r="X1366" s="214"/>
    </row>
    <row r="1367" spans="2:24" ht="10.95" customHeight="1" x14ac:dyDescent="0.25">
      <c r="B1367" s="54"/>
      <c r="C1367" s="76"/>
      <c r="D1367" s="56"/>
      <c r="E1367" s="156"/>
      <c r="F1367" s="170"/>
      <c r="G1367" s="171"/>
      <c r="H1367" s="171"/>
      <c r="I1367" s="171"/>
      <c r="J1367" s="171"/>
      <c r="K1367" s="172"/>
      <c r="L1367" s="148"/>
      <c r="M1367" s="144"/>
      <c r="N1367" s="174"/>
      <c r="O1367" s="161"/>
      <c r="P1367" s="27"/>
      <c r="Q1367" s="161"/>
      <c r="R1367" s="161"/>
      <c r="S1367" s="27"/>
      <c r="T1367" s="161"/>
      <c r="U1367" s="162"/>
      <c r="V1367" s="176"/>
      <c r="X1367" s="214"/>
    </row>
    <row r="1368" spans="2:24" ht="10.95" customHeight="1" x14ac:dyDescent="0.25">
      <c r="B1368" s="41"/>
      <c r="C1368" s="77"/>
      <c r="D1368" s="42"/>
      <c r="E1368" s="154">
        <f t="shared" ref="E1368" si="60">E1364+1</f>
        <v>177</v>
      </c>
      <c r="F1368" s="145" t="str">
        <f>_xlfn.IFNA(VLOOKUP(E1368,'Data Kyu'!$A$6:$I$471,3,0),"")</f>
        <v/>
      </c>
      <c r="G1368" s="142"/>
      <c r="H1368" s="66"/>
      <c r="I1368" s="66"/>
      <c r="J1368" s="66"/>
      <c r="K1368" s="66"/>
      <c r="L1368" s="145" t="str">
        <f>_xlfn.IFNA(VLOOKUP(E1368,'Data Kyu'!$A$6:$I$471,9,0),"")</f>
        <v/>
      </c>
      <c r="M1368" s="142"/>
      <c r="N1368" s="145" t="str">
        <f>_xlfn.IFNA(VLOOKUP(E1368,'Data Kyu'!$A$6:$I$471,6,0),"")</f>
        <v/>
      </c>
      <c r="O1368" s="141"/>
      <c r="P1368" s="139" t="s">
        <v>5</v>
      </c>
      <c r="Q1368" s="141" t="str">
        <f>_xlfn.IFNA(VLOOKUP(E1368,'Data Kyu'!$A$6:$I$471,7,0),"")</f>
        <v/>
      </c>
      <c r="R1368" s="141"/>
      <c r="S1368" s="139" t="s">
        <v>5</v>
      </c>
      <c r="T1368" s="141" t="str">
        <f>_xlfn.IFNA(VLOOKUP(E1368,'Data Kyu'!$A$6:$I$471,8,0),"")</f>
        <v/>
      </c>
      <c r="U1368" s="142"/>
      <c r="V1368" s="142" t="str">
        <f>_xlfn.IFNA(VLOOKUP(E1368,'Data Kyu'!$A$6:$I$471,4,0),"")</f>
        <v/>
      </c>
      <c r="X1368" s="214" t="str">
        <f>_xlfn.IFNA(VLOOKUP(F1368,'Data Kyu'!$C$6:$N$997,12,0),"No Data")</f>
        <v>No Data</v>
      </c>
    </row>
    <row r="1369" spans="2:24" ht="10.95" customHeight="1" x14ac:dyDescent="0.25">
      <c r="B1369" s="52"/>
      <c r="C1369" s="165" t="str">
        <f>IF(X1368="LULUS","V","")</f>
        <v/>
      </c>
      <c r="D1369" s="53"/>
      <c r="E1369" s="155"/>
      <c r="F1369" s="148"/>
      <c r="G1369" s="144"/>
      <c r="H1369" s="67"/>
      <c r="I1369" s="67"/>
      <c r="J1369" s="67"/>
      <c r="K1369" s="67"/>
      <c r="L1369" s="146"/>
      <c r="M1369" s="147"/>
      <c r="N1369" s="148"/>
      <c r="O1369" s="143"/>
      <c r="P1369" s="140"/>
      <c r="Q1369" s="143"/>
      <c r="R1369" s="143"/>
      <c r="S1369" s="140"/>
      <c r="T1369" s="143"/>
      <c r="U1369" s="144"/>
      <c r="V1369" s="147"/>
      <c r="X1369" s="214"/>
    </row>
    <row r="1370" spans="2:24" ht="10.95" customHeight="1" x14ac:dyDescent="0.25">
      <c r="B1370" s="52"/>
      <c r="C1370" s="166"/>
      <c r="D1370" s="53"/>
      <c r="E1370" s="155"/>
      <c r="F1370" s="167" t="str">
        <f>_xlfn.IFNA(VLOOKUP(E1368,'Data Kyu'!$A$6:$I$471,2,0),"")</f>
        <v/>
      </c>
      <c r="G1370" s="168"/>
      <c r="H1370" s="168"/>
      <c r="I1370" s="168"/>
      <c r="J1370" s="168"/>
      <c r="K1370" s="169"/>
      <c r="L1370" s="146"/>
      <c r="M1370" s="147"/>
      <c r="N1370" s="173" t="s">
        <v>6</v>
      </c>
      <c r="O1370" s="159"/>
      <c r="P1370" s="57"/>
      <c r="Q1370" s="159" t="s">
        <v>7</v>
      </c>
      <c r="R1370" s="159"/>
      <c r="S1370" s="57"/>
      <c r="T1370" s="159" t="s">
        <v>8</v>
      </c>
      <c r="U1370" s="160"/>
      <c r="V1370" s="175"/>
      <c r="X1370" s="214"/>
    </row>
    <row r="1371" spans="2:24" ht="10.95" customHeight="1" x14ac:dyDescent="0.25">
      <c r="B1371" s="54"/>
      <c r="C1371" s="76"/>
      <c r="D1371" s="56"/>
      <c r="E1371" s="156"/>
      <c r="F1371" s="170"/>
      <c r="G1371" s="171"/>
      <c r="H1371" s="171"/>
      <c r="I1371" s="171"/>
      <c r="J1371" s="171"/>
      <c r="K1371" s="172"/>
      <c r="L1371" s="148"/>
      <c r="M1371" s="144"/>
      <c r="N1371" s="174"/>
      <c r="O1371" s="161"/>
      <c r="P1371" s="27"/>
      <c r="Q1371" s="161"/>
      <c r="R1371" s="161"/>
      <c r="S1371" s="27"/>
      <c r="T1371" s="161"/>
      <c r="U1371" s="162"/>
      <c r="V1371" s="176"/>
      <c r="X1371" s="214"/>
    </row>
    <row r="1372" spans="2:24" ht="10.95" customHeight="1" x14ac:dyDescent="0.25">
      <c r="B1372" s="41"/>
      <c r="C1372" s="77"/>
      <c r="D1372" s="42"/>
      <c r="E1372" s="154">
        <f t="shared" ref="E1372" si="61">E1368+1</f>
        <v>178</v>
      </c>
      <c r="F1372" s="145" t="str">
        <f>_xlfn.IFNA(VLOOKUP(E1372,'Data Kyu'!$A$6:$I$471,3,0),"")</f>
        <v/>
      </c>
      <c r="G1372" s="142"/>
      <c r="H1372" s="66"/>
      <c r="I1372" s="66"/>
      <c r="J1372" s="66"/>
      <c r="K1372" s="66"/>
      <c r="L1372" s="145" t="str">
        <f>_xlfn.IFNA(VLOOKUP(E1372,'Data Kyu'!$A$6:$I$471,9,0),"")</f>
        <v/>
      </c>
      <c r="M1372" s="142"/>
      <c r="N1372" s="145" t="str">
        <f>_xlfn.IFNA(VLOOKUP(E1372,'Data Kyu'!$A$6:$I$471,6,0),"")</f>
        <v/>
      </c>
      <c r="O1372" s="141"/>
      <c r="P1372" s="139" t="s">
        <v>5</v>
      </c>
      <c r="Q1372" s="141" t="str">
        <f>_xlfn.IFNA(VLOOKUP(E1372,'Data Kyu'!$A$6:$I$471,7,0),"")</f>
        <v/>
      </c>
      <c r="R1372" s="141"/>
      <c r="S1372" s="139" t="s">
        <v>5</v>
      </c>
      <c r="T1372" s="141" t="str">
        <f>_xlfn.IFNA(VLOOKUP(E1372,'Data Kyu'!$A$6:$I$471,8,0),"")</f>
        <v/>
      </c>
      <c r="U1372" s="142"/>
      <c r="V1372" s="142" t="str">
        <f>_xlfn.IFNA(VLOOKUP(E1372,'Data Kyu'!$A$6:$I$471,4,0),"")</f>
        <v/>
      </c>
      <c r="X1372" s="214" t="str">
        <f>_xlfn.IFNA(VLOOKUP(F1372,'Data Kyu'!$C$6:$N$997,12,0),"No Data")</f>
        <v>No Data</v>
      </c>
    </row>
    <row r="1373" spans="2:24" ht="10.95" customHeight="1" x14ac:dyDescent="0.25">
      <c r="B1373" s="52"/>
      <c r="C1373" s="165" t="str">
        <f>IF(X1372="LULUS","V","")</f>
        <v/>
      </c>
      <c r="D1373" s="53"/>
      <c r="E1373" s="155"/>
      <c r="F1373" s="148"/>
      <c r="G1373" s="144"/>
      <c r="H1373" s="67"/>
      <c r="I1373" s="67"/>
      <c r="J1373" s="67"/>
      <c r="K1373" s="67"/>
      <c r="L1373" s="146"/>
      <c r="M1373" s="147"/>
      <c r="N1373" s="148"/>
      <c r="O1373" s="143"/>
      <c r="P1373" s="140"/>
      <c r="Q1373" s="143"/>
      <c r="R1373" s="143"/>
      <c r="S1373" s="140"/>
      <c r="T1373" s="143"/>
      <c r="U1373" s="144"/>
      <c r="V1373" s="147"/>
      <c r="X1373" s="214"/>
    </row>
    <row r="1374" spans="2:24" ht="10.95" customHeight="1" x14ac:dyDescent="0.25">
      <c r="B1374" s="52"/>
      <c r="C1374" s="166"/>
      <c r="D1374" s="53"/>
      <c r="E1374" s="155"/>
      <c r="F1374" s="167" t="str">
        <f>_xlfn.IFNA(VLOOKUP(E1372,'Data Kyu'!$A$6:$I$471,2,0),"")</f>
        <v/>
      </c>
      <c r="G1374" s="168"/>
      <c r="H1374" s="168"/>
      <c r="I1374" s="168"/>
      <c r="J1374" s="168"/>
      <c r="K1374" s="169"/>
      <c r="L1374" s="146"/>
      <c r="M1374" s="147"/>
      <c r="N1374" s="173" t="s">
        <v>6</v>
      </c>
      <c r="O1374" s="159"/>
      <c r="P1374" s="57"/>
      <c r="Q1374" s="159" t="s">
        <v>7</v>
      </c>
      <c r="R1374" s="159"/>
      <c r="S1374" s="57"/>
      <c r="T1374" s="159" t="s">
        <v>8</v>
      </c>
      <c r="U1374" s="160"/>
      <c r="V1374" s="175"/>
      <c r="X1374" s="214"/>
    </row>
    <row r="1375" spans="2:24" ht="10.95" customHeight="1" x14ac:dyDescent="0.25">
      <c r="B1375" s="54"/>
      <c r="C1375" s="76"/>
      <c r="D1375" s="56"/>
      <c r="E1375" s="156"/>
      <c r="F1375" s="170"/>
      <c r="G1375" s="171"/>
      <c r="H1375" s="171"/>
      <c r="I1375" s="171"/>
      <c r="J1375" s="171"/>
      <c r="K1375" s="172"/>
      <c r="L1375" s="148"/>
      <c r="M1375" s="144"/>
      <c r="N1375" s="174"/>
      <c r="O1375" s="161"/>
      <c r="P1375" s="27"/>
      <c r="Q1375" s="161"/>
      <c r="R1375" s="161"/>
      <c r="S1375" s="27"/>
      <c r="T1375" s="161"/>
      <c r="U1375" s="162"/>
      <c r="V1375" s="176"/>
      <c r="X1375" s="214"/>
    </row>
    <row r="1376" spans="2:24" ht="10.95" customHeight="1" x14ac:dyDescent="0.25">
      <c r="B1376" s="41"/>
      <c r="C1376" s="77"/>
      <c r="D1376" s="42"/>
      <c r="E1376" s="154">
        <f t="shared" ref="E1376" si="62">E1372+1</f>
        <v>179</v>
      </c>
      <c r="F1376" s="145" t="str">
        <f>_xlfn.IFNA(VLOOKUP(E1376,'Data Kyu'!$A$6:$I$471,3,0),"")</f>
        <v/>
      </c>
      <c r="G1376" s="142"/>
      <c r="H1376" s="66"/>
      <c r="I1376" s="66"/>
      <c r="J1376" s="66"/>
      <c r="K1376" s="66"/>
      <c r="L1376" s="145" t="str">
        <f>_xlfn.IFNA(VLOOKUP(E1376,'Data Kyu'!$A$6:$I$471,9,0),"")</f>
        <v/>
      </c>
      <c r="M1376" s="142"/>
      <c r="N1376" s="145" t="str">
        <f>_xlfn.IFNA(VLOOKUP(E1376,'Data Kyu'!$A$6:$I$471,6,0),"")</f>
        <v/>
      </c>
      <c r="O1376" s="141"/>
      <c r="P1376" s="139" t="s">
        <v>5</v>
      </c>
      <c r="Q1376" s="141" t="str">
        <f>_xlfn.IFNA(VLOOKUP(E1376,'Data Kyu'!$A$6:$I$471,7,0),"")</f>
        <v/>
      </c>
      <c r="R1376" s="141"/>
      <c r="S1376" s="139" t="s">
        <v>5</v>
      </c>
      <c r="T1376" s="141" t="str">
        <f>_xlfn.IFNA(VLOOKUP(E1376,'Data Kyu'!$A$6:$I$471,8,0),"")</f>
        <v/>
      </c>
      <c r="U1376" s="142"/>
      <c r="V1376" s="142" t="str">
        <f>_xlfn.IFNA(VLOOKUP(E1376,'Data Kyu'!$A$6:$I$471,4,0),"")</f>
        <v/>
      </c>
      <c r="X1376" s="214" t="str">
        <f>_xlfn.IFNA(VLOOKUP(F1376,'Data Kyu'!$C$6:$N$997,12,0),"No Data")</f>
        <v>No Data</v>
      </c>
    </row>
    <row r="1377" spans="2:24" ht="10.95" customHeight="1" x14ac:dyDescent="0.25">
      <c r="B1377" s="52"/>
      <c r="C1377" s="165" t="str">
        <f>IF(X1376="LULUS","V","")</f>
        <v/>
      </c>
      <c r="D1377" s="53"/>
      <c r="E1377" s="155"/>
      <c r="F1377" s="148"/>
      <c r="G1377" s="144"/>
      <c r="H1377" s="67"/>
      <c r="I1377" s="67"/>
      <c r="J1377" s="67"/>
      <c r="K1377" s="67"/>
      <c r="L1377" s="146"/>
      <c r="M1377" s="147"/>
      <c r="N1377" s="148"/>
      <c r="O1377" s="143"/>
      <c r="P1377" s="140"/>
      <c r="Q1377" s="143"/>
      <c r="R1377" s="143"/>
      <c r="S1377" s="140"/>
      <c r="T1377" s="143"/>
      <c r="U1377" s="144"/>
      <c r="V1377" s="147"/>
      <c r="X1377" s="214"/>
    </row>
    <row r="1378" spans="2:24" ht="10.95" customHeight="1" x14ac:dyDescent="0.25">
      <c r="B1378" s="52"/>
      <c r="C1378" s="166"/>
      <c r="D1378" s="53"/>
      <c r="E1378" s="155"/>
      <c r="F1378" s="167" t="str">
        <f>_xlfn.IFNA(VLOOKUP(E1376,'Data Kyu'!$A$6:$I$471,2,0),"")</f>
        <v/>
      </c>
      <c r="G1378" s="168"/>
      <c r="H1378" s="168"/>
      <c r="I1378" s="168"/>
      <c r="J1378" s="168"/>
      <c r="K1378" s="169"/>
      <c r="L1378" s="146"/>
      <c r="M1378" s="147"/>
      <c r="N1378" s="173" t="s">
        <v>6</v>
      </c>
      <c r="O1378" s="159"/>
      <c r="P1378" s="57"/>
      <c r="Q1378" s="159" t="s">
        <v>7</v>
      </c>
      <c r="R1378" s="159"/>
      <c r="S1378" s="57"/>
      <c r="T1378" s="159" t="s">
        <v>8</v>
      </c>
      <c r="U1378" s="160"/>
      <c r="V1378" s="175"/>
      <c r="X1378" s="214"/>
    </row>
    <row r="1379" spans="2:24" ht="10.95" customHeight="1" x14ac:dyDescent="0.25">
      <c r="B1379" s="54"/>
      <c r="C1379" s="76"/>
      <c r="D1379" s="56"/>
      <c r="E1379" s="156"/>
      <c r="F1379" s="170"/>
      <c r="G1379" s="171"/>
      <c r="H1379" s="171"/>
      <c r="I1379" s="171"/>
      <c r="J1379" s="171"/>
      <c r="K1379" s="172"/>
      <c r="L1379" s="148"/>
      <c r="M1379" s="144"/>
      <c r="N1379" s="174"/>
      <c r="O1379" s="161"/>
      <c r="P1379" s="27"/>
      <c r="Q1379" s="161"/>
      <c r="R1379" s="161"/>
      <c r="S1379" s="27"/>
      <c r="T1379" s="161"/>
      <c r="U1379" s="162"/>
      <c r="V1379" s="176"/>
      <c r="X1379" s="214"/>
    </row>
    <row r="1380" spans="2:24" ht="10.95" customHeight="1" x14ac:dyDescent="0.25">
      <c r="B1380" s="41"/>
      <c r="C1380" s="77"/>
      <c r="D1380" s="42"/>
      <c r="E1380" s="154">
        <f t="shared" ref="E1380" si="63">E1376+1</f>
        <v>180</v>
      </c>
      <c r="F1380" s="145" t="str">
        <f>_xlfn.IFNA(VLOOKUP(E1380,'Data Kyu'!$A$6:$I$471,3,0),"")</f>
        <v/>
      </c>
      <c r="G1380" s="142"/>
      <c r="H1380" s="66"/>
      <c r="I1380" s="66"/>
      <c r="J1380" s="66"/>
      <c r="K1380" s="66"/>
      <c r="L1380" s="145" t="str">
        <f>_xlfn.IFNA(VLOOKUP(E1380,'Data Kyu'!$A$6:$I$471,9,0),"")</f>
        <v/>
      </c>
      <c r="M1380" s="142"/>
      <c r="N1380" s="145" t="str">
        <f>_xlfn.IFNA(VLOOKUP(E1380,'Data Kyu'!$A$6:$I$471,6,0),"")</f>
        <v/>
      </c>
      <c r="O1380" s="141"/>
      <c r="P1380" s="139" t="s">
        <v>5</v>
      </c>
      <c r="Q1380" s="141" t="str">
        <f>_xlfn.IFNA(VLOOKUP(E1380,'Data Kyu'!$A$6:$I$471,7,0),"")</f>
        <v/>
      </c>
      <c r="R1380" s="141"/>
      <c r="S1380" s="139" t="s">
        <v>5</v>
      </c>
      <c r="T1380" s="141" t="str">
        <f>_xlfn.IFNA(VLOOKUP(E1380,'Data Kyu'!$A$6:$I$471,8,0),"")</f>
        <v/>
      </c>
      <c r="U1380" s="142"/>
      <c r="V1380" s="142" t="str">
        <f>_xlfn.IFNA(VLOOKUP(E1380,'Data Kyu'!$A$6:$I$471,4,0),"")</f>
        <v/>
      </c>
      <c r="X1380" s="214" t="str">
        <f>_xlfn.IFNA(VLOOKUP(F1380,'Data Kyu'!$C$6:$N$997,12,0),"No Data")</f>
        <v>No Data</v>
      </c>
    </row>
    <row r="1381" spans="2:24" ht="10.95" customHeight="1" x14ac:dyDescent="0.25">
      <c r="B1381" s="52"/>
      <c r="C1381" s="165" t="str">
        <f>IF(X1380="LULUS","V","")</f>
        <v/>
      </c>
      <c r="D1381" s="53"/>
      <c r="E1381" s="155"/>
      <c r="F1381" s="148"/>
      <c r="G1381" s="144"/>
      <c r="H1381" s="67"/>
      <c r="I1381" s="67"/>
      <c r="J1381" s="67"/>
      <c r="K1381" s="67"/>
      <c r="L1381" s="146"/>
      <c r="M1381" s="147"/>
      <c r="N1381" s="148"/>
      <c r="O1381" s="143"/>
      <c r="P1381" s="140"/>
      <c r="Q1381" s="143"/>
      <c r="R1381" s="143"/>
      <c r="S1381" s="140"/>
      <c r="T1381" s="143"/>
      <c r="U1381" s="144"/>
      <c r="V1381" s="147"/>
      <c r="X1381" s="214"/>
    </row>
    <row r="1382" spans="2:24" ht="10.95" customHeight="1" x14ac:dyDescent="0.25">
      <c r="B1382" s="52"/>
      <c r="C1382" s="166"/>
      <c r="D1382" s="53"/>
      <c r="E1382" s="155"/>
      <c r="F1382" s="167" t="str">
        <f>_xlfn.IFNA(VLOOKUP(E1380,'Data Kyu'!$A$6:$I$471,2,0),"")</f>
        <v/>
      </c>
      <c r="G1382" s="168"/>
      <c r="H1382" s="168"/>
      <c r="I1382" s="168"/>
      <c r="J1382" s="168"/>
      <c r="K1382" s="169"/>
      <c r="L1382" s="146"/>
      <c r="M1382" s="147"/>
      <c r="N1382" s="173" t="s">
        <v>6</v>
      </c>
      <c r="O1382" s="159"/>
      <c r="P1382" s="57"/>
      <c r="Q1382" s="159" t="s">
        <v>7</v>
      </c>
      <c r="R1382" s="159"/>
      <c r="S1382" s="57"/>
      <c r="T1382" s="159" t="s">
        <v>8</v>
      </c>
      <c r="U1382" s="160"/>
      <c r="V1382" s="175"/>
      <c r="X1382" s="214"/>
    </row>
    <row r="1383" spans="2:24" ht="10.95" customHeight="1" x14ac:dyDescent="0.25">
      <c r="B1383" s="54"/>
      <c r="C1383" s="55"/>
      <c r="D1383" s="56"/>
      <c r="E1383" s="156"/>
      <c r="F1383" s="170"/>
      <c r="G1383" s="171"/>
      <c r="H1383" s="171"/>
      <c r="I1383" s="171"/>
      <c r="J1383" s="171"/>
      <c r="K1383" s="172"/>
      <c r="L1383" s="148"/>
      <c r="M1383" s="144"/>
      <c r="N1383" s="174"/>
      <c r="O1383" s="161"/>
      <c r="P1383" s="27"/>
      <c r="Q1383" s="161"/>
      <c r="R1383" s="161"/>
      <c r="S1383" s="27"/>
      <c r="T1383" s="161"/>
      <c r="U1383" s="162"/>
      <c r="V1383" s="176"/>
      <c r="X1383" s="214"/>
    </row>
    <row r="1384" spans="2:24" ht="7.5" customHeight="1" x14ac:dyDescent="0.25"/>
    <row r="1385" spans="2:24" s="34" customFormat="1" x14ac:dyDescent="0.25">
      <c r="E1385" s="35" t="s">
        <v>30</v>
      </c>
      <c r="K1385" s="35" t="s">
        <v>28</v>
      </c>
    </row>
    <row r="1386" spans="2:24" x14ac:dyDescent="0.25">
      <c r="E1386" s="33" t="s">
        <v>31</v>
      </c>
      <c r="F1386" s="149"/>
      <c r="G1386" s="149"/>
      <c r="H1386" s="149"/>
      <c r="I1386" s="149"/>
      <c r="J1386" s="149"/>
      <c r="K1386" s="33" t="s">
        <v>29</v>
      </c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</row>
    <row r="1387" spans="2:24" ht="6.75" customHeight="1" x14ac:dyDescent="0.25">
      <c r="F1387" s="34"/>
      <c r="G1387" s="34"/>
      <c r="H1387" s="34"/>
      <c r="I1387" s="34"/>
      <c r="J1387" s="34"/>
    </row>
    <row r="1388" spans="2:24" s="34" customFormat="1" x14ac:dyDescent="0.25">
      <c r="E1388" s="35" t="s">
        <v>32</v>
      </c>
      <c r="K1388" s="35" t="s">
        <v>36</v>
      </c>
    </row>
    <row r="1389" spans="2:24" x14ac:dyDescent="0.25">
      <c r="E1389" s="33" t="s">
        <v>33</v>
      </c>
      <c r="F1389" s="149"/>
      <c r="G1389" s="149"/>
      <c r="H1389" s="149"/>
      <c r="I1389" s="149"/>
      <c r="J1389" s="149"/>
      <c r="K1389" s="33" t="s">
        <v>29</v>
      </c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</row>
    <row r="1390" spans="2:24" ht="6.75" customHeight="1" x14ac:dyDescent="0.25">
      <c r="F1390" s="34"/>
      <c r="G1390" s="34"/>
      <c r="H1390" s="34"/>
      <c r="I1390" s="34"/>
      <c r="J1390" s="34"/>
    </row>
    <row r="1391" spans="2:24" s="34" customFormat="1" ht="13.8" x14ac:dyDescent="0.25">
      <c r="E1391" s="35" t="s">
        <v>34</v>
      </c>
      <c r="F1391" s="177" t="str">
        <f>IF(F1344&lt;&gt;"",$F$65,"")</f>
        <v/>
      </c>
      <c r="G1391" s="177"/>
      <c r="H1391" s="177"/>
      <c r="I1391" s="177"/>
      <c r="J1391" s="177"/>
      <c r="K1391" s="35" t="s">
        <v>28</v>
      </c>
      <c r="X1391" s="70" t="s">
        <v>107</v>
      </c>
    </row>
    <row r="1392" spans="2:24" ht="13.8" x14ac:dyDescent="0.25">
      <c r="E1392" s="33" t="s">
        <v>35</v>
      </c>
      <c r="F1392" s="178"/>
      <c r="G1392" s="178"/>
      <c r="H1392" s="178"/>
      <c r="I1392" s="178"/>
      <c r="J1392" s="178"/>
      <c r="K1392" s="33" t="s">
        <v>29</v>
      </c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X1392" s="70" t="s">
        <v>105</v>
      </c>
    </row>
    <row r="1393" spans="2:24" ht="12.75" customHeight="1" thickBot="1" x14ac:dyDescent="0.3"/>
    <row r="1394" spans="2:24" ht="13.8" thickTop="1" x14ac:dyDescent="0.25">
      <c r="B1394" s="34" t="s">
        <v>37</v>
      </c>
      <c r="C1394" s="34"/>
      <c r="D1394" s="34"/>
      <c r="H1394" s="150" t="s">
        <v>40</v>
      </c>
      <c r="I1394" s="151"/>
      <c r="J1394" s="151"/>
      <c r="K1394" s="151"/>
      <c r="L1394" s="151"/>
      <c r="M1394" s="151"/>
      <c r="N1394" s="151"/>
      <c r="O1394" s="151"/>
      <c r="P1394" s="151"/>
      <c r="Q1394" s="151"/>
      <c r="R1394" s="151"/>
      <c r="S1394" s="151"/>
      <c r="T1394" s="151"/>
      <c r="U1394" s="151"/>
      <c r="V1394" s="151"/>
    </row>
    <row r="1395" spans="2:24" x14ac:dyDescent="0.25">
      <c r="B1395" s="34" t="s">
        <v>38</v>
      </c>
      <c r="C1395" s="34"/>
      <c r="D1395" s="34"/>
      <c r="H1395" s="152"/>
      <c r="I1395" s="153"/>
      <c r="J1395" s="153"/>
      <c r="K1395" s="153"/>
      <c r="L1395" s="153"/>
      <c r="M1395" s="153"/>
      <c r="N1395" s="153"/>
      <c r="O1395" s="153"/>
      <c r="P1395" s="153"/>
      <c r="Q1395" s="153"/>
      <c r="R1395" s="153"/>
      <c r="S1395" s="153"/>
      <c r="T1395" s="153"/>
      <c r="U1395" s="153"/>
      <c r="V1395" s="153"/>
    </row>
    <row r="1396" spans="2:24" ht="12.75" customHeight="1" x14ac:dyDescent="0.25">
      <c r="B1396" s="163" t="s">
        <v>39</v>
      </c>
      <c r="C1396" s="163"/>
      <c r="D1396" s="163"/>
      <c r="E1396" s="163"/>
      <c r="F1396" s="163"/>
      <c r="H1396" s="37" t="s">
        <v>41</v>
      </c>
    </row>
    <row r="1397" spans="2:24" ht="13.8" x14ac:dyDescent="0.25">
      <c r="B1397" s="163"/>
      <c r="C1397" s="163"/>
      <c r="D1397" s="163"/>
      <c r="E1397" s="163"/>
      <c r="F1397" s="163"/>
      <c r="H1397" s="38" t="s">
        <v>42</v>
      </c>
    </row>
    <row r="1398" spans="2:24" x14ac:dyDescent="0.25">
      <c r="B1398" s="163"/>
      <c r="C1398" s="163"/>
      <c r="D1398" s="163"/>
      <c r="E1398" s="163"/>
      <c r="F1398" s="163"/>
      <c r="H1398" s="36"/>
    </row>
    <row r="1399" spans="2:24" x14ac:dyDescent="0.25">
      <c r="B1399" s="163"/>
      <c r="C1399" s="163"/>
      <c r="D1399" s="163"/>
      <c r="E1399" s="163"/>
      <c r="F1399" s="163"/>
      <c r="H1399" s="36"/>
    </row>
    <row r="1400" spans="2:24" x14ac:dyDescent="0.25">
      <c r="H1400" s="36"/>
    </row>
    <row r="1401" spans="2:24" x14ac:dyDescent="0.25">
      <c r="H1401" s="36"/>
    </row>
    <row r="1402" spans="2:24" x14ac:dyDescent="0.25">
      <c r="H1402" s="36"/>
    </row>
    <row r="1403" spans="2:24" x14ac:dyDescent="0.25">
      <c r="H1403" s="36"/>
    </row>
    <row r="1404" spans="2:24" ht="13.8" x14ac:dyDescent="0.25">
      <c r="H1404" s="157" t="str">
        <f>IF(F1344&lt;&gt;"",$H$78,"")</f>
        <v/>
      </c>
      <c r="I1404" s="158"/>
      <c r="J1404" s="158"/>
      <c r="K1404" s="158"/>
      <c r="L1404" s="158"/>
      <c r="M1404" s="158"/>
      <c r="N1404" s="158"/>
      <c r="O1404" s="158"/>
      <c r="P1404" s="158"/>
      <c r="Q1404" s="158"/>
      <c r="R1404" s="158"/>
      <c r="S1404" s="158"/>
      <c r="T1404" s="158"/>
      <c r="U1404" s="158"/>
      <c r="V1404" s="158"/>
    </row>
    <row r="1405" spans="2:24" x14ac:dyDescent="0.25">
      <c r="H1405" s="36"/>
    </row>
    <row r="1406" spans="2:24" ht="28.5" customHeight="1" x14ac:dyDescent="0.3">
      <c r="B1406" s="193" t="s">
        <v>43</v>
      </c>
      <c r="C1406" s="193"/>
      <c r="D1406" s="193"/>
      <c r="E1406" s="194"/>
      <c r="F1406" s="194"/>
      <c r="G1406" s="194"/>
      <c r="H1406" s="194"/>
      <c r="I1406" s="2"/>
      <c r="J1406" s="2"/>
      <c r="K1406" s="13" t="s">
        <v>25</v>
      </c>
      <c r="L1406" s="195" t="s">
        <v>14</v>
      </c>
      <c r="M1406" s="196"/>
      <c r="N1406" s="196"/>
      <c r="O1406" s="196"/>
      <c r="P1406" s="196"/>
      <c r="Q1406" s="196"/>
      <c r="R1406" s="196"/>
      <c r="S1406" s="196"/>
      <c r="T1406" s="196"/>
      <c r="U1406" s="196"/>
      <c r="V1406" s="197"/>
      <c r="X1406" s="1"/>
    </row>
    <row r="1407" spans="2:24" ht="26.25" customHeight="1" x14ac:dyDescent="0.4">
      <c r="B1407" s="39" t="s">
        <v>44</v>
      </c>
      <c r="C1407" s="39"/>
      <c r="D1407" s="39"/>
      <c r="E1407" s="2"/>
      <c r="F1407" s="2"/>
      <c r="G1407" s="2"/>
      <c r="H1407" s="2"/>
      <c r="I1407" s="2"/>
      <c r="J1407" s="2"/>
      <c r="K1407" s="29" t="s">
        <v>13</v>
      </c>
      <c r="L1407" s="15">
        <v>4</v>
      </c>
      <c r="M1407" s="16">
        <v>1</v>
      </c>
      <c r="N1407" s="15">
        <v>0</v>
      </c>
      <c r="O1407" s="198">
        <v>0</v>
      </c>
      <c r="P1407" s="199"/>
      <c r="Q1407" s="14">
        <v>0</v>
      </c>
      <c r="R1407" s="200">
        <v>1</v>
      </c>
      <c r="S1407" s="201"/>
      <c r="T1407" s="6"/>
      <c r="U1407" s="6"/>
      <c r="V1407" s="7"/>
      <c r="X1407" s="1"/>
    </row>
    <row r="1408" spans="2:24" ht="21" customHeight="1" x14ac:dyDescent="0.25">
      <c r="B1408" s="26" t="s">
        <v>45</v>
      </c>
      <c r="C1408" s="26"/>
      <c r="D1408" s="26"/>
      <c r="E1408" s="25"/>
      <c r="F1408" s="25"/>
      <c r="G1408" s="25"/>
      <c r="H1408" s="25"/>
      <c r="I1408" s="25"/>
      <c r="J1408" s="25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X1408" s="1"/>
    </row>
    <row r="1409" spans="2:24" ht="13.5" customHeight="1" x14ac:dyDescent="0.25">
      <c r="B1409" s="40" t="s">
        <v>24</v>
      </c>
      <c r="C1409" s="40"/>
      <c r="D1409" s="40"/>
      <c r="E1409" s="25"/>
      <c r="F1409" s="25"/>
      <c r="G1409" s="25"/>
      <c r="H1409" s="25"/>
      <c r="I1409" s="25"/>
      <c r="J1409" s="25"/>
      <c r="K1409" s="28" t="s">
        <v>6</v>
      </c>
      <c r="L1409" s="202" t="str">
        <f>IF(F1422&lt;&gt;"",$L$5,"")</f>
        <v/>
      </c>
      <c r="M1409" s="203"/>
      <c r="N1409" s="204" t="s">
        <v>15</v>
      </c>
      <c r="O1409" s="204"/>
      <c r="P1409" s="204"/>
      <c r="Q1409" s="205" t="str">
        <f>IF(F1422&lt;&gt;"",$Q$5,"")</f>
        <v/>
      </c>
      <c r="R1409" s="206"/>
      <c r="S1409" s="207" t="s">
        <v>16</v>
      </c>
      <c r="T1409" s="204"/>
      <c r="U1409" s="82" t="str">
        <f>IF(F1422&lt;&gt;"",$U$5,"")</f>
        <v/>
      </c>
      <c r="V1409" s="63"/>
      <c r="X1409" s="1"/>
    </row>
    <row r="1410" spans="2:24" ht="8.25" customHeight="1" x14ac:dyDescent="0.25"/>
    <row r="1411" spans="2:24" ht="11.25" customHeight="1" x14ac:dyDescent="0.25">
      <c r="B1411" s="24" t="s">
        <v>17</v>
      </c>
      <c r="C1411" s="24"/>
      <c r="D1411" s="24"/>
    </row>
    <row r="1412" spans="2:24" ht="11.25" customHeight="1" x14ac:dyDescent="0.25">
      <c r="B1412" s="8" t="s">
        <v>18</v>
      </c>
      <c r="C1412" s="8"/>
      <c r="D1412" s="8"/>
    </row>
    <row r="1413" spans="2:24" ht="5.25" customHeight="1" x14ac:dyDescent="0.25">
      <c r="B1413" s="8"/>
      <c r="C1413" s="8"/>
      <c r="D1413" s="8"/>
    </row>
    <row r="1414" spans="2:24" x14ac:dyDescent="0.25">
      <c r="B1414" s="179" t="s">
        <v>19</v>
      </c>
      <c r="C1414" s="179"/>
      <c r="D1414" s="179"/>
      <c r="E1414" s="179"/>
      <c r="F1414" s="179"/>
      <c r="G1414" s="18" t="s">
        <v>6</v>
      </c>
      <c r="H1414" s="64" t="str">
        <f>IF(F1422&lt;&gt;"",$H$10,"")</f>
        <v/>
      </c>
      <c r="I1414" s="9" t="s">
        <v>15</v>
      </c>
      <c r="J1414" s="83" t="str">
        <f>IF(F1422&lt;&gt;"",$J$10,"")</f>
        <v/>
      </c>
      <c r="K1414" s="9" t="s">
        <v>16</v>
      </c>
      <c r="L1414" s="180" t="str">
        <f>IF(F1422&lt;&gt;"",$L$10,"")</f>
        <v/>
      </c>
      <c r="M1414" s="181"/>
      <c r="X1414" s="32"/>
    </row>
    <row r="1415" spans="2:24" ht="5.25" customHeight="1" x14ac:dyDescent="0.25">
      <c r="B1415" s="8"/>
      <c r="C1415" s="8"/>
      <c r="D1415" s="8"/>
      <c r="E1415" s="8"/>
      <c r="F1415" s="8"/>
      <c r="G1415" s="19"/>
      <c r="H1415" s="20"/>
      <c r="I1415" s="21"/>
      <c r="J1415" s="20"/>
      <c r="K1415" s="10"/>
      <c r="L1415" s="22"/>
      <c r="X1415" s="32"/>
    </row>
    <row r="1416" spans="2:24" s="73" customFormat="1" ht="14.4" customHeight="1" x14ac:dyDescent="0.25">
      <c r="B1416" s="72" t="s">
        <v>20</v>
      </c>
      <c r="C1416" s="72"/>
      <c r="D1416" s="72"/>
      <c r="X1416" s="74"/>
    </row>
    <row r="1417" spans="2:24" s="73" customFormat="1" ht="14.4" customHeight="1" x14ac:dyDescent="0.25">
      <c r="B1417" s="75" t="s">
        <v>21</v>
      </c>
      <c r="C1417" s="10"/>
      <c r="D1417" s="10"/>
      <c r="E1417" s="22" t="s">
        <v>22</v>
      </c>
      <c r="X1417" s="74"/>
    </row>
    <row r="1418" spans="2:24" s="73" customFormat="1" ht="14.4" customHeight="1" x14ac:dyDescent="0.25">
      <c r="B1418" s="22"/>
      <c r="C1418" s="22"/>
      <c r="D1418" s="22"/>
      <c r="E1418" s="22" t="s">
        <v>23</v>
      </c>
      <c r="X1418" s="164" t="s">
        <v>102</v>
      </c>
    </row>
    <row r="1419" spans="2:24" ht="7.5" customHeight="1" x14ac:dyDescent="0.25">
      <c r="B1419" s="8"/>
      <c r="C1419" s="8"/>
      <c r="D1419" s="8"/>
      <c r="X1419" s="164"/>
    </row>
    <row r="1420" spans="2:24" ht="17.25" customHeight="1" x14ac:dyDescent="0.25">
      <c r="B1420" s="182"/>
      <c r="C1420" s="59"/>
      <c r="D1420" s="60"/>
      <c r="E1420" s="184" t="s">
        <v>0</v>
      </c>
      <c r="F1420" s="186" t="s">
        <v>1</v>
      </c>
      <c r="G1420" s="187"/>
      <c r="H1420" s="4"/>
      <c r="I1420" s="4"/>
      <c r="J1420" s="4"/>
      <c r="K1420" s="5"/>
      <c r="L1420" s="145" t="s">
        <v>3</v>
      </c>
      <c r="M1420" s="142"/>
      <c r="N1420" s="188" t="s">
        <v>10</v>
      </c>
      <c r="O1420" s="188"/>
      <c r="P1420" s="188"/>
      <c r="Q1420" s="188"/>
      <c r="R1420" s="188"/>
      <c r="S1420" s="188"/>
      <c r="T1420" s="188"/>
      <c r="U1420" s="189"/>
      <c r="V1420" s="3" t="s">
        <v>12</v>
      </c>
      <c r="X1420" s="68" t="s">
        <v>200</v>
      </c>
    </row>
    <row r="1421" spans="2:24" ht="17.25" customHeight="1" x14ac:dyDescent="0.25">
      <c r="B1421" s="183"/>
      <c r="C1421" s="61"/>
      <c r="D1421" s="62"/>
      <c r="E1421" s="185"/>
      <c r="F1421" s="30" t="s">
        <v>2</v>
      </c>
      <c r="G1421" s="17"/>
      <c r="H1421" s="6"/>
      <c r="I1421" s="6"/>
      <c r="J1421" s="6"/>
      <c r="K1421" s="7"/>
      <c r="L1421" s="190" t="s">
        <v>4</v>
      </c>
      <c r="M1421" s="191"/>
      <c r="N1421" s="192" t="s">
        <v>9</v>
      </c>
      <c r="O1421" s="192"/>
      <c r="P1421" s="192"/>
      <c r="Q1421" s="192"/>
      <c r="R1421" s="192"/>
      <c r="S1421" s="192"/>
      <c r="T1421" s="192"/>
      <c r="U1421" s="191"/>
      <c r="V1421" s="31" t="s">
        <v>11</v>
      </c>
      <c r="X1421" s="69"/>
    </row>
    <row r="1422" spans="2:24" ht="10.95" customHeight="1" x14ac:dyDescent="0.25">
      <c r="B1422" s="41"/>
      <c r="C1422" s="51"/>
      <c r="D1422" s="42"/>
      <c r="E1422" s="154">
        <v>181</v>
      </c>
      <c r="F1422" s="145" t="str">
        <f>_xlfn.IFNA(VLOOKUP(E1422,'Data Kyu'!$A$6:$I$471,3,0),"")</f>
        <v/>
      </c>
      <c r="G1422" s="142"/>
      <c r="H1422" s="66"/>
      <c r="I1422" s="66"/>
      <c r="J1422" s="66"/>
      <c r="K1422" s="66"/>
      <c r="L1422" s="145" t="str">
        <f>_xlfn.IFNA(VLOOKUP(E1422,'Data Kyu'!$A$6:$I$471,9,0),"")</f>
        <v/>
      </c>
      <c r="M1422" s="142"/>
      <c r="N1422" s="145" t="str">
        <f>_xlfn.IFNA(VLOOKUP(E1422,'Data Kyu'!$A$6:$I$471,6,0),"")</f>
        <v/>
      </c>
      <c r="O1422" s="141"/>
      <c r="P1422" s="139" t="s">
        <v>5</v>
      </c>
      <c r="Q1422" s="141" t="str">
        <f>_xlfn.IFNA(VLOOKUP(E1422,'Data Kyu'!$A$6:$I$471,7,0),"")</f>
        <v/>
      </c>
      <c r="R1422" s="141"/>
      <c r="S1422" s="139" t="s">
        <v>5</v>
      </c>
      <c r="T1422" s="141" t="str">
        <f>_xlfn.IFNA(VLOOKUP(E1422,'Data Kyu'!$A$6:$I$471,8,0),"")</f>
        <v/>
      </c>
      <c r="U1422" s="142"/>
      <c r="V1422" s="142" t="str">
        <f>_xlfn.IFNA(VLOOKUP(E1422,'Data Kyu'!$A$6:$I$471,4,0),"")</f>
        <v/>
      </c>
      <c r="X1422" s="214" t="str">
        <f>_xlfn.IFNA(VLOOKUP(F1422,'Data Kyu'!$C$6:$N$997,12,0),"No Data")</f>
        <v>No Data</v>
      </c>
    </row>
    <row r="1423" spans="2:24" ht="10.95" customHeight="1" x14ac:dyDescent="0.25">
      <c r="B1423" s="52"/>
      <c r="C1423" s="165" t="str">
        <f>IF(X1422="LULUS","V","")</f>
        <v/>
      </c>
      <c r="D1423" s="53"/>
      <c r="E1423" s="155"/>
      <c r="F1423" s="148"/>
      <c r="G1423" s="144"/>
      <c r="H1423" s="67"/>
      <c r="I1423" s="67"/>
      <c r="J1423" s="67"/>
      <c r="K1423" s="67"/>
      <c r="L1423" s="146"/>
      <c r="M1423" s="147"/>
      <c r="N1423" s="148"/>
      <c r="O1423" s="143"/>
      <c r="P1423" s="140"/>
      <c r="Q1423" s="143"/>
      <c r="R1423" s="143"/>
      <c r="S1423" s="140"/>
      <c r="T1423" s="143"/>
      <c r="U1423" s="144"/>
      <c r="V1423" s="147"/>
      <c r="X1423" s="214"/>
    </row>
    <row r="1424" spans="2:24" ht="10.95" customHeight="1" x14ac:dyDescent="0.25">
      <c r="B1424" s="52"/>
      <c r="C1424" s="166"/>
      <c r="D1424" s="53"/>
      <c r="E1424" s="155"/>
      <c r="F1424" s="167" t="str">
        <f>_xlfn.IFNA(VLOOKUP(E1422,'Data Kyu'!$A$6:$I$471,2,0),"")</f>
        <v/>
      </c>
      <c r="G1424" s="168"/>
      <c r="H1424" s="168"/>
      <c r="I1424" s="168"/>
      <c r="J1424" s="168"/>
      <c r="K1424" s="169"/>
      <c r="L1424" s="146"/>
      <c r="M1424" s="147"/>
      <c r="N1424" s="173" t="s">
        <v>6</v>
      </c>
      <c r="O1424" s="159"/>
      <c r="P1424" s="57"/>
      <c r="Q1424" s="159" t="s">
        <v>7</v>
      </c>
      <c r="R1424" s="159"/>
      <c r="S1424" s="57"/>
      <c r="T1424" s="159" t="s">
        <v>8</v>
      </c>
      <c r="U1424" s="160"/>
      <c r="V1424" s="175"/>
      <c r="X1424" s="214"/>
    </row>
    <row r="1425" spans="2:24" ht="10.95" customHeight="1" x14ac:dyDescent="0.25">
      <c r="B1425" s="54"/>
      <c r="C1425" s="76"/>
      <c r="D1425" s="56"/>
      <c r="E1425" s="156"/>
      <c r="F1425" s="170"/>
      <c r="G1425" s="171"/>
      <c r="H1425" s="171"/>
      <c r="I1425" s="171"/>
      <c r="J1425" s="171"/>
      <c r="K1425" s="172"/>
      <c r="L1425" s="148"/>
      <c r="M1425" s="144"/>
      <c r="N1425" s="174"/>
      <c r="O1425" s="161"/>
      <c r="P1425" s="27"/>
      <c r="Q1425" s="161"/>
      <c r="R1425" s="161"/>
      <c r="S1425" s="27"/>
      <c r="T1425" s="161"/>
      <c r="U1425" s="162"/>
      <c r="V1425" s="176"/>
      <c r="X1425" s="214"/>
    </row>
    <row r="1426" spans="2:24" ht="10.95" customHeight="1" x14ac:dyDescent="0.25">
      <c r="B1426" s="41"/>
      <c r="C1426" s="77"/>
      <c r="D1426" s="42"/>
      <c r="E1426" s="154">
        <f>E1422+1</f>
        <v>182</v>
      </c>
      <c r="F1426" s="145" t="str">
        <f>_xlfn.IFNA(VLOOKUP(E1426,'Data Kyu'!$A$6:$I$471,3,0),"")</f>
        <v/>
      </c>
      <c r="G1426" s="142"/>
      <c r="H1426" s="66"/>
      <c r="I1426" s="66"/>
      <c r="J1426" s="66"/>
      <c r="K1426" s="66"/>
      <c r="L1426" s="145" t="str">
        <f>_xlfn.IFNA(VLOOKUP(E1426,'Data Kyu'!$A$6:$I$471,9,0),"")</f>
        <v/>
      </c>
      <c r="M1426" s="142"/>
      <c r="N1426" s="145" t="str">
        <f>_xlfn.IFNA(VLOOKUP(E1426,'Data Kyu'!$A$6:$I$471,6,0),"")</f>
        <v/>
      </c>
      <c r="O1426" s="141"/>
      <c r="P1426" s="139" t="s">
        <v>5</v>
      </c>
      <c r="Q1426" s="141" t="str">
        <f>_xlfn.IFNA(VLOOKUP(E1426,'Data Kyu'!$A$6:$I$471,7,0),"")</f>
        <v/>
      </c>
      <c r="R1426" s="141"/>
      <c r="S1426" s="139" t="s">
        <v>5</v>
      </c>
      <c r="T1426" s="141" t="str">
        <f>_xlfn.IFNA(VLOOKUP(E1426,'Data Kyu'!$A$6:$I$471,8,0),"")</f>
        <v/>
      </c>
      <c r="U1426" s="142"/>
      <c r="V1426" s="142" t="str">
        <f>_xlfn.IFNA(VLOOKUP(E1426,'Data Kyu'!$A$6:$I$471,4,0),"")</f>
        <v/>
      </c>
      <c r="X1426" s="214" t="str">
        <f>_xlfn.IFNA(VLOOKUP(F1426,'Data Kyu'!$C$6:$N$997,12,0),"No Data")</f>
        <v>No Data</v>
      </c>
    </row>
    <row r="1427" spans="2:24" ht="10.95" customHeight="1" x14ac:dyDescent="0.25">
      <c r="B1427" s="52"/>
      <c r="C1427" s="165" t="str">
        <f>IF(X1426="LULUS","V","")</f>
        <v/>
      </c>
      <c r="D1427" s="53"/>
      <c r="E1427" s="155"/>
      <c r="F1427" s="148"/>
      <c r="G1427" s="144"/>
      <c r="H1427" s="67"/>
      <c r="I1427" s="67"/>
      <c r="J1427" s="67"/>
      <c r="K1427" s="67"/>
      <c r="L1427" s="146"/>
      <c r="M1427" s="147"/>
      <c r="N1427" s="148"/>
      <c r="O1427" s="143"/>
      <c r="P1427" s="140"/>
      <c r="Q1427" s="143"/>
      <c r="R1427" s="143"/>
      <c r="S1427" s="140"/>
      <c r="T1427" s="143"/>
      <c r="U1427" s="144"/>
      <c r="V1427" s="147"/>
      <c r="X1427" s="214"/>
    </row>
    <row r="1428" spans="2:24" ht="10.95" customHeight="1" x14ac:dyDescent="0.25">
      <c r="B1428" s="52"/>
      <c r="C1428" s="166"/>
      <c r="D1428" s="53"/>
      <c r="E1428" s="155"/>
      <c r="F1428" s="167" t="str">
        <f>_xlfn.IFNA(VLOOKUP(E1426,'Data Kyu'!$A$6:$I$471,2,0),"")</f>
        <v/>
      </c>
      <c r="G1428" s="168"/>
      <c r="H1428" s="168"/>
      <c r="I1428" s="168"/>
      <c r="J1428" s="168"/>
      <c r="K1428" s="169"/>
      <c r="L1428" s="146"/>
      <c r="M1428" s="147"/>
      <c r="N1428" s="173" t="s">
        <v>6</v>
      </c>
      <c r="O1428" s="159"/>
      <c r="P1428" s="57"/>
      <c r="Q1428" s="159" t="s">
        <v>7</v>
      </c>
      <c r="R1428" s="159"/>
      <c r="S1428" s="57"/>
      <c r="T1428" s="159" t="s">
        <v>8</v>
      </c>
      <c r="U1428" s="160"/>
      <c r="V1428" s="175"/>
      <c r="X1428" s="214"/>
    </row>
    <row r="1429" spans="2:24" ht="10.95" customHeight="1" x14ac:dyDescent="0.25">
      <c r="B1429" s="54"/>
      <c r="C1429" s="76"/>
      <c r="D1429" s="56"/>
      <c r="E1429" s="156"/>
      <c r="F1429" s="170"/>
      <c r="G1429" s="171"/>
      <c r="H1429" s="171"/>
      <c r="I1429" s="171"/>
      <c r="J1429" s="171"/>
      <c r="K1429" s="172"/>
      <c r="L1429" s="148"/>
      <c r="M1429" s="144"/>
      <c r="N1429" s="174"/>
      <c r="O1429" s="161"/>
      <c r="P1429" s="27"/>
      <c r="Q1429" s="161"/>
      <c r="R1429" s="161"/>
      <c r="S1429" s="27"/>
      <c r="T1429" s="161"/>
      <c r="U1429" s="162"/>
      <c r="V1429" s="176"/>
      <c r="X1429" s="214"/>
    </row>
    <row r="1430" spans="2:24" ht="10.95" customHeight="1" x14ac:dyDescent="0.25">
      <c r="B1430" s="41"/>
      <c r="C1430" s="77"/>
      <c r="D1430" s="42"/>
      <c r="E1430" s="154">
        <f t="shared" ref="E1430" si="64">E1426+1</f>
        <v>183</v>
      </c>
      <c r="F1430" s="145" t="str">
        <f>_xlfn.IFNA(VLOOKUP(E1430,'Data Kyu'!$A$6:$I$471,3,0),"")</f>
        <v/>
      </c>
      <c r="G1430" s="142"/>
      <c r="H1430" s="66"/>
      <c r="I1430" s="66"/>
      <c r="J1430" s="66"/>
      <c r="K1430" s="66"/>
      <c r="L1430" s="145" t="str">
        <f>_xlfn.IFNA(VLOOKUP(E1430,'Data Kyu'!$A$6:$I$471,9,0),"")</f>
        <v/>
      </c>
      <c r="M1430" s="142"/>
      <c r="N1430" s="145" t="str">
        <f>_xlfn.IFNA(VLOOKUP(E1430,'Data Kyu'!$A$6:$I$471,6,0),"")</f>
        <v/>
      </c>
      <c r="O1430" s="141"/>
      <c r="P1430" s="139" t="s">
        <v>5</v>
      </c>
      <c r="Q1430" s="141" t="str">
        <f>_xlfn.IFNA(VLOOKUP(E1430,'Data Kyu'!$A$6:$I$471,7,0),"")</f>
        <v/>
      </c>
      <c r="R1430" s="141"/>
      <c r="S1430" s="139" t="s">
        <v>5</v>
      </c>
      <c r="T1430" s="141" t="str">
        <f>_xlfn.IFNA(VLOOKUP(E1430,'Data Kyu'!$A$6:$I$471,8,0),"")</f>
        <v/>
      </c>
      <c r="U1430" s="142"/>
      <c r="V1430" s="142" t="str">
        <f>_xlfn.IFNA(VLOOKUP(E1430,'Data Kyu'!$A$6:$I$471,4,0),"")</f>
        <v/>
      </c>
      <c r="X1430" s="214" t="str">
        <f>_xlfn.IFNA(VLOOKUP(F1430,'Data Kyu'!$C$6:$N$997,12,0),"No Data")</f>
        <v>No Data</v>
      </c>
    </row>
    <row r="1431" spans="2:24" ht="10.95" customHeight="1" x14ac:dyDescent="0.25">
      <c r="B1431" s="52"/>
      <c r="C1431" s="165" t="str">
        <f>IF(X1430="LULUS","V","")</f>
        <v/>
      </c>
      <c r="D1431" s="53"/>
      <c r="E1431" s="155"/>
      <c r="F1431" s="148"/>
      <c r="G1431" s="144"/>
      <c r="H1431" s="67"/>
      <c r="I1431" s="67"/>
      <c r="J1431" s="67"/>
      <c r="K1431" s="67"/>
      <c r="L1431" s="146"/>
      <c r="M1431" s="147"/>
      <c r="N1431" s="148"/>
      <c r="O1431" s="143"/>
      <c r="P1431" s="140"/>
      <c r="Q1431" s="143"/>
      <c r="R1431" s="143"/>
      <c r="S1431" s="140"/>
      <c r="T1431" s="143"/>
      <c r="U1431" s="144"/>
      <c r="V1431" s="147"/>
      <c r="X1431" s="214"/>
    </row>
    <row r="1432" spans="2:24" ht="10.95" customHeight="1" x14ac:dyDescent="0.25">
      <c r="B1432" s="52"/>
      <c r="C1432" s="166"/>
      <c r="D1432" s="53"/>
      <c r="E1432" s="155"/>
      <c r="F1432" s="167" t="str">
        <f>_xlfn.IFNA(VLOOKUP(E1430,'Data Kyu'!$A$6:$I$471,2,0),"")</f>
        <v/>
      </c>
      <c r="G1432" s="168"/>
      <c r="H1432" s="168"/>
      <c r="I1432" s="168"/>
      <c r="J1432" s="168"/>
      <c r="K1432" s="169"/>
      <c r="L1432" s="146"/>
      <c r="M1432" s="147"/>
      <c r="N1432" s="173" t="s">
        <v>6</v>
      </c>
      <c r="O1432" s="159"/>
      <c r="P1432" s="57"/>
      <c r="Q1432" s="159" t="s">
        <v>7</v>
      </c>
      <c r="R1432" s="159"/>
      <c r="S1432" s="57"/>
      <c r="T1432" s="159" t="s">
        <v>8</v>
      </c>
      <c r="U1432" s="160"/>
      <c r="V1432" s="175"/>
      <c r="X1432" s="214"/>
    </row>
    <row r="1433" spans="2:24" ht="10.95" customHeight="1" x14ac:dyDescent="0.25">
      <c r="B1433" s="54"/>
      <c r="C1433" s="76"/>
      <c r="D1433" s="56"/>
      <c r="E1433" s="156"/>
      <c r="F1433" s="170"/>
      <c r="G1433" s="171"/>
      <c r="H1433" s="171"/>
      <c r="I1433" s="171"/>
      <c r="J1433" s="171"/>
      <c r="K1433" s="172"/>
      <c r="L1433" s="148"/>
      <c r="M1433" s="144"/>
      <c r="N1433" s="174"/>
      <c r="O1433" s="161"/>
      <c r="P1433" s="27"/>
      <c r="Q1433" s="161"/>
      <c r="R1433" s="161"/>
      <c r="S1433" s="27"/>
      <c r="T1433" s="161"/>
      <c r="U1433" s="162"/>
      <c r="V1433" s="176"/>
      <c r="X1433" s="214"/>
    </row>
    <row r="1434" spans="2:24" ht="10.95" customHeight="1" x14ac:dyDescent="0.25">
      <c r="B1434" s="41"/>
      <c r="C1434" s="77"/>
      <c r="D1434" s="42"/>
      <c r="E1434" s="154">
        <f t="shared" ref="E1434" si="65">E1430+1</f>
        <v>184</v>
      </c>
      <c r="F1434" s="145" t="str">
        <f>_xlfn.IFNA(VLOOKUP(E1434,'Data Kyu'!$A$6:$I$471,3,0),"")</f>
        <v/>
      </c>
      <c r="G1434" s="142"/>
      <c r="H1434" s="66"/>
      <c r="I1434" s="66"/>
      <c r="J1434" s="66"/>
      <c r="K1434" s="66"/>
      <c r="L1434" s="145" t="str">
        <f>_xlfn.IFNA(VLOOKUP(E1434,'Data Kyu'!$A$6:$I$471,9,0),"")</f>
        <v/>
      </c>
      <c r="M1434" s="142"/>
      <c r="N1434" s="145" t="str">
        <f>_xlfn.IFNA(VLOOKUP(E1434,'Data Kyu'!$A$6:$I$471,6,0),"")</f>
        <v/>
      </c>
      <c r="O1434" s="141"/>
      <c r="P1434" s="139" t="s">
        <v>5</v>
      </c>
      <c r="Q1434" s="141" t="str">
        <f>_xlfn.IFNA(VLOOKUP(E1434,'Data Kyu'!$A$6:$I$471,7,0),"")</f>
        <v/>
      </c>
      <c r="R1434" s="141"/>
      <c r="S1434" s="139" t="s">
        <v>5</v>
      </c>
      <c r="T1434" s="141" t="str">
        <f>_xlfn.IFNA(VLOOKUP(E1434,'Data Kyu'!$A$6:$I$471,8,0),"")</f>
        <v/>
      </c>
      <c r="U1434" s="142"/>
      <c r="V1434" s="142" t="str">
        <f>_xlfn.IFNA(VLOOKUP(E1434,'Data Kyu'!$A$6:$I$471,4,0),"")</f>
        <v/>
      </c>
      <c r="X1434" s="214" t="str">
        <f>_xlfn.IFNA(VLOOKUP(F1434,'Data Kyu'!$C$6:$N$997,12,0),"No Data")</f>
        <v>No Data</v>
      </c>
    </row>
    <row r="1435" spans="2:24" ht="10.95" customHeight="1" x14ac:dyDescent="0.25">
      <c r="B1435" s="52"/>
      <c r="C1435" s="165" t="str">
        <f>IF(X1434="LULUS","V","")</f>
        <v/>
      </c>
      <c r="D1435" s="53"/>
      <c r="E1435" s="155"/>
      <c r="F1435" s="148"/>
      <c r="G1435" s="144"/>
      <c r="H1435" s="67"/>
      <c r="I1435" s="67"/>
      <c r="J1435" s="67"/>
      <c r="K1435" s="67"/>
      <c r="L1435" s="146"/>
      <c r="M1435" s="147"/>
      <c r="N1435" s="148"/>
      <c r="O1435" s="143"/>
      <c r="P1435" s="140"/>
      <c r="Q1435" s="143"/>
      <c r="R1435" s="143"/>
      <c r="S1435" s="140"/>
      <c r="T1435" s="143"/>
      <c r="U1435" s="144"/>
      <c r="V1435" s="147"/>
      <c r="X1435" s="214"/>
    </row>
    <row r="1436" spans="2:24" ht="10.95" customHeight="1" x14ac:dyDescent="0.25">
      <c r="B1436" s="52"/>
      <c r="C1436" s="166"/>
      <c r="D1436" s="53"/>
      <c r="E1436" s="155"/>
      <c r="F1436" s="167" t="str">
        <f>_xlfn.IFNA(VLOOKUP(E1434,'Data Kyu'!$A$6:$I$471,2,0),"")</f>
        <v/>
      </c>
      <c r="G1436" s="168"/>
      <c r="H1436" s="168"/>
      <c r="I1436" s="168"/>
      <c r="J1436" s="168"/>
      <c r="K1436" s="169"/>
      <c r="L1436" s="146"/>
      <c r="M1436" s="147"/>
      <c r="N1436" s="173" t="s">
        <v>6</v>
      </c>
      <c r="O1436" s="159"/>
      <c r="P1436" s="57"/>
      <c r="Q1436" s="159" t="s">
        <v>7</v>
      </c>
      <c r="R1436" s="159"/>
      <c r="S1436" s="57"/>
      <c r="T1436" s="159" t="s">
        <v>8</v>
      </c>
      <c r="U1436" s="160"/>
      <c r="V1436" s="175"/>
      <c r="X1436" s="214"/>
    </row>
    <row r="1437" spans="2:24" ht="10.95" customHeight="1" x14ac:dyDescent="0.25">
      <c r="B1437" s="54"/>
      <c r="C1437" s="76"/>
      <c r="D1437" s="56"/>
      <c r="E1437" s="156"/>
      <c r="F1437" s="170"/>
      <c r="G1437" s="171"/>
      <c r="H1437" s="171"/>
      <c r="I1437" s="171"/>
      <c r="J1437" s="171"/>
      <c r="K1437" s="172"/>
      <c r="L1437" s="148"/>
      <c r="M1437" s="144"/>
      <c r="N1437" s="174"/>
      <c r="O1437" s="161"/>
      <c r="P1437" s="27"/>
      <c r="Q1437" s="161"/>
      <c r="R1437" s="161"/>
      <c r="S1437" s="27"/>
      <c r="T1437" s="161"/>
      <c r="U1437" s="162"/>
      <c r="V1437" s="176"/>
      <c r="X1437" s="214"/>
    </row>
    <row r="1438" spans="2:24" ht="10.95" customHeight="1" x14ac:dyDescent="0.25">
      <c r="B1438" s="41"/>
      <c r="C1438" s="77"/>
      <c r="D1438" s="42"/>
      <c r="E1438" s="154">
        <f t="shared" ref="E1438" si="66">E1434+1</f>
        <v>185</v>
      </c>
      <c r="F1438" s="145" t="str">
        <f>_xlfn.IFNA(VLOOKUP(E1438,'Data Kyu'!$A$6:$I$471,3,0),"")</f>
        <v/>
      </c>
      <c r="G1438" s="142"/>
      <c r="H1438" s="66"/>
      <c r="I1438" s="66"/>
      <c r="J1438" s="66"/>
      <c r="K1438" s="66"/>
      <c r="L1438" s="145" t="str">
        <f>_xlfn.IFNA(VLOOKUP(E1438,'Data Kyu'!$A$6:$I$471,9,0),"")</f>
        <v/>
      </c>
      <c r="M1438" s="142"/>
      <c r="N1438" s="145" t="str">
        <f>_xlfn.IFNA(VLOOKUP(E1438,'Data Kyu'!$A$6:$I$471,6,0),"")</f>
        <v/>
      </c>
      <c r="O1438" s="141"/>
      <c r="P1438" s="139" t="s">
        <v>5</v>
      </c>
      <c r="Q1438" s="141" t="str">
        <f>_xlfn.IFNA(VLOOKUP(E1438,'Data Kyu'!$A$6:$I$471,7,0),"")</f>
        <v/>
      </c>
      <c r="R1438" s="141"/>
      <c r="S1438" s="139" t="s">
        <v>5</v>
      </c>
      <c r="T1438" s="141" t="str">
        <f>_xlfn.IFNA(VLOOKUP(E1438,'Data Kyu'!$A$6:$I$471,8,0),"")</f>
        <v/>
      </c>
      <c r="U1438" s="142"/>
      <c r="V1438" s="142" t="str">
        <f>_xlfn.IFNA(VLOOKUP(E1438,'Data Kyu'!$A$6:$I$471,4,0),"")</f>
        <v/>
      </c>
      <c r="X1438" s="214" t="str">
        <f>_xlfn.IFNA(VLOOKUP(F1438,'Data Kyu'!$C$6:$N$997,12,0),"No Data")</f>
        <v>No Data</v>
      </c>
    </row>
    <row r="1439" spans="2:24" ht="10.95" customHeight="1" x14ac:dyDescent="0.25">
      <c r="B1439" s="52"/>
      <c r="C1439" s="165" t="str">
        <f>IF(X1438="LULUS","V","")</f>
        <v/>
      </c>
      <c r="D1439" s="53"/>
      <c r="E1439" s="155"/>
      <c r="F1439" s="148"/>
      <c r="G1439" s="144"/>
      <c r="H1439" s="67"/>
      <c r="I1439" s="67"/>
      <c r="J1439" s="67"/>
      <c r="K1439" s="67"/>
      <c r="L1439" s="146"/>
      <c r="M1439" s="147"/>
      <c r="N1439" s="148"/>
      <c r="O1439" s="143"/>
      <c r="P1439" s="140"/>
      <c r="Q1439" s="143"/>
      <c r="R1439" s="143"/>
      <c r="S1439" s="140"/>
      <c r="T1439" s="143"/>
      <c r="U1439" s="144"/>
      <c r="V1439" s="147"/>
      <c r="X1439" s="214"/>
    </row>
    <row r="1440" spans="2:24" ht="10.95" customHeight="1" x14ac:dyDescent="0.25">
      <c r="B1440" s="52"/>
      <c r="C1440" s="166"/>
      <c r="D1440" s="53"/>
      <c r="E1440" s="155"/>
      <c r="F1440" s="167" t="str">
        <f>_xlfn.IFNA(VLOOKUP(E1438,'Data Kyu'!$A$6:$I$471,2,0),"")</f>
        <v/>
      </c>
      <c r="G1440" s="168"/>
      <c r="H1440" s="168"/>
      <c r="I1440" s="168"/>
      <c r="J1440" s="168"/>
      <c r="K1440" s="169"/>
      <c r="L1440" s="146"/>
      <c r="M1440" s="147"/>
      <c r="N1440" s="173" t="s">
        <v>6</v>
      </c>
      <c r="O1440" s="159"/>
      <c r="P1440" s="57"/>
      <c r="Q1440" s="159" t="s">
        <v>7</v>
      </c>
      <c r="R1440" s="159"/>
      <c r="S1440" s="57"/>
      <c r="T1440" s="159" t="s">
        <v>8</v>
      </c>
      <c r="U1440" s="160"/>
      <c r="V1440" s="175"/>
      <c r="X1440" s="214"/>
    </row>
    <row r="1441" spans="2:24" ht="10.95" customHeight="1" x14ac:dyDescent="0.25">
      <c r="B1441" s="54"/>
      <c r="C1441" s="76"/>
      <c r="D1441" s="56"/>
      <c r="E1441" s="156"/>
      <c r="F1441" s="170"/>
      <c r="G1441" s="171"/>
      <c r="H1441" s="171"/>
      <c r="I1441" s="171"/>
      <c r="J1441" s="171"/>
      <c r="K1441" s="172"/>
      <c r="L1441" s="148"/>
      <c r="M1441" s="144"/>
      <c r="N1441" s="174"/>
      <c r="O1441" s="161"/>
      <c r="P1441" s="27"/>
      <c r="Q1441" s="161"/>
      <c r="R1441" s="161"/>
      <c r="S1441" s="27"/>
      <c r="T1441" s="161"/>
      <c r="U1441" s="162"/>
      <c r="V1441" s="176"/>
      <c r="X1441" s="214"/>
    </row>
    <row r="1442" spans="2:24" ht="10.95" customHeight="1" x14ac:dyDescent="0.25">
      <c r="B1442" s="41"/>
      <c r="C1442" s="77"/>
      <c r="D1442" s="42"/>
      <c r="E1442" s="154">
        <f t="shared" ref="E1442" si="67">E1438+1</f>
        <v>186</v>
      </c>
      <c r="F1442" s="145" t="str">
        <f>_xlfn.IFNA(VLOOKUP(E1442,'Data Kyu'!$A$6:$I$471,3,0),"")</f>
        <v/>
      </c>
      <c r="G1442" s="142"/>
      <c r="H1442" s="66"/>
      <c r="I1442" s="66"/>
      <c r="J1442" s="66"/>
      <c r="K1442" s="66"/>
      <c r="L1442" s="145" t="str">
        <f>_xlfn.IFNA(VLOOKUP(E1442,'Data Kyu'!$A$6:$I$471,9,0),"")</f>
        <v/>
      </c>
      <c r="M1442" s="142"/>
      <c r="N1442" s="145" t="str">
        <f>_xlfn.IFNA(VLOOKUP(E1442,'Data Kyu'!$A$6:$I$471,6,0),"")</f>
        <v/>
      </c>
      <c r="O1442" s="141"/>
      <c r="P1442" s="139" t="s">
        <v>5</v>
      </c>
      <c r="Q1442" s="141" t="str">
        <f>_xlfn.IFNA(VLOOKUP(E1442,'Data Kyu'!$A$6:$I$471,7,0),"")</f>
        <v/>
      </c>
      <c r="R1442" s="141"/>
      <c r="S1442" s="139" t="s">
        <v>5</v>
      </c>
      <c r="T1442" s="141" t="str">
        <f>_xlfn.IFNA(VLOOKUP(E1442,'Data Kyu'!$A$6:$I$471,8,0),"")</f>
        <v/>
      </c>
      <c r="U1442" s="142"/>
      <c r="V1442" s="142" t="str">
        <f>_xlfn.IFNA(VLOOKUP(E1442,'Data Kyu'!$A$6:$I$471,4,0),"")</f>
        <v/>
      </c>
      <c r="X1442" s="214" t="str">
        <f>_xlfn.IFNA(VLOOKUP(F1442,'Data Kyu'!$C$6:$N$997,12,0),"No Data")</f>
        <v>No Data</v>
      </c>
    </row>
    <row r="1443" spans="2:24" ht="10.95" customHeight="1" x14ac:dyDescent="0.25">
      <c r="B1443" s="52"/>
      <c r="C1443" s="165" t="str">
        <f>IF(X1442="LULUS","V","")</f>
        <v/>
      </c>
      <c r="D1443" s="53"/>
      <c r="E1443" s="155"/>
      <c r="F1443" s="148"/>
      <c r="G1443" s="144"/>
      <c r="H1443" s="67"/>
      <c r="I1443" s="67"/>
      <c r="J1443" s="67"/>
      <c r="K1443" s="67"/>
      <c r="L1443" s="146"/>
      <c r="M1443" s="147"/>
      <c r="N1443" s="148"/>
      <c r="O1443" s="143"/>
      <c r="P1443" s="140"/>
      <c r="Q1443" s="143"/>
      <c r="R1443" s="143"/>
      <c r="S1443" s="140"/>
      <c r="T1443" s="143"/>
      <c r="U1443" s="144"/>
      <c r="V1443" s="147"/>
      <c r="X1443" s="214"/>
    </row>
    <row r="1444" spans="2:24" ht="10.95" customHeight="1" x14ac:dyDescent="0.25">
      <c r="B1444" s="52"/>
      <c r="C1444" s="166"/>
      <c r="D1444" s="53"/>
      <c r="E1444" s="155"/>
      <c r="F1444" s="167" t="str">
        <f>_xlfn.IFNA(VLOOKUP(E1442,'Data Kyu'!$A$6:$I$471,2,0),"")</f>
        <v/>
      </c>
      <c r="G1444" s="168"/>
      <c r="H1444" s="168"/>
      <c r="I1444" s="168"/>
      <c r="J1444" s="168"/>
      <c r="K1444" s="169"/>
      <c r="L1444" s="146"/>
      <c r="M1444" s="147"/>
      <c r="N1444" s="173" t="s">
        <v>6</v>
      </c>
      <c r="O1444" s="159"/>
      <c r="P1444" s="57"/>
      <c r="Q1444" s="159" t="s">
        <v>7</v>
      </c>
      <c r="R1444" s="159"/>
      <c r="S1444" s="57"/>
      <c r="T1444" s="159" t="s">
        <v>8</v>
      </c>
      <c r="U1444" s="160"/>
      <c r="V1444" s="175"/>
      <c r="X1444" s="214"/>
    </row>
    <row r="1445" spans="2:24" ht="10.95" customHeight="1" x14ac:dyDescent="0.25">
      <c r="B1445" s="54"/>
      <c r="C1445" s="76"/>
      <c r="D1445" s="56"/>
      <c r="E1445" s="156"/>
      <c r="F1445" s="170"/>
      <c r="G1445" s="171"/>
      <c r="H1445" s="171"/>
      <c r="I1445" s="171"/>
      <c r="J1445" s="171"/>
      <c r="K1445" s="172"/>
      <c r="L1445" s="148"/>
      <c r="M1445" s="144"/>
      <c r="N1445" s="174"/>
      <c r="O1445" s="161"/>
      <c r="P1445" s="27"/>
      <c r="Q1445" s="161"/>
      <c r="R1445" s="161"/>
      <c r="S1445" s="27"/>
      <c r="T1445" s="161"/>
      <c r="U1445" s="162"/>
      <c r="V1445" s="176"/>
      <c r="X1445" s="214"/>
    </row>
    <row r="1446" spans="2:24" ht="10.95" customHeight="1" x14ac:dyDescent="0.25">
      <c r="B1446" s="41"/>
      <c r="C1446" s="77"/>
      <c r="D1446" s="42"/>
      <c r="E1446" s="154">
        <f t="shared" ref="E1446" si="68">E1442+1</f>
        <v>187</v>
      </c>
      <c r="F1446" s="145" t="str">
        <f>_xlfn.IFNA(VLOOKUP(E1446,'Data Kyu'!$A$6:$I$471,3,0),"")</f>
        <v/>
      </c>
      <c r="G1446" s="142"/>
      <c r="H1446" s="66"/>
      <c r="I1446" s="66"/>
      <c r="J1446" s="66"/>
      <c r="K1446" s="66"/>
      <c r="L1446" s="145" t="str">
        <f>_xlfn.IFNA(VLOOKUP(E1446,'Data Kyu'!$A$6:$I$471,9,0),"")</f>
        <v/>
      </c>
      <c r="M1446" s="142"/>
      <c r="N1446" s="145" t="str">
        <f>_xlfn.IFNA(VLOOKUP(E1446,'Data Kyu'!$A$6:$I$471,6,0),"")</f>
        <v/>
      </c>
      <c r="O1446" s="141"/>
      <c r="P1446" s="139" t="s">
        <v>5</v>
      </c>
      <c r="Q1446" s="141" t="str">
        <f>_xlfn.IFNA(VLOOKUP(E1446,'Data Kyu'!$A$6:$I$471,7,0),"")</f>
        <v/>
      </c>
      <c r="R1446" s="141"/>
      <c r="S1446" s="139" t="s">
        <v>5</v>
      </c>
      <c r="T1446" s="141" t="str">
        <f>_xlfn.IFNA(VLOOKUP(E1446,'Data Kyu'!$A$6:$I$471,8,0),"")</f>
        <v/>
      </c>
      <c r="U1446" s="142"/>
      <c r="V1446" s="142" t="str">
        <f>_xlfn.IFNA(VLOOKUP(E1446,'Data Kyu'!$A$6:$I$471,4,0),"")</f>
        <v/>
      </c>
      <c r="X1446" s="214" t="str">
        <f>_xlfn.IFNA(VLOOKUP(F1446,'Data Kyu'!$C$6:$N$997,12,0),"No Data")</f>
        <v>No Data</v>
      </c>
    </row>
    <row r="1447" spans="2:24" ht="10.95" customHeight="1" x14ac:dyDescent="0.25">
      <c r="B1447" s="52"/>
      <c r="C1447" s="165" t="str">
        <f>IF(X1446="LULUS","V","")</f>
        <v/>
      </c>
      <c r="D1447" s="53"/>
      <c r="E1447" s="155"/>
      <c r="F1447" s="148"/>
      <c r="G1447" s="144"/>
      <c r="H1447" s="67"/>
      <c r="I1447" s="67"/>
      <c r="J1447" s="67"/>
      <c r="K1447" s="67"/>
      <c r="L1447" s="146"/>
      <c r="M1447" s="147"/>
      <c r="N1447" s="148"/>
      <c r="O1447" s="143"/>
      <c r="P1447" s="140"/>
      <c r="Q1447" s="143"/>
      <c r="R1447" s="143"/>
      <c r="S1447" s="140"/>
      <c r="T1447" s="143"/>
      <c r="U1447" s="144"/>
      <c r="V1447" s="147"/>
      <c r="X1447" s="214"/>
    </row>
    <row r="1448" spans="2:24" ht="10.95" customHeight="1" x14ac:dyDescent="0.25">
      <c r="B1448" s="52"/>
      <c r="C1448" s="166"/>
      <c r="D1448" s="53"/>
      <c r="E1448" s="155"/>
      <c r="F1448" s="167" t="str">
        <f>_xlfn.IFNA(VLOOKUP(E1446,'Data Kyu'!$A$6:$I$471,2,0),"")</f>
        <v/>
      </c>
      <c r="G1448" s="168"/>
      <c r="H1448" s="168"/>
      <c r="I1448" s="168"/>
      <c r="J1448" s="168"/>
      <c r="K1448" s="169"/>
      <c r="L1448" s="146"/>
      <c r="M1448" s="147"/>
      <c r="N1448" s="173" t="s">
        <v>6</v>
      </c>
      <c r="O1448" s="159"/>
      <c r="P1448" s="57"/>
      <c r="Q1448" s="159" t="s">
        <v>7</v>
      </c>
      <c r="R1448" s="159"/>
      <c r="S1448" s="57"/>
      <c r="T1448" s="159" t="s">
        <v>8</v>
      </c>
      <c r="U1448" s="160"/>
      <c r="V1448" s="175"/>
      <c r="X1448" s="214"/>
    </row>
    <row r="1449" spans="2:24" ht="10.95" customHeight="1" x14ac:dyDescent="0.25">
      <c r="B1449" s="54"/>
      <c r="C1449" s="76"/>
      <c r="D1449" s="56"/>
      <c r="E1449" s="156"/>
      <c r="F1449" s="170"/>
      <c r="G1449" s="171"/>
      <c r="H1449" s="171"/>
      <c r="I1449" s="171"/>
      <c r="J1449" s="171"/>
      <c r="K1449" s="172"/>
      <c r="L1449" s="148"/>
      <c r="M1449" s="144"/>
      <c r="N1449" s="174"/>
      <c r="O1449" s="161"/>
      <c r="P1449" s="27"/>
      <c r="Q1449" s="161"/>
      <c r="R1449" s="161"/>
      <c r="S1449" s="27"/>
      <c r="T1449" s="161"/>
      <c r="U1449" s="162"/>
      <c r="V1449" s="176"/>
      <c r="X1449" s="214"/>
    </row>
    <row r="1450" spans="2:24" ht="10.95" customHeight="1" x14ac:dyDescent="0.25">
      <c r="B1450" s="41"/>
      <c r="C1450" s="77"/>
      <c r="D1450" s="42"/>
      <c r="E1450" s="154">
        <f t="shared" ref="E1450" si="69">E1446+1</f>
        <v>188</v>
      </c>
      <c r="F1450" s="145" t="str">
        <f>_xlfn.IFNA(VLOOKUP(E1450,'Data Kyu'!$A$6:$I$471,3,0),"")</f>
        <v/>
      </c>
      <c r="G1450" s="142"/>
      <c r="H1450" s="66"/>
      <c r="I1450" s="66"/>
      <c r="J1450" s="66"/>
      <c r="K1450" s="66"/>
      <c r="L1450" s="145" t="str">
        <f>_xlfn.IFNA(VLOOKUP(E1450,'Data Kyu'!$A$6:$I$471,9,0),"")</f>
        <v/>
      </c>
      <c r="M1450" s="142"/>
      <c r="N1450" s="145" t="str">
        <f>_xlfn.IFNA(VLOOKUP(E1450,'Data Kyu'!$A$6:$I$471,6,0),"")</f>
        <v/>
      </c>
      <c r="O1450" s="141"/>
      <c r="P1450" s="139" t="s">
        <v>5</v>
      </c>
      <c r="Q1450" s="141" t="str">
        <f>_xlfn.IFNA(VLOOKUP(E1450,'Data Kyu'!$A$6:$I$471,7,0),"")</f>
        <v/>
      </c>
      <c r="R1450" s="141"/>
      <c r="S1450" s="139" t="s">
        <v>5</v>
      </c>
      <c r="T1450" s="141" t="str">
        <f>_xlfn.IFNA(VLOOKUP(E1450,'Data Kyu'!$A$6:$I$471,8,0),"")</f>
        <v/>
      </c>
      <c r="U1450" s="142"/>
      <c r="V1450" s="142" t="str">
        <f>_xlfn.IFNA(VLOOKUP(E1450,'Data Kyu'!$A$6:$I$471,4,0),"")</f>
        <v/>
      </c>
      <c r="X1450" s="214" t="str">
        <f>_xlfn.IFNA(VLOOKUP(F1450,'Data Kyu'!$C$6:$N$997,12,0),"No Data")</f>
        <v>No Data</v>
      </c>
    </row>
    <row r="1451" spans="2:24" ht="10.95" customHeight="1" x14ac:dyDescent="0.25">
      <c r="B1451" s="52"/>
      <c r="C1451" s="165" t="str">
        <f>IF(X1450="LULUS","V","")</f>
        <v/>
      </c>
      <c r="D1451" s="53"/>
      <c r="E1451" s="155"/>
      <c r="F1451" s="148"/>
      <c r="G1451" s="144"/>
      <c r="H1451" s="67"/>
      <c r="I1451" s="67"/>
      <c r="J1451" s="67"/>
      <c r="K1451" s="67"/>
      <c r="L1451" s="146"/>
      <c r="M1451" s="147"/>
      <c r="N1451" s="148"/>
      <c r="O1451" s="143"/>
      <c r="P1451" s="140"/>
      <c r="Q1451" s="143"/>
      <c r="R1451" s="143"/>
      <c r="S1451" s="140"/>
      <c r="T1451" s="143"/>
      <c r="U1451" s="144"/>
      <c r="V1451" s="147"/>
      <c r="X1451" s="214"/>
    </row>
    <row r="1452" spans="2:24" ht="10.95" customHeight="1" x14ac:dyDescent="0.25">
      <c r="B1452" s="52"/>
      <c r="C1452" s="166"/>
      <c r="D1452" s="53"/>
      <c r="E1452" s="155"/>
      <c r="F1452" s="167" t="str">
        <f>_xlfn.IFNA(VLOOKUP(E1450,'Data Kyu'!$A$6:$I$471,2,0),"")</f>
        <v/>
      </c>
      <c r="G1452" s="168"/>
      <c r="H1452" s="168"/>
      <c r="I1452" s="168"/>
      <c r="J1452" s="168"/>
      <c r="K1452" s="169"/>
      <c r="L1452" s="146"/>
      <c r="M1452" s="147"/>
      <c r="N1452" s="173" t="s">
        <v>6</v>
      </c>
      <c r="O1452" s="159"/>
      <c r="P1452" s="57"/>
      <c r="Q1452" s="159" t="s">
        <v>7</v>
      </c>
      <c r="R1452" s="159"/>
      <c r="S1452" s="57"/>
      <c r="T1452" s="159" t="s">
        <v>8</v>
      </c>
      <c r="U1452" s="160"/>
      <c r="V1452" s="175"/>
      <c r="X1452" s="214"/>
    </row>
    <row r="1453" spans="2:24" ht="10.95" customHeight="1" x14ac:dyDescent="0.25">
      <c r="B1453" s="54"/>
      <c r="C1453" s="76"/>
      <c r="D1453" s="56"/>
      <c r="E1453" s="156"/>
      <c r="F1453" s="170"/>
      <c r="G1453" s="171"/>
      <c r="H1453" s="171"/>
      <c r="I1453" s="171"/>
      <c r="J1453" s="171"/>
      <c r="K1453" s="172"/>
      <c r="L1453" s="148"/>
      <c r="M1453" s="144"/>
      <c r="N1453" s="174"/>
      <c r="O1453" s="161"/>
      <c r="P1453" s="27"/>
      <c r="Q1453" s="161"/>
      <c r="R1453" s="161"/>
      <c r="S1453" s="27"/>
      <c r="T1453" s="161"/>
      <c r="U1453" s="162"/>
      <c r="V1453" s="176"/>
      <c r="X1453" s="214"/>
    </row>
    <row r="1454" spans="2:24" ht="10.95" customHeight="1" x14ac:dyDescent="0.25">
      <c r="B1454" s="41"/>
      <c r="C1454" s="77"/>
      <c r="D1454" s="42"/>
      <c r="E1454" s="154">
        <f t="shared" ref="E1454" si="70">E1450+1</f>
        <v>189</v>
      </c>
      <c r="F1454" s="145" t="str">
        <f>_xlfn.IFNA(VLOOKUP(E1454,'Data Kyu'!$A$6:$I$471,3,0),"")</f>
        <v/>
      </c>
      <c r="G1454" s="142"/>
      <c r="H1454" s="66"/>
      <c r="I1454" s="66"/>
      <c r="J1454" s="66"/>
      <c r="K1454" s="66"/>
      <c r="L1454" s="145" t="str">
        <f>_xlfn.IFNA(VLOOKUP(E1454,'Data Kyu'!$A$6:$I$471,9,0),"")</f>
        <v/>
      </c>
      <c r="M1454" s="142"/>
      <c r="N1454" s="145" t="str">
        <f>_xlfn.IFNA(VLOOKUP(E1454,'Data Kyu'!$A$6:$I$471,6,0),"")</f>
        <v/>
      </c>
      <c r="O1454" s="141"/>
      <c r="P1454" s="139" t="s">
        <v>5</v>
      </c>
      <c r="Q1454" s="141" t="str">
        <f>_xlfn.IFNA(VLOOKUP(E1454,'Data Kyu'!$A$6:$I$471,7,0),"")</f>
        <v/>
      </c>
      <c r="R1454" s="141"/>
      <c r="S1454" s="139" t="s">
        <v>5</v>
      </c>
      <c r="T1454" s="141" t="str">
        <f>_xlfn.IFNA(VLOOKUP(E1454,'Data Kyu'!$A$6:$I$471,8,0),"")</f>
        <v/>
      </c>
      <c r="U1454" s="142"/>
      <c r="V1454" s="142" t="str">
        <f>_xlfn.IFNA(VLOOKUP(E1454,'Data Kyu'!$A$6:$I$471,4,0),"")</f>
        <v/>
      </c>
      <c r="X1454" s="214" t="str">
        <f>_xlfn.IFNA(VLOOKUP(F1454,'Data Kyu'!$C$6:$N$997,12,0),"No Data")</f>
        <v>No Data</v>
      </c>
    </row>
    <row r="1455" spans="2:24" ht="10.95" customHeight="1" x14ac:dyDescent="0.25">
      <c r="B1455" s="52"/>
      <c r="C1455" s="165" t="str">
        <f>IF(X1454="LULUS","V","")</f>
        <v/>
      </c>
      <c r="D1455" s="53"/>
      <c r="E1455" s="155"/>
      <c r="F1455" s="148"/>
      <c r="G1455" s="144"/>
      <c r="H1455" s="67"/>
      <c r="I1455" s="67"/>
      <c r="J1455" s="67"/>
      <c r="K1455" s="67"/>
      <c r="L1455" s="146"/>
      <c r="M1455" s="147"/>
      <c r="N1455" s="148"/>
      <c r="O1455" s="143"/>
      <c r="P1455" s="140"/>
      <c r="Q1455" s="143"/>
      <c r="R1455" s="143"/>
      <c r="S1455" s="140"/>
      <c r="T1455" s="143"/>
      <c r="U1455" s="144"/>
      <c r="V1455" s="147"/>
      <c r="X1455" s="214"/>
    </row>
    <row r="1456" spans="2:24" ht="10.95" customHeight="1" x14ac:dyDescent="0.25">
      <c r="B1456" s="52"/>
      <c r="C1456" s="166"/>
      <c r="D1456" s="53"/>
      <c r="E1456" s="155"/>
      <c r="F1456" s="167" t="str">
        <f>_xlfn.IFNA(VLOOKUP(E1454,'Data Kyu'!$A$6:$I$471,2,0),"")</f>
        <v/>
      </c>
      <c r="G1456" s="168"/>
      <c r="H1456" s="168"/>
      <c r="I1456" s="168"/>
      <c r="J1456" s="168"/>
      <c r="K1456" s="169"/>
      <c r="L1456" s="146"/>
      <c r="M1456" s="147"/>
      <c r="N1456" s="173" t="s">
        <v>6</v>
      </c>
      <c r="O1456" s="159"/>
      <c r="P1456" s="57"/>
      <c r="Q1456" s="159" t="s">
        <v>7</v>
      </c>
      <c r="R1456" s="159"/>
      <c r="S1456" s="57"/>
      <c r="T1456" s="159" t="s">
        <v>8</v>
      </c>
      <c r="U1456" s="160"/>
      <c r="V1456" s="175"/>
      <c r="X1456" s="214"/>
    </row>
    <row r="1457" spans="2:24" ht="10.95" customHeight="1" x14ac:dyDescent="0.25">
      <c r="B1457" s="54"/>
      <c r="C1457" s="76"/>
      <c r="D1457" s="56"/>
      <c r="E1457" s="156"/>
      <c r="F1457" s="170"/>
      <c r="G1457" s="171"/>
      <c r="H1457" s="171"/>
      <c r="I1457" s="171"/>
      <c r="J1457" s="171"/>
      <c r="K1457" s="172"/>
      <c r="L1457" s="148"/>
      <c r="M1457" s="144"/>
      <c r="N1457" s="174"/>
      <c r="O1457" s="161"/>
      <c r="P1457" s="27"/>
      <c r="Q1457" s="161"/>
      <c r="R1457" s="161"/>
      <c r="S1457" s="27"/>
      <c r="T1457" s="161"/>
      <c r="U1457" s="162"/>
      <c r="V1457" s="176"/>
      <c r="X1457" s="214"/>
    </row>
    <row r="1458" spans="2:24" ht="10.95" customHeight="1" x14ac:dyDescent="0.25">
      <c r="B1458" s="41"/>
      <c r="C1458" s="77"/>
      <c r="D1458" s="42"/>
      <c r="E1458" s="154">
        <f t="shared" ref="E1458" si="71">E1454+1</f>
        <v>190</v>
      </c>
      <c r="F1458" s="145" t="str">
        <f>_xlfn.IFNA(VLOOKUP(E1458,'Data Kyu'!$A$6:$I$471,3,0),"")</f>
        <v/>
      </c>
      <c r="G1458" s="142"/>
      <c r="H1458" s="66"/>
      <c r="I1458" s="66"/>
      <c r="J1458" s="66"/>
      <c r="K1458" s="66"/>
      <c r="L1458" s="145" t="str">
        <f>_xlfn.IFNA(VLOOKUP(E1458,'Data Kyu'!$A$6:$I$471,9,0),"")</f>
        <v/>
      </c>
      <c r="M1458" s="142"/>
      <c r="N1458" s="145" t="str">
        <f>_xlfn.IFNA(VLOOKUP(E1458,'Data Kyu'!$A$6:$I$471,6,0),"")</f>
        <v/>
      </c>
      <c r="O1458" s="141"/>
      <c r="P1458" s="139" t="s">
        <v>5</v>
      </c>
      <c r="Q1458" s="141" t="str">
        <f>_xlfn.IFNA(VLOOKUP(E1458,'Data Kyu'!$A$6:$I$471,7,0),"")</f>
        <v/>
      </c>
      <c r="R1458" s="141"/>
      <c r="S1458" s="139" t="s">
        <v>5</v>
      </c>
      <c r="T1458" s="141" t="str">
        <f>_xlfn.IFNA(VLOOKUP(E1458,'Data Kyu'!$A$6:$I$471,8,0),"")</f>
        <v/>
      </c>
      <c r="U1458" s="142"/>
      <c r="V1458" s="142" t="str">
        <f>_xlfn.IFNA(VLOOKUP(E1458,'Data Kyu'!$A$6:$I$471,4,0),"")</f>
        <v/>
      </c>
      <c r="X1458" s="214" t="str">
        <f>_xlfn.IFNA(VLOOKUP(F1458,'Data Kyu'!$C$6:$N$997,12,0),"No Data")</f>
        <v>No Data</v>
      </c>
    </row>
    <row r="1459" spans="2:24" ht="10.95" customHeight="1" x14ac:dyDescent="0.25">
      <c r="B1459" s="52"/>
      <c r="C1459" s="165" t="str">
        <f>IF(X1458="LULUS","V","")</f>
        <v/>
      </c>
      <c r="D1459" s="53"/>
      <c r="E1459" s="155"/>
      <c r="F1459" s="148"/>
      <c r="G1459" s="144"/>
      <c r="H1459" s="67"/>
      <c r="I1459" s="67"/>
      <c r="J1459" s="67"/>
      <c r="K1459" s="67"/>
      <c r="L1459" s="146"/>
      <c r="M1459" s="147"/>
      <c r="N1459" s="148"/>
      <c r="O1459" s="143"/>
      <c r="P1459" s="140"/>
      <c r="Q1459" s="143"/>
      <c r="R1459" s="143"/>
      <c r="S1459" s="140"/>
      <c r="T1459" s="143"/>
      <c r="U1459" s="144"/>
      <c r="V1459" s="147"/>
      <c r="X1459" s="214"/>
    </row>
    <row r="1460" spans="2:24" ht="10.95" customHeight="1" x14ac:dyDescent="0.25">
      <c r="B1460" s="52"/>
      <c r="C1460" s="166"/>
      <c r="D1460" s="53"/>
      <c r="E1460" s="155"/>
      <c r="F1460" s="167" t="str">
        <f>_xlfn.IFNA(VLOOKUP(E1458,'Data Kyu'!$A$6:$I$471,2,0),"")</f>
        <v/>
      </c>
      <c r="G1460" s="168"/>
      <c r="H1460" s="168"/>
      <c r="I1460" s="168"/>
      <c r="J1460" s="168"/>
      <c r="K1460" s="169"/>
      <c r="L1460" s="146"/>
      <c r="M1460" s="147"/>
      <c r="N1460" s="173" t="s">
        <v>6</v>
      </c>
      <c r="O1460" s="159"/>
      <c r="P1460" s="57"/>
      <c r="Q1460" s="159" t="s">
        <v>7</v>
      </c>
      <c r="R1460" s="159"/>
      <c r="S1460" s="57"/>
      <c r="T1460" s="159" t="s">
        <v>8</v>
      </c>
      <c r="U1460" s="160"/>
      <c r="V1460" s="175"/>
      <c r="X1460" s="214"/>
    </row>
    <row r="1461" spans="2:24" ht="10.95" customHeight="1" x14ac:dyDescent="0.25">
      <c r="B1461" s="54"/>
      <c r="C1461" s="55"/>
      <c r="D1461" s="56"/>
      <c r="E1461" s="156"/>
      <c r="F1461" s="170"/>
      <c r="G1461" s="171"/>
      <c r="H1461" s="171"/>
      <c r="I1461" s="171"/>
      <c r="J1461" s="171"/>
      <c r="K1461" s="172"/>
      <c r="L1461" s="148"/>
      <c r="M1461" s="144"/>
      <c r="N1461" s="174"/>
      <c r="O1461" s="161"/>
      <c r="P1461" s="27"/>
      <c r="Q1461" s="161"/>
      <c r="R1461" s="161"/>
      <c r="S1461" s="27"/>
      <c r="T1461" s="161"/>
      <c r="U1461" s="162"/>
      <c r="V1461" s="176"/>
      <c r="X1461" s="214"/>
    </row>
    <row r="1462" spans="2:24" ht="7.5" customHeight="1" x14ac:dyDescent="0.25"/>
    <row r="1463" spans="2:24" s="34" customFormat="1" x14ac:dyDescent="0.25">
      <c r="E1463" s="35" t="s">
        <v>30</v>
      </c>
      <c r="K1463" s="35" t="s">
        <v>28</v>
      </c>
    </row>
    <row r="1464" spans="2:24" x14ac:dyDescent="0.25">
      <c r="E1464" s="33" t="s">
        <v>31</v>
      </c>
      <c r="F1464" s="149"/>
      <c r="G1464" s="149"/>
      <c r="H1464" s="149"/>
      <c r="I1464" s="149"/>
      <c r="J1464" s="149"/>
      <c r="K1464" s="33" t="s">
        <v>29</v>
      </c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</row>
    <row r="1465" spans="2:24" ht="6.75" customHeight="1" x14ac:dyDescent="0.25">
      <c r="F1465" s="34"/>
      <c r="G1465" s="34"/>
      <c r="H1465" s="34"/>
      <c r="I1465" s="34"/>
      <c r="J1465" s="34"/>
    </row>
    <row r="1466" spans="2:24" s="34" customFormat="1" x14ac:dyDescent="0.25">
      <c r="E1466" s="35" t="s">
        <v>32</v>
      </c>
      <c r="K1466" s="35" t="s">
        <v>36</v>
      </c>
    </row>
    <row r="1467" spans="2:24" x14ac:dyDescent="0.25">
      <c r="E1467" s="33" t="s">
        <v>33</v>
      </c>
      <c r="F1467" s="149"/>
      <c r="G1467" s="149"/>
      <c r="H1467" s="149"/>
      <c r="I1467" s="149"/>
      <c r="J1467" s="149"/>
      <c r="K1467" s="33" t="s">
        <v>29</v>
      </c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</row>
    <row r="1468" spans="2:24" ht="6.75" customHeight="1" x14ac:dyDescent="0.25">
      <c r="F1468" s="34"/>
      <c r="G1468" s="34"/>
      <c r="H1468" s="34"/>
      <c r="I1468" s="34"/>
      <c r="J1468" s="34"/>
    </row>
    <row r="1469" spans="2:24" s="34" customFormat="1" ht="13.8" x14ac:dyDescent="0.25">
      <c r="E1469" s="35" t="s">
        <v>34</v>
      </c>
      <c r="F1469" s="177" t="str">
        <f>IF(F1422&lt;&gt;"",$F$65,"")</f>
        <v/>
      </c>
      <c r="G1469" s="177"/>
      <c r="H1469" s="177"/>
      <c r="I1469" s="177"/>
      <c r="J1469" s="177"/>
      <c r="K1469" s="35" t="s">
        <v>28</v>
      </c>
      <c r="X1469" s="70" t="s">
        <v>107</v>
      </c>
    </row>
    <row r="1470" spans="2:24" ht="13.8" x14ac:dyDescent="0.25">
      <c r="E1470" s="33" t="s">
        <v>35</v>
      </c>
      <c r="F1470" s="178"/>
      <c r="G1470" s="178"/>
      <c r="H1470" s="178"/>
      <c r="I1470" s="178"/>
      <c r="J1470" s="178"/>
      <c r="K1470" s="33" t="s">
        <v>29</v>
      </c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X1470" s="70" t="s">
        <v>105</v>
      </c>
    </row>
    <row r="1471" spans="2:24" ht="12.75" customHeight="1" thickBot="1" x14ac:dyDescent="0.3"/>
    <row r="1472" spans="2:24" ht="13.8" thickTop="1" x14ac:dyDescent="0.25">
      <c r="B1472" s="34" t="s">
        <v>37</v>
      </c>
      <c r="C1472" s="34"/>
      <c r="D1472" s="34"/>
      <c r="H1472" s="150" t="s">
        <v>40</v>
      </c>
      <c r="I1472" s="151"/>
      <c r="J1472" s="151"/>
      <c r="K1472" s="151"/>
      <c r="L1472" s="151"/>
      <c r="M1472" s="151"/>
      <c r="N1472" s="151"/>
      <c r="O1472" s="151"/>
      <c r="P1472" s="151"/>
      <c r="Q1472" s="151"/>
      <c r="R1472" s="151"/>
      <c r="S1472" s="151"/>
      <c r="T1472" s="151"/>
      <c r="U1472" s="151"/>
      <c r="V1472" s="151"/>
    </row>
    <row r="1473" spans="2:24" x14ac:dyDescent="0.25">
      <c r="B1473" s="34" t="s">
        <v>38</v>
      </c>
      <c r="C1473" s="34"/>
      <c r="D1473" s="34"/>
      <c r="H1473" s="152"/>
      <c r="I1473" s="153"/>
      <c r="J1473" s="153"/>
      <c r="K1473" s="153"/>
      <c r="L1473" s="153"/>
      <c r="M1473" s="153"/>
      <c r="N1473" s="153"/>
      <c r="O1473" s="153"/>
      <c r="P1473" s="153"/>
      <c r="Q1473" s="153"/>
      <c r="R1473" s="153"/>
      <c r="S1473" s="153"/>
      <c r="T1473" s="153"/>
      <c r="U1473" s="153"/>
      <c r="V1473" s="153"/>
    </row>
    <row r="1474" spans="2:24" ht="12.75" customHeight="1" x14ac:dyDescent="0.25">
      <c r="B1474" s="163" t="s">
        <v>39</v>
      </c>
      <c r="C1474" s="163"/>
      <c r="D1474" s="163"/>
      <c r="E1474" s="163"/>
      <c r="F1474" s="163"/>
      <c r="H1474" s="37" t="s">
        <v>41</v>
      </c>
    </row>
    <row r="1475" spans="2:24" ht="13.8" x14ac:dyDescent="0.25">
      <c r="B1475" s="163"/>
      <c r="C1475" s="163"/>
      <c r="D1475" s="163"/>
      <c r="E1475" s="163"/>
      <c r="F1475" s="163"/>
      <c r="H1475" s="38" t="s">
        <v>42</v>
      </c>
    </row>
    <row r="1476" spans="2:24" x14ac:dyDescent="0.25">
      <c r="B1476" s="163"/>
      <c r="C1476" s="163"/>
      <c r="D1476" s="163"/>
      <c r="E1476" s="163"/>
      <c r="F1476" s="163"/>
      <c r="H1476" s="36"/>
    </row>
    <row r="1477" spans="2:24" x14ac:dyDescent="0.25">
      <c r="B1477" s="163"/>
      <c r="C1477" s="163"/>
      <c r="D1477" s="163"/>
      <c r="E1477" s="163"/>
      <c r="F1477" s="163"/>
      <c r="H1477" s="36"/>
    </row>
    <row r="1478" spans="2:24" x14ac:dyDescent="0.25">
      <c r="H1478" s="36"/>
    </row>
    <row r="1479" spans="2:24" x14ac:dyDescent="0.25">
      <c r="H1479" s="36"/>
    </row>
    <row r="1480" spans="2:24" x14ac:dyDescent="0.25">
      <c r="H1480" s="36"/>
    </row>
    <row r="1481" spans="2:24" x14ac:dyDescent="0.25">
      <c r="H1481" s="36"/>
    </row>
    <row r="1482" spans="2:24" ht="13.8" x14ac:dyDescent="0.25">
      <c r="H1482" s="157" t="str">
        <f>IF(F1422&lt;&gt;"",$H$78,"")</f>
        <v/>
      </c>
      <c r="I1482" s="158"/>
      <c r="J1482" s="158"/>
      <c r="K1482" s="158"/>
      <c r="L1482" s="158"/>
      <c r="M1482" s="158"/>
      <c r="N1482" s="158"/>
      <c r="O1482" s="158"/>
      <c r="P1482" s="158"/>
      <c r="Q1482" s="158"/>
      <c r="R1482" s="158"/>
      <c r="S1482" s="158"/>
      <c r="T1482" s="158"/>
      <c r="U1482" s="158"/>
      <c r="V1482" s="158"/>
    </row>
    <row r="1483" spans="2:24" x14ac:dyDescent="0.25">
      <c r="H1483" s="36"/>
    </row>
    <row r="1484" spans="2:24" ht="28.5" customHeight="1" x14ac:dyDescent="0.3">
      <c r="B1484" s="193" t="s">
        <v>43</v>
      </c>
      <c r="C1484" s="193"/>
      <c r="D1484" s="193"/>
      <c r="E1484" s="194"/>
      <c r="F1484" s="194"/>
      <c r="G1484" s="194"/>
      <c r="H1484" s="194"/>
      <c r="I1484" s="2"/>
      <c r="J1484" s="2"/>
      <c r="K1484" s="13" t="s">
        <v>25</v>
      </c>
      <c r="L1484" s="195" t="s">
        <v>14</v>
      </c>
      <c r="M1484" s="196"/>
      <c r="N1484" s="196"/>
      <c r="O1484" s="196"/>
      <c r="P1484" s="196"/>
      <c r="Q1484" s="196"/>
      <c r="R1484" s="196"/>
      <c r="S1484" s="196"/>
      <c r="T1484" s="196"/>
      <c r="U1484" s="196"/>
      <c r="V1484" s="197"/>
      <c r="X1484" s="1"/>
    </row>
    <row r="1485" spans="2:24" ht="26.25" customHeight="1" x14ac:dyDescent="0.4">
      <c r="B1485" s="39" t="s">
        <v>44</v>
      </c>
      <c r="C1485" s="39"/>
      <c r="D1485" s="39"/>
      <c r="E1485" s="2"/>
      <c r="F1485" s="2"/>
      <c r="G1485" s="2"/>
      <c r="H1485" s="2"/>
      <c r="I1485" s="2"/>
      <c r="J1485" s="2"/>
      <c r="K1485" s="29" t="s">
        <v>13</v>
      </c>
      <c r="L1485" s="15">
        <v>4</v>
      </c>
      <c r="M1485" s="16">
        <v>1</v>
      </c>
      <c r="N1485" s="15">
        <v>0</v>
      </c>
      <c r="O1485" s="198">
        <v>0</v>
      </c>
      <c r="P1485" s="199"/>
      <c r="Q1485" s="14">
        <v>0</v>
      </c>
      <c r="R1485" s="200">
        <v>1</v>
      </c>
      <c r="S1485" s="201"/>
      <c r="T1485" s="6"/>
      <c r="U1485" s="6"/>
      <c r="V1485" s="7"/>
      <c r="X1485" s="1"/>
    </row>
    <row r="1486" spans="2:24" ht="21" customHeight="1" x14ac:dyDescent="0.25">
      <c r="B1486" s="26" t="s">
        <v>45</v>
      </c>
      <c r="C1486" s="26"/>
      <c r="D1486" s="26"/>
      <c r="E1486" s="25"/>
      <c r="F1486" s="25"/>
      <c r="G1486" s="25"/>
      <c r="H1486" s="25"/>
      <c r="I1486" s="25"/>
      <c r="J1486" s="25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X1486" s="1"/>
    </row>
    <row r="1487" spans="2:24" ht="13.5" customHeight="1" x14ac:dyDescent="0.25">
      <c r="B1487" s="40" t="s">
        <v>24</v>
      </c>
      <c r="C1487" s="40"/>
      <c r="D1487" s="40"/>
      <c r="E1487" s="25"/>
      <c r="F1487" s="25"/>
      <c r="G1487" s="25"/>
      <c r="H1487" s="25"/>
      <c r="I1487" s="25"/>
      <c r="J1487" s="25"/>
      <c r="K1487" s="28" t="s">
        <v>6</v>
      </c>
      <c r="L1487" s="202" t="str">
        <f>IF(F1500&lt;&gt;"",$L$5,"")</f>
        <v/>
      </c>
      <c r="M1487" s="203"/>
      <c r="N1487" s="204" t="s">
        <v>15</v>
      </c>
      <c r="O1487" s="204"/>
      <c r="P1487" s="204"/>
      <c r="Q1487" s="205" t="str">
        <f>IF(F1500&lt;&gt;"",$Q$5,"")</f>
        <v/>
      </c>
      <c r="R1487" s="206"/>
      <c r="S1487" s="207" t="s">
        <v>16</v>
      </c>
      <c r="T1487" s="204"/>
      <c r="U1487" s="82" t="str">
        <f>IF(F1500&lt;&gt;"",$U$5,"")</f>
        <v/>
      </c>
      <c r="V1487" s="63"/>
      <c r="X1487" s="1"/>
    </row>
    <row r="1488" spans="2:24" ht="8.25" customHeight="1" x14ac:dyDescent="0.25"/>
    <row r="1489" spans="2:24" ht="11.25" customHeight="1" x14ac:dyDescent="0.25">
      <c r="B1489" s="24" t="s">
        <v>17</v>
      </c>
      <c r="C1489" s="24"/>
      <c r="D1489" s="24"/>
    </row>
    <row r="1490" spans="2:24" ht="11.25" customHeight="1" x14ac:dyDescent="0.25">
      <c r="B1490" s="8" t="s">
        <v>18</v>
      </c>
      <c r="C1490" s="8"/>
      <c r="D1490" s="8"/>
    </row>
    <row r="1491" spans="2:24" ht="5.25" customHeight="1" x14ac:dyDescent="0.25">
      <c r="B1491" s="8"/>
      <c r="C1491" s="8"/>
      <c r="D1491" s="8"/>
    </row>
    <row r="1492" spans="2:24" x14ac:dyDescent="0.25">
      <c r="B1492" s="179" t="s">
        <v>19</v>
      </c>
      <c r="C1492" s="179"/>
      <c r="D1492" s="179"/>
      <c r="E1492" s="179"/>
      <c r="F1492" s="179"/>
      <c r="G1492" s="18" t="s">
        <v>6</v>
      </c>
      <c r="H1492" s="64" t="str">
        <f>IF(F1500&lt;&gt;"",$H$10,"")</f>
        <v/>
      </c>
      <c r="I1492" s="9" t="s">
        <v>15</v>
      </c>
      <c r="J1492" s="83" t="str">
        <f>IF(F1500&lt;&gt;"",$J$10,"")</f>
        <v/>
      </c>
      <c r="K1492" s="9" t="s">
        <v>16</v>
      </c>
      <c r="L1492" s="180" t="str">
        <f>IF(F1500&lt;&gt;"",$L$10,"")</f>
        <v/>
      </c>
      <c r="M1492" s="181"/>
      <c r="X1492" s="32"/>
    </row>
    <row r="1493" spans="2:24" ht="5.25" customHeight="1" x14ac:dyDescent="0.25">
      <c r="B1493" s="8"/>
      <c r="C1493" s="8"/>
      <c r="D1493" s="8"/>
      <c r="E1493" s="8"/>
      <c r="F1493" s="8"/>
      <c r="G1493" s="19"/>
      <c r="H1493" s="20"/>
      <c r="I1493" s="21"/>
      <c r="J1493" s="20"/>
      <c r="K1493" s="10"/>
      <c r="L1493" s="22"/>
      <c r="X1493" s="32"/>
    </row>
    <row r="1494" spans="2:24" s="73" customFormat="1" ht="14.4" customHeight="1" x14ac:dyDescent="0.25">
      <c r="B1494" s="72" t="s">
        <v>20</v>
      </c>
      <c r="C1494" s="72"/>
      <c r="D1494" s="72"/>
      <c r="X1494" s="74"/>
    </row>
    <row r="1495" spans="2:24" s="73" customFormat="1" ht="14.4" customHeight="1" x14ac:dyDescent="0.25">
      <c r="B1495" s="75" t="s">
        <v>21</v>
      </c>
      <c r="C1495" s="10"/>
      <c r="D1495" s="10"/>
      <c r="E1495" s="22" t="s">
        <v>22</v>
      </c>
      <c r="X1495" s="74"/>
    </row>
    <row r="1496" spans="2:24" s="73" customFormat="1" ht="14.4" customHeight="1" x14ac:dyDescent="0.25">
      <c r="B1496" s="22"/>
      <c r="C1496" s="22"/>
      <c r="D1496" s="22"/>
      <c r="E1496" s="22" t="s">
        <v>23</v>
      </c>
      <c r="X1496" s="164" t="s">
        <v>102</v>
      </c>
    </row>
    <row r="1497" spans="2:24" ht="7.5" customHeight="1" x14ac:dyDescent="0.25">
      <c r="B1497" s="8"/>
      <c r="C1497" s="8"/>
      <c r="D1497" s="8"/>
      <c r="X1497" s="164"/>
    </row>
    <row r="1498" spans="2:24" ht="17.25" customHeight="1" x14ac:dyDescent="0.25">
      <c r="B1498" s="182"/>
      <c r="C1498" s="59"/>
      <c r="D1498" s="60"/>
      <c r="E1498" s="184" t="s">
        <v>0</v>
      </c>
      <c r="F1498" s="186" t="s">
        <v>1</v>
      </c>
      <c r="G1498" s="187"/>
      <c r="H1498" s="4"/>
      <c r="I1498" s="4"/>
      <c r="J1498" s="4"/>
      <c r="K1498" s="5"/>
      <c r="L1498" s="145" t="s">
        <v>3</v>
      </c>
      <c r="M1498" s="142"/>
      <c r="N1498" s="188" t="s">
        <v>10</v>
      </c>
      <c r="O1498" s="188"/>
      <c r="P1498" s="188"/>
      <c r="Q1498" s="188"/>
      <c r="R1498" s="188"/>
      <c r="S1498" s="188"/>
      <c r="T1498" s="188"/>
      <c r="U1498" s="189"/>
      <c r="V1498" s="3" t="s">
        <v>12</v>
      </c>
      <c r="X1498" s="68" t="s">
        <v>200</v>
      </c>
    </row>
    <row r="1499" spans="2:24" ht="17.25" customHeight="1" x14ac:dyDescent="0.25">
      <c r="B1499" s="183"/>
      <c r="C1499" s="61"/>
      <c r="D1499" s="62"/>
      <c r="E1499" s="185"/>
      <c r="F1499" s="30" t="s">
        <v>2</v>
      </c>
      <c r="G1499" s="17"/>
      <c r="H1499" s="6"/>
      <c r="I1499" s="6"/>
      <c r="J1499" s="6"/>
      <c r="K1499" s="7"/>
      <c r="L1499" s="190" t="s">
        <v>4</v>
      </c>
      <c r="M1499" s="191"/>
      <c r="N1499" s="192" t="s">
        <v>9</v>
      </c>
      <c r="O1499" s="192"/>
      <c r="P1499" s="192"/>
      <c r="Q1499" s="192"/>
      <c r="R1499" s="192"/>
      <c r="S1499" s="192"/>
      <c r="T1499" s="192"/>
      <c r="U1499" s="191"/>
      <c r="V1499" s="31" t="s">
        <v>11</v>
      </c>
      <c r="X1499" s="69"/>
    </row>
    <row r="1500" spans="2:24" ht="10.95" customHeight="1" x14ac:dyDescent="0.25">
      <c r="B1500" s="41"/>
      <c r="C1500" s="51"/>
      <c r="D1500" s="42"/>
      <c r="E1500" s="154">
        <v>191</v>
      </c>
      <c r="F1500" s="145" t="str">
        <f>_xlfn.IFNA(VLOOKUP(E1500,'Data Kyu'!$A$6:$I$471,3,0),"")</f>
        <v/>
      </c>
      <c r="G1500" s="142"/>
      <c r="H1500" s="66"/>
      <c r="I1500" s="66"/>
      <c r="J1500" s="66"/>
      <c r="K1500" s="66"/>
      <c r="L1500" s="145" t="str">
        <f>_xlfn.IFNA(VLOOKUP(E1500,'Data Kyu'!$A$6:$I$471,9,0),"")</f>
        <v/>
      </c>
      <c r="M1500" s="142"/>
      <c r="N1500" s="145" t="str">
        <f>_xlfn.IFNA(VLOOKUP(E1500,'Data Kyu'!$A$6:$I$471,6,0),"")</f>
        <v/>
      </c>
      <c r="O1500" s="141"/>
      <c r="P1500" s="139" t="s">
        <v>5</v>
      </c>
      <c r="Q1500" s="141" t="str">
        <f>_xlfn.IFNA(VLOOKUP(E1500,'Data Kyu'!$A$6:$I$471,7,0),"")</f>
        <v/>
      </c>
      <c r="R1500" s="141"/>
      <c r="S1500" s="139" t="s">
        <v>5</v>
      </c>
      <c r="T1500" s="141" t="str">
        <f>_xlfn.IFNA(VLOOKUP(E1500,'Data Kyu'!$A$6:$I$471,8,0),"")</f>
        <v/>
      </c>
      <c r="U1500" s="142"/>
      <c r="V1500" s="142" t="str">
        <f>_xlfn.IFNA(VLOOKUP(E1500,'Data Kyu'!$A$6:$I$471,4,0),"")</f>
        <v/>
      </c>
      <c r="X1500" s="214" t="str">
        <f>_xlfn.IFNA(VLOOKUP(F1500,'Data Kyu'!$C$6:$N$997,12,0),"No Data")</f>
        <v>No Data</v>
      </c>
    </row>
    <row r="1501" spans="2:24" ht="10.95" customHeight="1" x14ac:dyDescent="0.25">
      <c r="B1501" s="52"/>
      <c r="C1501" s="165" t="str">
        <f>IF(X1500="LULUS","V","")</f>
        <v/>
      </c>
      <c r="D1501" s="53"/>
      <c r="E1501" s="155"/>
      <c r="F1501" s="148"/>
      <c r="G1501" s="144"/>
      <c r="H1501" s="67"/>
      <c r="I1501" s="67"/>
      <c r="J1501" s="67"/>
      <c r="K1501" s="67"/>
      <c r="L1501" s="146"/>
      <c r="M1501" s="147"/>
      <c r="N1501" s="148"/>
      <c r="O1501" s="143"/>
      <c r="P1501" s="140"/>
      <c r="Q1501" s="143"/>
      <c r="R1501" s="143"/>
      <c r="S1501" s="140"/>
      <c r="T1501" s="143"/>
      <c r="U1501" s="144"/>
      <c r="V1501" s="147"/>
      <c r="X1501" s="214"/>
    </row>
    <row r="1502" spans="2:24" ht="10.95" customHeight="1" x14ac:dyDescent="0.25">
      <c r="B1502" s="52"/>
      <c r="C1502" s="166"/>
      <c r="D1502" s="53"/>
      <c r="E1502" s="155"/>
      <c r="F1502" s="167" t="str">
        <f>_xlfn.IFNA(VLOOKUP(E1500,'Data Kyu'!$A$6:$I$471,2,0),"")</f>
        <v/>
      </c>
      <c r="G1502" s="168"/>
      <c r="H1502" s="168"/>
      <c r="I1502" s="168"/>
      <c r="J1502" s="168"/>
      <c r="K1502" s="169"/>
      <c r="L1502" s="146"/>
      <c r="M1502" s="147"/>
      <c r="N1502" s="173" t="s">
        <v>6</v>
      </c>
      <c r="O1502" s="159"/>
      <c r="P1502" s="57"/>
      <c r="Q1502" s="159" t="s">
        <v>7</v>
      </c>
      <c r="R1502" s="159"/>
      <c r="S1502" s="57"/>
      <c r="T1502" s="159" t="s">
        <v>8</v>
      </c>
      <c r="U1502" s="160"/>
      <c r="V1502" s="175"/>
      <c r="X1502" s="214"/>
    </row>
    <row r="1503" spans="2:24" ht="10.95" customHeight="1" x14ac:dyDescent="0.25">
      <c r="B1503" s="54"/>
      <c r="C1503" s="76"/>
      <c r="D1503" s="56"/>
      <c r="E1503" s="156"/>
      <c r="F1503" s="170"/>
      <c r="G1503" s="171"/>
      <c r="H1503" s="171"/>
      <c r="I1503" s="171"/>
      <c r="J1503" s="171"/>
      <c r="K1503" s="172"/>
      <c r="L1503" s="148"/>
      <c r="M1503" s="144"/>
      <c r="N1503" s="174"/>
      <c r="O1503" s="161"/>
      <c r="P1503" s="27"/>
      <c r="Q1503" s="161"/>
      <c r="R1503" s="161"/>
      <c r="S1503" s="27"/>
      <c r="T1503" s="161"/>
      <c r="U1503" s="162"/>
      <c r="V1503" s="176"/>
      <c r="X1503" s="214"/>
    </row>
    <row r="1504" spans="2:24" ht="10.95" customHeight="1" x14ac:dyDescent="0.25">
      <c r="B1504" s="41"/>
      <c r="C1504" s="77"/>
      <c r="D1504" s="42"/>
      <c r="E1504" s="154">
        <f>E1500+1</f>
        <v>192</v>
      </c>
      <c r="F1504" s="145" t="str">
        <f>_xlfn.IFNA(VLOOKUP(E1504,'Data Kyu'!$A$6:$I$471,3,0),"")</f>
        <v/>
      </c>
      <c r="G1504" s="142"/>
      <c r="H1504" s="66"/>
      <c r="I1504" s="66"/>
      <c r="J1504" s="66"/>
      <c r="K1504" s="66"/>
      <c r="L1504" s="145" t="str">
        <f>_xlfn.IFNA(VLOOKUP(E1504,'Data Kyu'!$A$6:$I$471,9,0),"")</f>
        <v/>
      </c>
      <c r="M1504" s="142"/>
      <c r="N1504" s="145" t="str">
        <f>_xlfn.IFNA(VLOOKUP(E1504,'Data Kyu'!$A$6:$I$471,6,0),"")</f>
        <v/>
      </c>
      <c r="O1504" s="141"/>
      <c r="P1504" s="139" t="s">
        <v>5</v>
      </c>
      <c r="Q1504" s="141" t="str">
        <f>_xlfn.IFNA(VLOOKUP(E1504,'Data Kyu'!$A$6:$I$471,7,0),"")</f>
        <v/>
      </c>
      <c r="R1504" s="141"/>
      <c r="S1504" s="139" t="s">
        <v>5</v>
      </c>
      <c r="T1504" s="141" t="str">
        <f>_xlfn.IFNA(VLOOKUP(E1504,'Data Kyu'!$A$6:$I$471,8,0),"")</f>
        <v/>
      </c>
      <c r="U1504" s="142"/>
      <c r="V1504" s="142" t="str">
        <f>_xlfn.IFNA(VLOOKUP(E1504,'Data Kyu'!$A$6:$I$471,4,0),"")</f>
        <v/>
      </c>
      <c r="X1504" s="214" t="str">
        <f>_xlfn.IFNA(VLOOKUP(F1504,'Data Kyu'!$C$6:$N$997,12,0),"No Data")</f>
        <v>No Data</v>
      </c>
    </row>
    <row r="1505" spans="2:24" ht="10.95" customHeight="1" x14ac:dyDescent="0.25">
      <c r="B1505" s="52"/>
      <c r="C1505" s="165" t="str">
        <f>IF(X1504="LULUS","V","")</f>
        <v/>
      </c>
      <c r="D1505" s="53"/>
      <c r="E1505" s="155"/>
      <c r="F1505" s="148"/>
      <c r="G1505" s="144"/>
      <c r="H1505" s="67"/>
      <c r="I1505" s="67"/>
      <c r="J1505" s="67"/>
      <c r="K1505" s="67"/>
      <c r="L1505" s="146"/>
      <c r="M1505" s="147"/>
      <c r="N1505" s="148"/>
      <c r="O1505" s="143"/>
      <c r="P1505" s="140"/>
      <c r="Q1505" s="143"/>
      <c r="R1505" s="143"/>
      <c r="S1505" s="140"/>
      <c r="T1505" s="143"/>
      <c r="U1505" s="144"/>
      <c r="V1505" s="147"/>
      <c r="X1505" s="214"/>
    </row>
    <row r="1506" spans="2:24" ht="10.95" customHeight="1" x14ac:dyDescent="0.25">
      <c r="B1506" s="52"/>
      <c r="C1506" s="166"/>
      <c r="D1506" s="53"/>
      <c r="E1506" s="155"/>
      <c r="F1506" s="167" t="str">
        <f>_xlfn.IFNA(VLOOKUP(E1504,'Data Kyu'!$A$6:$I$471,2,0),"")</f>
        <v/>
      </c>
      <c r="G1506" s="168"/>
      <c r="H1506" s="168"/>
      <c r="I1506" s="168"/>
      <c r="J1506" s="168"/>
      <c r="K1506" s="169"/>
      <c r="L1506" s="146"/>
      <c r="M1506" s="147"/>
      <c r="N1506" s="173" t="s">
        <v>6</v>
      </c>
      <c r="O1506" s="159"/>
      <c r="P1506" s="57"/>
      <c r="Q1506" s="159" t="s">
        <v>7</v>
      </c>
      <c r="R1506" s="159"/>
      <c r="S1506" s="57"/>
      <c r="T1506" s="159" t="s">
        <v>8</v>
      </c>
      <c r="U1506" s="160"/>
      <c r="V1506" s="175"/>
      <c r="X1506" s="214"/>
    </row>
    <row r="1507" spans="2:24" ht="10.95" customHeight="1" x14ac:dyDescent="0.25">
      <c r="B1507" s="54"/>
      <c r="C1507" s="76"/>
      <c r="D1507" s="56"/>
      <c r="E1507" s="156"/>
      <c r="F1507" s="170"/>
      <c r="G1507" s="171"/>
      <c r="H1507" s="171"/>
      <c r="I1507" s="171"/>
      <c r="J1507" s="171"/>
      <c r="K1507" s="172"/>
      <c r="L1507" s="148"/>
      <c r="M1507" s="144"/>
      <c r="N1507" s="174"/>
      <c r="O1507" s="161"/>
      <c r="P1507" s="27"/>
      <c r="Q1507" s="161"/>
      <c r="R1507" s="161"/>
      <c r="S1507" s="27"/>
      <c r="T1507" s="161"/>
      <c r="U1507" s="162"/>
      <c r="V1507" s="176"/>
      <c r="X1507" s="214"/>
    </row>
    <row r="1508" spans="2:24" ht="10.95" customHeight="1" x14ac:dyDescent="0.25">
      <c r="B1508" s="41"/>
      <c r="C1508" s="77"/>
      <c r="D1508" s="42"/>
      <c r="E1508" s="154">
        <f t="shared" ref="E1508" si="72">E1504+1</f>
        <v>193</v>
      </c>
      <c r="F1508" s="145" t="str">
        <f>_xlfn.IFNA(VLOOKUP(E1508,'Data Kyu'!$A$6:$I$471,3,0),"")</f>
        <v/>
      </c>
      <c r="G1508" s="142"/>
      <c r="H1508" s="66"/>
      <c r="I1508" s="66"/>
      <c r="J1508" s="66"/>
      <c r="K1508" s="66"/>
      <c r="L1508" s="145" t="str">
        <f>_xlfn.IFNA(VLOOKUP(E1508,'Data Kyu'!$A$6:$I$471,9,0),"")</f>
        <v/>
      </c>
      <c r="M1508" s="142"/>
      <c r="N1508" s="145" t="str">
        <f>_xlfn.IFNA(VLOOKUP(E1508,'Data Kyu'!$A$6:$I$471,6,0),"")</f>
        <v/>
      </c>
      <c r="O1508" s="141"/>
      <c r="P1508" s="139" t="s">
        <v>5</v>
      </c>
      <c r="Q1508" s="141" t="str">
        <f>_xlfn.IFNA(VLOOKUP(E1508,'Data Kyu'!$A$6:$I$471,7,0),"")</f>
        <v/>
      </c>
      <c r="R1508" s="141"/>
      <c r="S1508" s="139" t="s">
        <v>5</v>
      </c>
      <c r="T1508" s="141" t="str">
        <f>_xlfn.IFNA(VLOOKUP(E1508,'Data Kyu'!$A$6:$I$471,8,0),"")</f>
        <v/>
      </c>
      <c r="U1508" s="142"/>
      <c r="V1508" s="142" t="str">
        <f>_xlfn.IFNA(VLOOKUP(E1508,'Data Kyu'!$A$6:$I$471,4,0),"")</f>
        <v/>
      </c>
      <c r="X1508" s="214" t="str">
        <f>_xlfn.IFNA(VLOOKUP(F1508,'Data Kyu'!$C$6:$N$997,12,0),"No Data")</f>
        <v>No Data</v>
      </c>
    </row>
    <row r="1509" spans="2:24" ht="10.95" customHeight="1" x14ac:dyDescent="0.25">
      <c r="B1509" s="52"/>
      <c r="C1509" s="165" t="str">
        <f>IF(X1508="LULUS","V","")</f>
        <v/>
      </c>
      <c r="D1509" s="53"/>
      <c r="E1509" s="155"/>
      <c r="F1509" s="148"/>
      <c r="G1509" s="144"/>
      <c r="H1509" s="67"/>
      <c r="I1509" s="67"/>
      <c r="J1509" s="67"/>
      <c r="K1509" s="67"/>
      <c r="L1509" s="146"/>
      <c r="M1509" s="147"/>
      <c r="N1509" s="148"/>
      <c r="O1509" s="143"/>
      <c r="P1509" s="140"/>
      <c r="Q1509" s="143"/>
      <c r="R1509" s="143"/>
      <c r="S1509" s="140"/>
      <c r="T1509" s="143"/>
      <c r="U1509" s="144"/>
      <c r="V1509" s="147"/>
      <c r="X1509" s="214"/>
    </row>
    <row r="1510" spans="2:24" ht="10.95" customHeight="1" x14ac:dyDescent="0.25">
      <c r="B1510" s="52"/>
      <c r="C1510" s="166"/>
      <c r="D1510" s="53"/>
      <c r="E1510" s="155"/>
      <c r="F1510" s="167" t="str">
        <f>_xlfn.IFNA(VLOOKUP(E1508,'Data Kyu'!$A$6:$I$471,2,0),"")</f>
        <v/>
      </c>
      <c r="G1510" s="168"/>
      <c r="H1510" s="168"/>
      <c r="I1510" s="168"/>
      <c r="J1510" s="168"/>
      <c r="K1510" s="169"/>
      <c r="L1510" s="146"/>
      <c r="M1510" s="147"/>
      <c r="N1510" s="173" t="s">
        <v>6</v>
      </c>
      <c r="O1510" s="159"/>
      <c r="P1510" s="57"/>
      <c r="Q1510" s="159" t="s">
        <v>7</v>
      </c>
      <c r="R1510" s="159"/>
      <c r="S1510" s="57"/>
      <c r="T1510" s="159" t="s">
        <v>8</v>
      </c>
      <c r="U1510" s="160"/>
      <c r="V1510" s="175"/>
      <c r="X1510" s="214"/>
    </row>
    <row r="1511" spans="2:24" ht="10.95" customHeight="1" x14ac:dyDescent="0.25">
      <c r="B1511" s="54"/>
      <c r="C1511" s="76"/>
      <c r="D1511" s="56"/>
      <c r="E1511" s="156"/>
      <c r="F1511" s="170"/>
      <c r="G1511" s="171"/>
      <c r="H1511" s="171"/>
      <c r="I1511" s="171"/>
      <c r="J1511" s="171"/>
      <c r="K1511" s="172"/>
      <c r="L1511" s="148"/>
      <c r="M1511" s="144"/>
      <c r="N1511" s="174"/>
      <c r="O1511" s="161"/>
      <c r="P1511" s="27"/>
      <c r="Q1511" s="161"/>
      <c r="R1511" s="161"/>
      <c r="S1511" s="27"/>
      <c r="T1511" s="161"/>
      <c r="U1511" s="162"/>
      <c r="V1511" s="176"/>
      <c r="X1511" s="214"/>
    </row>
    <row r="1512" spans="2:24" ht="10.95" customHeight="1" x14ac:dyDescent="0.25">
      <c r="B1512" s="41"/>
      <c r="C1512" s="77"/>
      <c r="D1512" s="42"/>
      <c r="E1512" s="154">
        <f t="shared" ref="E1512" si="73">E1508+1</f>
        <v>194</v>
      </c>
      <c r="F1512" s="145" t="str">
        <f>_xlfn.IFNA(VLOOKUP(E1512,'Data Kyu'!$A$6:$I$471,3,0),"")</f>
        <v/>
      </c>
      <c r="G1512" s="142"/>
      <c r="H1512" s="66"/>
      <c r="I1512" s="66"/>
      <c r="J1512" s="66"/>
      <c r="K1512" s="66"/>
      <c r="L1512" s="145" t="str">
        <f>_xlfn.IFNA(VLOOKUP(E1512,'Data Kyu'!$A$6:$I$471,9,0),"")</f>
        <v/>
      </c>
      <c r="M1512" s="142"/>
      <c r="N1512" s="145" t="str">
        <f>_xlfn.IFNA(VLOOKUP(E1512,'Data Kyu'!$A$6:$I$471,6,0),"")</f>
        <v/>
      </c>
      <c r="O1512" s="141"/>
      <c r="P1512" s="139" t="s">
        <v>5</v>
      </c>
      <c r="Q1512" s="141" t="str">
        <f>_xlfn.IFNA(VLOOKUP(E1512,'Data Kyu'!$A$6:$I$471,7,0),"")</f>
        <v/>
      </c>
      <c r="R1512" s="141"/>
      <c r="S1512" s="139" t="s">
        <v>5</v>
      </c>
      <c r="T1512" s="141" t="str">
        <f>_xlfn.IFNA(VLOOKUP(E1512,'Data Kyu'!$A$6:$I$471,8,0),"")</f>
        <v/>
      </c>
      <c r="U1512" s="142"/>
      <c r="V1512" s="142" t="str">
        <f>_xlfn.IFNA(VLOOKUP(E1512,'Data Kyu'!$A$6:$I$471,4,0),"")</f>
        <v/>
      </c>
      <c r="X1512" s="214" t="str">
        <f>_xlfn.IFNA(VLOOKUP(F1512,'Data Kyu'!$C$6:$N$997,12,0),"No Data")</f>
        <v>No Data</v>
      </c>
    </row>
    <row r="1513" spans="2:24" ht="10.95" customHeight="1" x14ac:dyDescent="0.25">
      <c r="B1513" s="52"/>
      <c r="C1513" s="165" t="str">
        <f>IF(X1512="LULUS","V","")</f>
        <v/>
      </c>
      <c r="D1513" s="53"/>
      <c r="E1513" s="155"/>
      <c r="F1513" s="148"/>
      <c r="G1513" s="144"/>
      <c r="H1513" s="67"/>
      <c r="I1513" s="67"/>
      <c r="J1513" s="67"/>
      <c r="K1513" s="67"/>
      <c r="L1513" s="146"/>
      <c r="M1513" s="147"/>
      <c r="N1513" s="148"/>
      <c r="O1513" s="143"/>
      <c r="P1513" s="140"/>
      <c r="Q1513" s="143"/>
      <c r="R1513" s="143"/>
      <c r="S1513" s="140"/>
      <c r="T1513" s="143"/>
      <c r="U1513" s="144"/>
      <c r="V1513" s="147"/>
      <c r="X1513" s="214"/>
    </row>
    <row r="1514" spans="2:24" ht="10.95" customHeight="1" x14ac:dyDescent="0.25">
      <c r="B1514" s="52"/>
      <c r="C1514" s="166"/>
      <c r="D1514" s="53"/>
      <c r="E1514" s="155"/>
      <c r="F1514" s="167" t="str">
        <f>_xlfn.IFNA(VLOOKUP(E1512,'Data Kyu'!$A$6:$I$471,2,0),"")</f>
        <v/>
      </c>
      <c r="G1514" s="168"/>
      <c r="H1514" s="168"/>
      <c r="I1514" s="168"/>
      <c r="J1514" s="168"/>
      <c r="K1514" s="169"/>
      <c r="L1514" s="146"/>
      <c r="M1514" s="147"/>
      <c r="N1514" s="173" t="s">
        <v>6</v>
      </c>
      <c r="O1514" s="159"/>
      <c r="P1514" s="57"/>
      <c r="Q1514" s="159" t="s">
        <v>7</v>
      </c>
      <c r="R1514" s="159"/>
      <c r="S1514" s="57"/>
      <c r="T1514" s="159" t="s">
        <v>8</v>
      </c>
      <c r="U1514" s="160"/>
      <c r="V1514" s="175"/>
      <c r="X1514" s="214"/>
    </row>
    <row r="1515" spans="2:24" ht="10.95" customHeight="1" x14ac:dyDescent="0.25">
      <c r="B1515" s="54"/>
      <c r="C1515" s="76"/>
      <c r="D1515" s="56"/>
      <c r="E1515" s="156"/>
      <c r="F1515" s="170"/>
      <c r="G1515" s="171"/>
      <c r="H1515" s="171"/>
      <c r="I1515" s="171"/>
      <c r="J1515" s="171"/>
      <c r="K1515" s="172"/>
      <c r="L1515" s="148"/>
      <c r="M1515" s="144"/>
      <c r="N1515" s="174"/>
      <c r="O1515" s="161"/>
      <c r="P1515" s="27"/>
      <c r="Q1515" s="161"/>
      <c r="R1515" s="161"/>
      <c r="S1515" s="27"/>
      <c r="T1515" s="161"/>
      <c r="U1515" s="162"/>
      <c r="V1515" s="176"/>
      <c r="X1515" s="214"/>
    </row>
    <row r="1516" spans="2:24" ht="10.95" customHeight="1" x14ac:dyDescent="0.25">
      <c r="B1516" s="41"/>
      <c r="C1516" s="77"/>
      <c r="D1516" s="42"/>
      <c r="E1516" s="154">
        <f t="shared" ref="E1516" si="74">E1512+1</f>
        <v>195</v>
      </c>
      <c r="F1516" s="145" t="str">
        <f>_xlfn.IFNA(VLOOKUP(E1516,'Data Kyu'!$A$6:$I$471,3,0),"")</f>
        <v/>
      </c>
      <c r="G1516" s="142"/>
      <c r="H1516" s="66"/>
      <c r="I1516" s="66"/>
      <c r="J1516" s="66"/>
      <c r="K1516" s="66"/>
      <c r="L1516" s="145" t="str">
        <f>_xlfn.IFNA(VLOOKUP(E1516,'Data Kyu'!$A$6:$I$471,9,0),"")</f>
        <v/>
      </c>
      <c r="M1516" s="142"/>
      <c r="N1516" s="145" t="str">
        <f>_xlfn.IFNA(VLOOKUP(E1516,'Data Kyu'!$A$6:$I$471,6,0),"")</f>
        <v/>
      </c>
      <c r="O1516" s="141"/>
      <c r="P1516" s="139" t="s">
        <v>5</v>
      </c>
      <c r="Q1516" s="141" t="str">
        <f>_xlfn.IFNA(VLOOKUP(E1516,'Data Kyu'!$A$6:$I$471,7,0),"")</f>
        <v/>
      </c>
      <c r="R1516" s="141"/>
      <c r="S1516" s="139" t="s">
        <v>5</v>
      </c>
      <c r="T1516" s="141" t="str">
        <f>_xlfn.IFNA(VLOOKUP(E1516,'Data Kyu'!$A$6:$I$471,8,0),"")</f>
        <v/>
      </c>
      <c r="U1516" s="142"/>
      <c r="V1516" s="142" t="str">
        <f>_xlfn.IFNA(VLOOKUP(E1516,'Data Kyu'!$A$6:$I$471,4,0),"")</f>
        <v/>
      </c>
      <c r="X1516" s="214" t="str">
        <f>_xlfn.IFNA(VLOOKUP(F1516,'Data Kyu'!$C$6:$N$997,12,0),"No Data")</f>
        <v>No Data</v>
      </c>
    </row>
    <row r="1517" spans="2:24" ht="10.95" customHeight="1" x14ac:dyDescent="0.25">
      <c r="B1517" s="52"/>
      <c r="C1517" s="165" t="str">
        <f>IF(X1516="LULUS","V","")</f>
        <v/>
      </c>
      <c r="D1517" s="53"/>
      <c r="E1517" s="155"/>
      <c r="F1517" s="148"/>
      <c r="G1517" s="144"/>
      <c r="H1517" s="67"/>
      <c r="I1517" s="67"/>
      <c r="J1517" s="67"/>
      <c r="K1517" s="67"/>
      <c r="L1517" s="146"/>
      <c r="M1517" s="147"/>
      <c r="N1517" s="148"/>
      <c r="O1517" s="143"/>
      <c r="P1517" s="140"/>
      <c r="Q1517" s="143"/>
      <c r="R1517" s="143"/>
      <c r="S1517" s="140"/>
      <c r="T1517" s="143"/>
      <c r="U1517" s="144"/>
      <c r="V1517" s="147"/>
      <c r="X1517" s="214"/>
    </row>
    <row r="1518" spans="2:24" ht="10.95" customHeight="1" x14ac:dyDescent="0.25">
      <c r="B1518" s="52"/>
      <c r="C1518" s="166"/>
      <c r="D1518" s="53"/>
      <c r="E1518" s="155"/>
      <c r="F1518" s="167" t="str">
        <f>_xlfn.IFNA(VLOOKUP(E1516,'Data Kyu'!$A$6:$I$471,2,0),"")</f>
        <v/>
      </c>
      <c r="G1518" s="168"/>
      <c r="H1518" s="168"/>
      <c r="I1518" s="168"/>
      <c r="J1518" s="168"/>
      <c r="K1518" s="169"/>
      <c r="L1518" s="146"/>
      <c r="M1518" s="147"/>
      <c r="N1518" s="173" t="s">
        <v>6</v>
      </c>
      <c r="O1518" s="159"/>
      <c r="P1518" s="57"/>
      <c r="Q1518" s="159" t="s">
        <v>7</v>
      </c>
      <c r="R1518" s="159"/>
      <c r="S1518" s="57"/>
      <c r="T1518" s="159" t="s">
        <v>8</v>
      </c>
      <c r="U1518" s="160"/>
      <c r="V1518" s="175"/>
      <c r="X1518" s="214"/>
    </row>
    <row r="1519" spans="2:24" ht="10.95" customHeight="1" x14ac:dyDescent="0.25">
      <c r="B1519" s="54"/>
      <c r="C1519" s="76"/>
      <c r="D1519" s="56"/>
      <c r="E1519" s="156"/>
      <c r="F1519" s="170"/>
      <c r="G1519" s="171"/>
      <c r="H1519" s="171"/>
      <c r="I1519" s="171"/>
      <c r="J1519" s="171"/>
      <c r="K1519" s="172"/>
      <c r="L1519" s="148"/>
      <c r="M1519" s="144"/>
      <c r="N1519" s="174"/>
      <c r="O1519" s="161"/>
      <c r="P1519" s="27"/>
      <c r="Q1519" s="161"/>
      <c r="R1519" s="161"/>
      <c r="S1519" s="27"/>
      <c r="T1519" s="161"/>
      <c r="U1519" s="162"/>
      <c r="V1519" s="176"/>
      <c r="X1519" s="214"/>
    </row>
    <row r="1520" spans="2:24" ht="10.95" customHeight="1" x14ac:dyDescent="0.25">
      <c r="B1520" s="41"/>
      <c r="C1520" s="77"/>
      <c r="D1520" s="42"/>
      <c r="E1520" s="154">
        <f t="shared" ref="E1520" si="75">E1516+1</f>
        <v>196</v>
      </c>
      <c r="F1520" s="145" t="str">
        <f>_xlfn.IFNA(VLOOKUP(E1520,'Data Kyu'!$A$6:$I$471,3,0),"")</f>
        <v/>
      </c>
      <c r="G1520" s="142"/>
      <c r="H1520" s="66"/>
      <c r="I1520" s="66"/>
      <c r="J1520" s="66"/>
      <c r="K1520" s="66"/>
      <c r="L1520" s="145" t="str">
        <f>_xlfn.IFNA(VLOOKUP(E1520,'Data Kyu'!$A$6:$I$471,9,0),"")</f>
        <v/>
      </c>
      <c r="M1520" s="142"/>
      <c r="N1520" s="145" t="str">
        <f>_xlfn.IFNA(VLOOKUP(E1520,'Data Kyu'!$A$6:$I$471,6,0),"")</f>
        <v/>
      </c>
      <c r="O1520" s="141"/>
      <c r="P1520" s="139" t="s">
        <v>5</v>
      </c>
      <c r="Q1520" s="141" t="str">
        <f>_xlfn.IFNA(VLOOKUP(E1520,'Data Kyu'!$A$6:$I$471,7,0),"")</f>
        <v/>
      </c>
      <c r="R1520" s="141"/>
      <c r="S1520" s="139" t="s">
        <v>5</v>
      </c>
      <c r="T1520" s="141" t="str">
        <f>_xlfn.IFNA(VLOOKUP(E1520,'Data Kyu'!$A$6:$I$471,8,0),"")</f>
        <v/>
      </c>
      <c r="U1520" s="142"/>
      <c r="V1520" s="142" t="str">
        <f>_xlfn.IFNA(VLOOKUP(E1520,'Data Kyu'!$A$6:$I$471,4,0),"")</f>
        <v/>
      </c>
      <c r="X1520" s="214" t="str">
        <f>_xlfn.IFNA(VLOOKUP(F1520,'Data Kyu'!$C$6:$N$997,12,0),"No Data")</f>
        <v>No Data</v>
      </c>
    </row>
    <row r="1521" spans="2:24" ht="10.95" customHeight="1" x14ac:dyDescent="0.25">
      <c r="B1521" s="52"/>
      <c r="C1521" s="165" t="str">
        <f>IF(X1520="LULUS","V","")</f>
        <v/>
      </c>
      <c r="D1521" s="53"/>
      <c r="E1521" s="155"/>
      <c r="F1521" s="148"/>
      <c r="G1521" s="144"/>
      <c r="H1521" s="67"/>
      <c r="I1521" s="67"/>
      <c r="J1521" s="67"/>
      <c r="K1521" s="67"/>
      <c r="L1521" s="146"/>
      <c r="M1521" s="147"/>
      <c r="N1521" s="148"/>
      <c r="O1521" s="143"/>
      <c r="P1521" s="140"/>
      <c r="Q1521" s="143"/>
      <c r="R1521" s="143"/>
      <c r="S1521" s="140"/>
      <c r="T1521" s="143"/>
      <c r="U1521" s="144"/>
      <c r="V1521" s="147"/>
      <c r="X1521" s="214"/>
    </row>
    <row r="1522" spans="2:24" ht="10.95" customHeight="1" x14ac:dyDescent="0.25">
      <c r="B1522" s="52"/>
      <c r="C1522" s="166"/>
      <c r="D1522" s="53"/>
      <c r="E1522" s="155"/>
      <c r="F1522" s="167" t="str">
        <f>_xlfn.IFNA(VLOOKUP(E1520,'Data Kyu'!$A$6:$I$471,2,0),"")</f>
        <v/>
      </c>
      <c r="G1522" s="168"/>
      <c r="H1522" s="168"/>
      <c r="I1522" s="168"/>
      <c r="J1522" s="168"/>
      <c r="K1522" s="169"/>
      <c r="L1522" s="146"/>
      <c r="M1522" s="147"/>
      <c r="N1522" s="173" t="s">
        <v>6</v>
      </c>
      <c r="O1522" s="159"/>
      <c r="P1522" s="57"/>
      <c r="Q1522" s="159" t="s">
        <v>7</v>
      </c>
      <c r="R1522" s="159"/>
      <c r="S1522" s="57"/>
      <c r="T1522" s="159" t="s">
        <v>8</v>
      </c>
      <c r="U1522" s="160"/>
      <c r="V1522" s="175"/>
      <c r="X1522" s="214"/>
    </row>
    <row r="1523" spans="2:24" ht="10.95" customHeight="1" x14ac:dyDescent="0.25">
      <c r="B1523" s="54"/>
      <c r="C1523" s="76"/>
      <c r="D1523" s="56"/>
      <c r="E1523" s="156"/>
      <c r="F1523" s="170"/>
      <c r="G1523" s="171"/>
      <c r="H1523" s="171"/>
      <c r="I1523" s="171"/>
      <c r="J1523" s="171"/>
      <c r="K1523" s="172"/>
      <c r="L1523" s="148"/>
      <c r="M1523" s="144"/>
      <c r="N1523" s="174"/>
      <c r="O1523" s="161"/>
      <c r="P1523" s="27"/>
      <c r="Q1523" s="161"/>
      <c r="R1523" s="161"/>
      <c r="S1523" s="27"/>
      <c r="T1523" s="161"/>
      <c r="U1523" s="162"/>
      <c r="V1523" s="176"/>
      <c r="X1523" s="214"/>
    </row>
    <row r="1524" spans="2:24" ht="10.95" customHeight="1" x14ac:dyDescent="0.25">
      <c r="B1524" s="41"/>
      <c r="C1524" s="77"/>
      <c r="D1524" s="42"/>
      <c r="E1524" s="154">
        <f t="shared" ref="E1524" si="76">E1520+1</f>
        <v>197</v>
      </c>
      <c r="F1524" s="145" t="str">
        <f>_xlfn.IFNA(VLOOKUP(E1524,'Data Kyu'!$A$6:$I$471,3,0),"")</f>
        <v/>
      </c>
      <c r="G1524" s="142"/>
      <c r="H1524" s="66"/>
      <c r="I1524" s="66"/>
      <c r="J1524" s="66"/>
      <c r="K1524" s="66"/>
      <c r="L1524" s="145" t="str">
        <f>_xlfn.IFNA(VLOOKUP(E1524,'Data Kyu'!$A$6:$I$471,9,0),"")</f>
        <v/>
      </c>
      <c r="M1524" s="142"/>
      <c r="N1524" s="145" t="str">
        <f>_xlfn.IFNA(VLOOKUP(E1524,'Data Kyu'!$A$6:$I$471,6,0),"")</f>
        <v/>
      </c>
      <c r="O1524" s="141"/>
      <c r="P1524" s="139" t="s">
        <v>5</v>
      </c>
      <c r="Q1524" s="141" t="str">
        <f>_xlfn.IFNA(VLOOKUP(E1524,'Data Kyu'!$A$6:$I$471,7,0),"")</f>
        <v/>
      </c>
      <c r="R1524" s="141"/>
      <c r="S1524" s="139" t="s">
        <v>5</v>
      </c>
      <c r="T1524" s="141" t="str">
        <f>_xlfn.IFNA(VLOOKUP(E1524,'Data Kyu'!$A$6:$I$471,8,0),"")</f>
        <v/>
      </c>
      <c r="U1524" s="142"/>
      <c r="V1524" s="142" t="str">
        <f>_xlfn.IFNA(VLOOKUP(E1524,'Data Kyu'!$A$6:$I$471,4,0),"")</f>
        <v/>
      </c>
      <c r="X1524" s="214" t="str">
        <f>_xlfn.IFNA(VLOOKUP(F1524,'Data Kyu'!$C$6:$N$997,12,0),"No Data")</f>
        <v>No Data</v>
      </c>
    </row>
    <row r="1525" spans="2:24" ht="10.95" customHeight="1" x14ac:dyDescent="0.25">
      <c r="B1525" s="52"/>
      <c r="C1525" s="165" t="str">
        <f>IF(X1524="LULUS","V","")</f>
        <v/>
      </c>
      <c r="D1525" s="53"/>
      <c r="E1525" s="155"/>
      <c r="F1525" s="148"/>
      <c r="G1525" s="144"/>
      <c r="H1525" s="67"/>
      <c r="I1525" s="67"/>
      <c r="J1525" s="67"/>
      <c r="K1525" s="67"/>
      <c r="L1525" s="146"/>
      <c r="M1525" s="147"/>
      <c r="N1525" s="148"/>
      <c r="O1525" s="143"/>
      <c r="P1525" s="140"/>
      <c r="Q1525" s="143"/>
      <c r="R1525" s="143"/>
      <c r="S1525" s="140"/>
      <c r="T1525" s="143"/>
      <c r="U1525" s="144"/>
      <c r="V1525" s="147"/>
      <c r="X1525" s="214"/>
    </row>
    <row r="1526" spans="2:24" ht="10.95" customHeight="1" x14ac:dyDescent="0.25">
      <c r="B1526" s="52"/>
      <c r="C1526" s="166"/>
      <c r="D1526" s="53"/>
      <c r="E1526" s="155"/>
      <c r="F1526" s="167" t="str">
        <f>_xlfn.IFNA(VLOOKUP(E1524,'Data Kyu'!$A$6:$I$471,2,0),"")</f>
        <v/>
      </c>
      <c r="G1526" s="168"/>
      <c r="H1526" s="168"/>
      <c r="I1526" s="168"/>
      <c r="J1526" s="168"/>
      <c r="K1526" s="169"/>
      <c r="L1526" s="146"/>
      <c r="M1526" s="147"/>
      <c r="N1526" s="173" t="s">
        <v>6</v>
      </c>
      <c r="O1526" s="159"/>
      <c r="P1526" s="57"/>
      <c r="Q1526" s="159" t="s">
        <v>7</v>
      </c>
      <c r="R1526" s="159"/>
      <c r="S1526" s="57"/>
      <c r="T1526" s="159" t="s">
        <v>8</v>
      </c>
      <c r="U1526" s="160"/>
      <c r="V1526" s="175"/>
      <c r="X1526" s="214"/>
    </row>
    <row r="1527" spans="2:24" ht="10.95" customHeight="1" x14ac:dyDescent="0.25">
      <c r="B1527" s="54"/>
      <c r="C1527" s="76"/>
      <c r="D1527" s="56"/>
      <c r="E1527" s="156"/>
      <c r="F1527" s="170"/>
      <c r="G1527" s="171"/>
      <c r="H1527" s="171"/>
      <c r="I1527" s="171"/>
      <c r="J1527" s="171"/>
      <c r="K1527" s="172"/>
      <c r="L1527" s="148"/>
      <c r="M1527" s="144"/>
      <c r="N1527" s="174"/>
      <c r="O1527" s="161"/>
      <c r="P1527" s="27"/>
      <c r="Q1527" s="161"/>
      <c r="R1527" s="161"/>
      <c r="S1527" s="27"/>
      <c r="T1527" s="161"/>
      <c r="U1527" s="162"/>
      <c r="V1527" s="176"/>
      <c r="X1527" s="214"/>
    </row>
    <row r="1528" spans="2:24" ht="10.95" customHeight="1" x14ac:dyDescent="0.25">
      <c r="B1528" s="41"/>
      <c r="C1528" s="77"/>
      <c r="D1528" s="42"/>
      <c r="E1528" s="154">
        <f t="shared" ref="E1528" si="77">E1524+1</f>
        <v>198</v>
      </c>
      <c r="F1528" s="145" t="str">
        <f>_xlfn.IFNA(VLOOKUP(E1528,'Data Kyu'!$A$6:$I$471,3,0),"")</f>
        <v/>
      </c>
      <c r="G1528" s="142"/>
      <c r="H1528" s="66"/>
      <c r="I1528" s="66"/>
      <c r="J1528" s="66"/>
      <c r="K1528" s="66"/>
      <c r="L1528" s="145" t="str">
        <f>_xlfn.IFNA(VLOOKUP(E1528,'Data Kyu'!$A$6:$I$471,9,0),"")</f>
        <v/>
      </c>
      <c r="M1528" s="142"/>
      <c r="N1528" s="145" t="str">
        <f>_xlfn.IFNA(VLOOKUP(E1528,'Data Kyu'!$A$6:$I$471,6,0),"")</f>
        <v/>
      </c>
      <c r="O1528" s="141"/>
      <c r="P1528" s="139" t="s">
        <v>5</v>
      </c>
      <c r="Q1528" s="141" t="str">
        <f>_xlfn.IFNA(VLOOKUP(E1528,'Data Kyu'!$A$6:$I$471,7,0),"")</f>
        <v/>
      </c>
      <c r="R1528" s="141"/>
      <c r="S1528" s="139" t="s">
        <v>5</v>
      </c>
      <c r="T1528" s="141" t="str">
        <f>_xlfn.IFNA(VLOOKUP(E1528,'Data Kyu'!$A$6:$I$471,8,0),"")</f>
        <v/>
      </c>
      <c r="U1528" s="142"/>
      <c r="V1528" s="142" t="str">
        <f>_xlfn.IFNA(VLOOKUP(E1528,'Data Kyu'!$A$6:$I$471,4,0),"")</f>
        <v/>
      </c>
      <c r="X1528" s="214" t="str">
        <f>_xlfn.IFNA(VLOOKUP(F1528,'Data Kyu'!$C$6:$N$997,12,0),"No Data")</f>
        <v>No Data</v>
      </c>
    </row>
    <row r="1529" spans="2:24" ht="10.95" customHeight="1" x14ac:dyDescent="0.25">
      <c r="B1529" s="52"/>
      <c r="C1529" s="165" t="str">
        <f>IF(X1528="LULUS","V","")</f>
        <v/>
      </c>
      <c r="D1529" s="53"/>
      <c r="E1529" s="155"/>
      <c r="F1529" s="148"/>
      <c r="G1529" s="144"/>
      <c r="H1529" s="67"/>
      <c r="I1529" s="67"/>
      <c r="J1529" s="67"/>
      <c r="K1529" s="67"/>
      <c r="L1529" s="146"/>
      <c r="M1529" s="147"/>
      <c r="N1529" s="148"/>
      <c r="O1529" s="143"/>
      <c r="P1529" s="140"/>
      <c r="Q1529" s="143"/>
      <c r="R1529" s="143"/>
      <c r="S1529" s="140"/>
      <c r="T1529" s="143"/>
      <c r="U1529" s="144"/>
      <c r="V1529" s="147"/>
      <c r="X1529" s="214"/>
    </row>
    <row r="1530" spans="2:24" ht="10.95" customHeight="1" x14ac:dyDescent="0.25">
      <c r="B1530" s="52"/>
      <c r="C1530" s="166"/>
      <c r="D1530" s="53"/>
      <c r="E1530" s="155"/>
      <c r="F1530" s="167" t="str">
        <f>_xlfn.IFNA(VLOOKUP(E1528,'Data Kyu'!$A$6:$I$471,2,0),"")</f>
        <v/>
      </c>
      <c r="G1530" s="168"/>
      <c r="H1530" s="168"/>
      <c r="I1530" s="168"/>
      <c r="J1530" s="168"/>
      <c r="K1530" s="169"/>
      <c r="L1530" s="146"/>
      <c r="M1530" s="147"/>
      <c r="N1530" s="173" t="s">
        <v>6</v>
      </c>
      <c r="O1530" s="159"/>
      <c r="P1530" s="57"/>
      <c r="Q1530" s="159" t="s">
        <v>7</v>
      </c>
      <c r="R1530" s="159"/>
      <c r="S1530" s="57"/>
      <c r="T1530" s="159" t="s">
        <v>8</v>
      </c>
      <c r="U1530" s="160"/>
      <c r="V1530" s="175"/>
      <c r="X1530" s="214"/>
    </row>
    <row r="1531" spans="2:24" ht="10.95" customHeight="1" x14ac:dyDescent="0.25">
      <c r="B1531" s="54"/>
      <c r="C1531" s="76"/>
      <c r="D1531" s="56"/>
      <c r="E1531" s="156"/>
      <c r="F1531" s="170"/>
      <c r="G1531" s="171"/>
      <c r="H1531" s="171"/>
      <c r="I1531" s="171"/>
      <c r="J1531" s="171"/>
      <c r="K1531" s="172"/>
      <c r="L1531" s="148"/>
      <c r="M1531" s="144"/>
      <c r="N1531" s="174"/>
      <c r="O1531" s="161"/>
      <c r="P1531" s="27"/>
      <c r="Q1531" s="161"/>
      <c r="R1531" s="161"/>
      <c r="S1531" s="27"/>
      <c r="T1531" s="161"/>
      <c r="U1531" s="162"/>
      <c r="V1531" s="176"/>
      <c r="X1531" s="214"/>
    </row>
    <row r="1532" spans="2:24" ht="10.95" customHeight="1" x14ac:dyDescent="0.25">
      <c r="B1532" s="41"/>
      <c r="C1532" s="77"/>
      <c r="D1532" s="42"/>
      <c r="E1532" s="154">
        <f t="shared" ref="E1532" si="78">E1528+1</f>
        <v>199</v>
      </c>
      <c r="F1532" s="145" t="str">
        <f>_xlfn.IFNA(VLOOKUP(E1532,'Data Kyu'!$A$6:$I$471,3,0),"")</f>
        <v/>
      </c>
      <c r="G1532" s="142"/>
      <c r="H1532" s="66"/>
      <c r="I1532" s="66"/>
      <c r="J1532" s="66"/>
      <c r="K1532" s="66"/>
      <c r="L1532" s="145" t="str">
        <f>_xlfn.IFNA(VLOOKUP(E1532,'Data Kyu'!$A$6:$I$471,9,0),"")</f>
        <v/>
      </c>
      <c r="M1532" s="142"/>
      <c r="N1532" s="145" t="str">
        <f>_xlfn.IFNA(VLOOKUP(E1532,'Data Kyu'!$A$6:$I$471,6,0),"")</f>
        <v/>
      </c>
      <c r="O1532" s="141"/>
      <c r="P1532" s="139" t="s">
        <v>5</v>
      </c>
      <c r="Q1532" s="141" t="str">
        <f>_xlfn.IFNA(VLOOKUP(E1532,'Data Kyu'!$A$6:$I$471,7,0),"")</f>
        <v/>
      </c>
      <c r="R1532" s="141"/>
      <c r="S1532" s="139" t="s">
        <v>5</v>
      </c>
      <c r="T1532" s="141" t="str">
        <f>_xlfn.IFNA(VLOOKUP(E1532,'Data Kyu'!$A$6:$I$471,8,0),"")</f>
        <v/>
      </c>
      <c r="U1532" s="142"/>
      <c r="V1532" s="142" t="str">
        <f>_xlfn.IFNA(VLOOKUP(E1532,'Data Kyu'!$A$6:$I$471,4,0),"")</f>
        <v/>
      </c>
      <c r="X1532" s="214" t="str">
        <f>_xlfn.IFNA(VLOOKUP(F1532,'Data Kyu'!$C$6:$N$997,12,0),"No Data")</f>
        <v>No Data</v>
      </c>
    </row>
    <row r="1533" spans="2:24" ht="10.95" customHeight="1" x14ac:dyDescent="0.25">
      <c r="B1533" s="52"/>
      <c r="C1533" s="165" t="str">
        <f>IF(X1532="LULUS","V","")</f>
        <v/>
      </c>
      <c r="D1533" s="53"/>
      <c r="E1533" s="155"/>
      <c r="F1533" s="148"/>
      <c r="G1533" s="144"/>
      <c r="H1533" s="67"/>
      <c r="I1533" s="67"/>
      <c r="J1533" s="67"/>
      <c r="K1533" s="67"/>
      <c r="L1533" s="146"/>
      <c r="M1533" s="147"/>
      <c r="N1533" s="148"/>
      <c r="O1533" s="143"/>
      <c r="P1533" s="140"/>
      <c r="Q1533" s="143"/>
      <c r="R1533" s="143"/>
      <c r="S1533" s="140"/>
      <c r="T1533" s="143"/>
      <c r="U1533" s="144"/>
      <c r="V1533" s="147"/>
      <c r="X1533" s="214"/>
    </row>
    <row r="1534" spans="2:24" ht="10.95" customHeight="1" x14ac:dyDescent="0.25">
      <c r="B1534" s="52"/>
      <c r="C1534" s="166"/>
      <c r="D1534" s="53"/>
      <c r="E1534" s="155"/>
      <c r="F1534" s="167" t="str">
        <f>_xlfn.IFNA(VLOOKUP(E1532,'Data Kyu'!$A$6:$I$471,2,0),"")</f>
        <v/>
      </c>
      <c r="G1534" s="168"/>
      <c r="H1534" s="168"/>
      <c r="I1534" s="168"/>
      <c r="J1534" s="168"/>
      <c r="K1534" s="169"/>
      <c r="L1534" s="146"/>
      <c r="M1534" s="147"/>
      <c r="N1534" s="173" t="s">
        <v>6</v>
      </c>
      <c r="O1534" s="159"/>
      <c r="P1534" s="57"/>
      <c r="Q1534" s="159" t="s">
        <v>7</v>
      </c>
      <c r="R1534" s="159"/>
      <c r="S1534" s="57"/>
      <c r="T1534" s="159" t="s">
        <v>8</v>
      </c>
      <c r="U1534" s="160"/>
      <c r="V1534" s="175"/>
      <c r="X1534" s="214"/>
    </row>
    <row r="1535" spans="2:24" ht="10.95" customHeight="1" x14ac:dyDescent="0.25">
      <c r="B1535" s="54"/>
      <c r="C1535" s="76"/>
      <c r="D1535" s="56"/>
      <c r="E1535" s="156"/>
      <c r="F1535" s="170"/>
      <c r="G1535" s="171"/>
      <c r="H1535" s="171"/>
      <c r="I1535" s="171"/>
      <c r="J1535" s="171"/>
      <c r="K1535" s="172"/>
      <c r="L1535" s="148"/>
      <c r="M1535" s="144"/>
      <c r="N1535" s="174"/>
      <c r="O1535" s="161"/>
      <c r="P1535" s="27"/>
      <c r="Q1535" s="161"/>
      <c r="R1535" s="161"/>
      <c r="S1535" s="27"/>
      <c r="T1535" s="161"/>
      <c r="U1535" s="162"/>
      <c r="V1535" s="176"/>
      <c r="X1535" s="214"/>
    </row>
    <row r="1536" spans="2:24" ht="10.95" customHeight="1" x14ac:dyDescent="0.25">
      <c r="B1536" s="41"/>
      <c r="C1536" s="77"/>
      <c r="D1536" s="42"/>
      <c r="E1536" s="154">
        <f t="shared" ref="E1536" si="79">E1532+1</f>
        <v>200</v>
      </c>
      <c r="F1536" s="145" t="str">
        <f>_xlfn.IFNA(VLOOKUP(E1536,'Data Kyu'!$A$6:$I$471,3,0),"")</f>
        <v/>
      </c>
      <c r="G1536" s="142"/>
      <c r="H1536" s="66"/>
      <c r="I1536" s="66"/>
      <c r="J1536" s="66"/>
      <c r="K1536" s="66"/>
      <c r="L1536" s="145" t="str">
        <f>_xlfn.IFNA(VLOOKUP(E1536,'Data Kyu'!$A$6:$I$471,9,0),"")</f>
        <v/>
      </c>
      <c r="M1536" s="142"/>
      <c r="N1536" s="145" t="str">
        <f>_xlfn.IFNA(VLOOKUP(E1536,'Data Kyu'!$A$6:$I$471,6,0),"")</f>
        <v/>
      </c>
      <c r="O1536" s="141"/>
      <c r="P1536" s="139" t="s">
        <v>5</v>
      </c>
      <c r="Q1536" s="141" t="str">
        <f>_xlfn.IFNA(VLOOKUP(E1536,'Data Kyu'!$A$6:$I$471,7,0),"")</f>
        <v/>
      </c>
      <c r="R1536" s="141"/>
      <c r="S1536" s="139" t="s">
        <v>5</v>
      </c>
      <c r="T1536" s="141" t="str">
        <f>_xlfn.IFNA(VLOOKUP(E1536,'Data Kyu'!$A$6:$I$471,8,0),"")</f>
        <v/>
      </c>
      <c r="U1536" s="142"/>
      <c r="V1536" s="142" t="str">
        <f>_xlfn.IFNA(VLOOKUP(E1536,'Data Kyu'!$A$6:$I$471,4,0),"")</f>
        <v/>
      </c>
      <c r="X1536" s="214" t="str">
        <f>_xlfn.IFNA(VLOOKUP(F1536,'Data Kyu'!$C$6:$N$997,12,0),"No Data")</f>
        <v>No Data</v>
      </c>
    </row>
    <row r="1537" spans="2:24" ht="10.95" customHeight="1" x14ac:dyDescent="0.25">
      <c r="B1537" s="52"/>
      <c r="C1537" s="165" t="str">
        <f>IF(X1536="LULUS","V","")</f>
        <v/>
      </c>
      <c r="D1537" s="53"/>
      <c r="E1537" s="155"/>
      <c r="F1537" s="148"/>
      <c r="G1537" s="144"/>
      <c r="H1537" s="67"/>
      <c r="I1537" s="67"/>
      <c r="J1537" s="67"/>
      <c r="K1537" s="67"/>
      <c r="L1537" s="146"/>
      <c r="M1537" s="147"/>
      <c r="N1537" s="148"/>
      <c r="O1537" s="143"/>
      <c r="P1537" s="140"/>
      <c r="Q1537" s="143"/>
      <c r="R1537" s="143"/>
      <c r="S1537" s="140"/>
      <c r="T1537" s="143"/>
      <c r="U1537" s="144"/>
      <c r="V1537" s="147"/>
      <c r="X1537" s="214"/>
    </row>
    <row r="1538" spans="2:24" ht="10.95" customHeight="1" x14ac:dyDescent="0.25">
      <c r="B1538" s="52"/>
      <c r="C1538" s="166"/>
      <c r="D1538" s="53"/>
      <c r="E1538" s="155"/>
      <c r="F1538" s="167" t="str">
        <f>_xlfn.IFNA(VLOOKUP(E1536,'Data Kyu'!$A$6:$I$471,2,0),"")</f>
        <v/>
      </c>
      <c r="G1538" s="168"/>
      <c r="H1538" s="168"/>
      <c r="I1538" s="168"/>
      <c r="J1538" s="168"/>
      <c r="K1538" s="169"/>
      <c r="L1538" s="146"/>
      <c r="M1538" s="147"/>
      <c r="N1538" s="173" t="s">
        <v>6</v>
      </c>
      <c r="O1538" s="159"/>
      <c r="P1538" s="57"/>
      <c r="Q1538" s="159" t="s">
        <v>7</v>
      </c>
      <c r="R1538" s="159"/>
      <c r="S1538" s="57"/>
      <c r="T1538" s="159" t="s">
        <v>8</v>
      </c>
      <c r="U1538" s="160"/>
      <c r="V1538" s="175"/>
      <c r="X1538" s="214"/>
    </row>
    <row r="1539" spans="2:24" ht="10.95" customHeight="1" x14ac:dyDescent="0.25">
      <c r="B1539" s="54"/>
      <c r="C1539" s="55"/>
      <c r="D1539" s="56"/>
      <c r="E1539" s="156"/>
      <c r="F1539" s="170"/>
      <c r="G1539" s="171"/>
      <c r="H1539" s="171"/>
      <c r="I1539" s="171"/>
      <c r="J1539" s="171"/>
      <c r="K1539" s="172"/>
      <c r="L1539" s="148"/>
      <c r="M1539" s="144"/>
      <c r="N1539" s="174"/>
      <c r="O1539" s="161"/>
      <c r="P1539" s="27"/>
      <c r="Q1539" s="161"/>
      <c r="R1539" s="161"/>
      <c r="S1539" s="27"/>
      <c r="T1539" s="161"/>
      <c r="U1539" s="162"/>
      <c r="V1539" s="176"/>
      <c r="X1539" s="214"/>
    </row>
    <row r="1540" spans="2:24" ht="7.5" customHeight="1" x14ac:dyDescent="0.25"/>
    <row r="1541" spans="2:24" s="34" customFormat="1" x14ac:dyDescent="0.25">
      <c r="E1541" s="35" t="s">
        <v>30</v>
      </c>
      <c r="K1541" s="35" t="s">
        <v>28</v>
      </c>
    </row>
    <row r="1542" spans="2:24" x14ac:dyDescent="0.25">
      <c r="E1542" s="33" t="s">
        <v>31</v>
      </c>
      <c r="F1542" s="149"/>
      <c r="G1542" s="149"/>
      <c r="H1542" s="149"/>
      <c r="I1542" s="149"/>
      <c r="J1542" s="149"/>
      <c r="K1542" s="33" t="s">
        <v>29</v>
      </c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</row>
    <row r="1543" spans="2:24" ht="6.75" customHeight="1" x14ac:dyDescent="0.25">
      <c r="F1543" s="34"/>
      <c r="G1543" s="34"/>
      <c r="H1543" s="34"/>
      <c r="I1543" s="34"/>
      <c r="J1543" s="34"/>
    </row>
    <row r="1544" spans="2:24" s="34" customFormat="1" x14ac:dyDescent="0.25">
      <c r="E1544" s="35" t="s">
        <v>32</v>
      </c>
      <c r="K1544" s="35" t="s">
        <v>36</v>
      </c>
    </row>
    <row r="1545" spans="2:24" x14ac:dyDescent="0.25">
      <c r="E1545" s="33" t="s">
        <v>33</v>
      </c>
      <c r="F1545" s="149"/>
      <c r="G1545" s="149"/>
      <c r="H1545" s="149"/>
      <c r="I1545" s="149"/>
      <c r="J1545" s="149"/>
      <c r="K1545" s="33" t="s">
        <v>29</v>
      </c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</row>
    <row r="1546" spans="2:24" ht="6.75" customHeight="1" x14ac:dyDescent="0.25">
      <c r="F1546" s="34"/>
      <c r="G1546" s="34"/>
      <c r="H1546" s="34"/>
      <c r="I1546" s="34"/>
      <c r="J1546" s="34"/>
    </row>
    <row r="1547" spans="2:24" s="34" customFormat="1" ht="13.8" x14ac:dyDescent="0.25">
      <c r="E1547" s="35" t="s">
        <v>34</v>
      </c>
      <c r="F1547" s="177" t="str">
        <f>IF(F1500&lt;&gt;"",$F$65,"")</f>
        <v/>
      </c>
      <c r="G1547" s="177"/>
      <c r="H1547" s="177"/>
      <c r="I1547" s="177"/>
      <c r="J1547" s="177"/>
      <c r="K1547" s="35" t="s">
        <v>28</v>
      </c>
      <c r="X1547" s="70" t="s">
        <v>107</v>
      </c>
    </row>
    <row r="1548" spans="2:24" ht="13.8" x14ac:dyDescent="0.25">
      <c r="E1548" s="33" t="s">
        <v>35</v>
      </c>
      <c r="F1548" s="178"/>
      <c r="G1548" s="178"/>
      <c r="H1548" s="178"/>
      <c r="I1548" s="178"/>
      <c r="J1548" s="178"/>
      <c r="K1548" s="33" t="s">
        <v>29</v>
      </c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X1548" s="70" t="s">
        <v>105</v>
      </c>
    </row>
    <row r="1549" spans="2:24" ht="12.75" customHeight="1" thickBot="1" x14ac:dyDescent="0.3"/>
    <row r="1550" spans="2:24" ht="13.8" thickTop="1" x14ac:dyDescent="0.25">
      <c r="B1550" s="34" t="s">
        <v>37</v>
      </c>
      <c r="C1550" s="34"/>
      <c r="D1550" s="34"/>
      <c r="H1550" s="150" t="s">
        <v>40</v>
      </c>
      <c r="I1550" s="151"/>
      <c r="J1550" s="151"/>
      <c r="K1550" s="151"/>
      <c r="L1550" s="151"/>
      <c r="M1550" s="151"/>
      <c r="N1550" s="151"/>
      <c r="O1550" s="151"/>
      <c r="P1550" s="151"/>
      <c r="Q1550" s="151"/>
      <c r="R1550" s="151"/>
      <c r="S1550" s="151"/>
      <c r="T1550" s="151"/>
      <c r="U1550" s="151"/>
      <c r="V1550" s="151"/>
    </row>
    <row r="1551" spans="2:24" x14ac:dyDescent="0.25">
      <c r="B1551" s="34" t="s">
        <v>38</v>
      </c>
      <c r="C1551" s="34"/>
      <c r="D1551" s="34"/>
      <c r="H1551" s="152"/>
      <c r="I1551" s="153"/>
      <c r="J1551" s="153"/>
      <c r="K1551" s="153"/>
      <c r="L1551" s="153"/>
      <c r="M1551" s="153"/>
      <c r="N1551" s="153"/>
      <c r="O1551" s="153"/>
      <c r="P1551" s="153"/>
      <c r="Q1551" s="153"/>
      <c r="R1551" s="153"/>
      <c r="S1551" s="153"/>
      <c r="T1551" s="153"/>
      <c r="U1551" s="153"/>
      <c r="V1551" s="153"/>
    </row>
    <row r="1552" spans="2:24" ht="12.75" customHeight="1" x14ac:dyDescent="0.25">
      <c r="B1552" s="163" t="s">
        <v>39</v>
      </c>
      <c r="C1552" s="163"/>
      <c r="D1552" s="163"/>
      <c r="E1552" s="163"/>
      <c r="F1552" s="163"/>
      <c r="H1552" s="37" t="s">
        <v>41</v>
      </c>
    </row>
    <row r="1553" spans="2:24" ht="13.8" x14ac:dyDescent="0.25">
      <c r="B1553" s="163"/>
      <c r="C1553" s="163"/>
      <c r="D1553" s="163"/>
      <c r="E1553" s="163"/>
      <c r="F1553" s="163"/>
      <c r="H1553" s="38" t="s">
        <v>42</v>
      </c>
    </row>
    <row r="1554" spans="2:24" x14ac:dyDescent="0.25">
      <c r="B1554" s="163"/>
      <c r="C1554" s="163"/>
      <c r="D1554" s="163"/>
      <c r="E1554" s="163"/>
      <c r="F1554" s="163"/>
      <c r="H1554" s="36"/>
    </row>
    <row r="1555" spans="2:24" x14ac:dyDescent="0.25">
      <c r="B1555" s="163"/>
      <c r="C1555" s="163"/>
      <c r="D1555" s="163"/>
      <c r="E1555" s="163"/>
      <c r="F1555" s="163"/>
      <c r="H1555" s="36"/>
    </row>
    <row r="1556" spans="2:24" x14ac:dyDescent="0.25">
      <c r="H1556" s="36"/>
    </row>
    <row r="1557" spans="2:24" x14ac:dyDescent="0.25">
      <c r="H1557" s="36"/>
    </row>
    <row r="1558" spans="2:24" x14ac:dyDescent="0.25">
      <c r="H1558" s="36"/>
    </row>
    <row r="1559" spans="2:24" x14ac:dyDescent="0.25">
      <c r="H1559" s="36"/>
    </row>
    <row r="1560" spans="2:24" ht="13.8" x14ac:dyDescent="0.25">
      <c r="H1560" s="157" t="str">
        <f>IF(F1500&lt;&gt;"",$H$78,"")</f>
        <v/>
      </c>
      <c r="I1560" s="158"/>
      <c r="J1560" s="158"/>
      <c r="K1560" s="158"/>
      <c r="L1560" s="158"/>
      <c r="M1560" s="158"/>
      <c r="N1560" s="158"/>
      <c r="O1560" s="158"/>
      <c r="P1560" s="158"/>
      <c r="Q1560" s="158"/>
      <c r="R1560" s="158"/>
      <c r="S1560" s="158"/>
      <c r="T1560" s="158"/>
      <c r="U1560" s="158"/>
      <c r="V1560" s="158"/>
    </row>
    <row r="1561" spans="2:24" x14ac:dyDescent="0.25">
      <c r="H1561" s="36"/>
    </row>
    <row r="1562" spans="2:24" ht="28.5" customHeight="1" x14ac:dyDescent="0.3">
      <c r="B1562" s="193" t="s">
        <v>43</v>
      </c>
      <c r="C1562" s="193"/>
      <c r="D1562" s="193"/>
      <c r="E1562" s="194"/>
      <c r="F1562" s="194"/>
      <c r="G1562" s="194"/>
      <c r="H1562" s="194"/>
      <c r="I1562" s="2"/>
      <c r="J1562" s="2"/>
      <c r="K1562" s="13" t="s">
        <v>25</v>
      </c>
      <c r="L1562" s="195" t="s">
        <v>14</v>
      </c>
      <c r="M1562" s="196"/>
      <c r="N1562" s="196"/>
      <c r="O1562" s="196"/>
      <c r="P1562" s="196"/>
      <c r="Q1562" s="196"/>
      <c r="R1562" s="196"/>
      <c r="S1562" s="196"/>
      <c r="T1562" s="196"/>
      <c r="U1562" s="196"/>
      <c r="V1562" s="197"/>
      <c r="X1562" s="1"/>
    </row>
    <row r="1563" spans="2:24" ht="26.25" customHeight="1" x14ac:dyDescent="0.4">
      <c r="B1563" s="39" t="s">
        <v>44</v>
      </c>
      <c r="C1563" s="39"/>
      <c r="D1563" s="39"/>
      <c r="E1563" s="2"/>
      <c r="F1563" s="2"/>
      <c r="G1563" s="2"/>
      <c r="H1563" s="2"/>
      <c r="I1563" s="2"/>
      <c r="J1563" s="2"/>
      <c r="K1563" s="29" t="s">
        <v>13</v>
      </c>
      <c r="L1563" s="15">
        <v>4</v>
      </c>
      <c r="M1563" s="16">
        <v>1</v>
      </c>
      <c r="N1563" s="15">
        <v>0</v>
      </c>
      <c r="O1563" s="198">
        <v>0</v>
      </c>
      <c r="P1563" s="199"/>
      <c r="Q1563" s="14">
        <v>0</v>
      </c>
      <c r="R1563" s="200">
        <v>1</v>
      </c>
      <c r="S1563" s="201"/>
      <c r="T1563" s="6"/>
      <c r="U1563" s="6"/>
      <c r="V1563" s="7"/>
      <c r="X1563" s="1"/>
    </row>
    <row r="1564" spans="2:24" ht="21" customHeight="1" x14ac:dyDescent="0.25">
      <c r="B1564" s="26" t="s">
        <v>45</v>
      </c>
      <c r="C1564" s="26"/>
      <c r="D1564" s="26"/>
      <c r="E1564" s="25"/>
      <c r="F1564" s="25"/>
      <c r="G1564" s="25"/>
      <c r="H1564" s="25"/>
      <c r="I1564" s="25"/>
      <c r="J1564" s="25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X1564" s="1"/>
    </row>
    <row r="1565" spans="2:24" ht="13.5" customHeight="1" x14ac:dyDescent="0.25">
      <c r="B1565" s="40" t="s">
        <v>24</v>
      </c>
      <c r="C1565" s="40"/>
      <c r="D1565" s="40"/>
      <c r="E1565" s="25"/>
      <c r="F1565" s="25"/>
      <c r="G1565" s="25"/>
      <c r="H1565" s="25"/>
      <c r="I1565" s="25"/>
      <c r="J1565" s="25"/>
      <c r="K1565" s="28" t="s">
        <v>6</v>
      </c>
      <c r="L1565" s="202" t="str">
        <f>IF(F1578&lt;&gt;"",$L$5,"")</f>
        <v/>
      </c>
      <c r="M1565" s="203"/>
      <c r="N1565" s="204" t="s">
        <v>15</v>
      </c>
      <c r="O1565" s="204"/>
      <c r="P1565" s="204"/>
      <c r="Q1565" s="205" t="str">
        <f>IF(F1578&lt;&gt;"",$Q$5,"")</f>
        <v/>
      </c>
      <c r="R1565" s="206"/>
      <c r="S1565" s="207" t="s">
        <v>16</v>
      </c>
      <c r="T1565" s="204"/>
      <c r="U1565" s="82" t="str">
        <f>IF(F1578&lt;&gt;"",$U$5,"")</f>
        <v/>
      </c>
      <c r="V1565" s="63"/>
      <c r="X1565" s="1"/>
    </row>
    <row r="1566" spans="2:24" ht="8.25" customHeight="1" x14ac:dyDescent="0.25"/>
    <row r="1567" spans="2:24" ht="11.25" customHeight="1" x14ac:dyDescent="0.25">
      <c r="B1567" s="24" t="s">
        <v>17</v>
      </c>
      <c r="C1567" s="24"/>
      <c r="D1567" s="24"/>
    </row>
    <row r="1568" spans="2:24" ht="11.25" customHeight="1" x14ac:dyDescent="0.25">
      <c r="B1568" s="8" t="s">
        <v>18</v>
      </c>
      <c r="C1568" s="8"/>
      <c r="D1568" s="8"/>
    </row>
    <row r="1569" spans="2:24" ht="5.25" customHeight="1" x14ac:dyDescent="0.25">
      <c r="B1569" s="8"/>
      <c r="C1569" s="8"/>
      <c r="D1569" s="8"/>
    </row>
    <row r="1570" spans="2:24" x14ac:dyDescent="0.25">
      <c r="B1570" s="179" t="s">
        <v>19</v>
      </c>
      <c r="C1570" s="179"/>
      <c r="D1570" s="179"/>
      <c r="E1570" s="179"/>
      <c r="F1570" s="179"/>
      <c r="G1570" s="18" t="s">
        <v>6</v>
      </c>
      <c r="H1570" s="64" t="str">
        <f>IF(F1578&lt;&gt;"",$H$10,"")</f>
        <v/>
      </c>
      <c r="I1570" s="9" t="s">
        <v>15</v>
      </c>
      <c r="J1570" s="83" t="str">
        <f>IF(F1578&lt;&gt;"",$J$10,"")</f>
        <v/>
      </c>
      <c r="K1570" s="9" t="s">
        <v>16</v>
      </c>
      <c r="L1570" s="180" t="str">
        <f>IF(F1578&lt;&gt;"",$L$10,"")</f>
        <v/>
      </c>
      <c r="M1570" s="181"/>
      <c r="X1570" s="32"/>
    </row>
    <row r="1571" spans="2:24" ht="5.25" customHeight="1" x14ac:dyDescent="0.25">
      <c r="B1571" s="8"/>
      <c r="C1571" s="8"/>
      <c r="D1571" s="8"/>
      <c r="E1571" s="8"/>
      <c r="F1571" s="8"/>
      <c r="G1571" s="19"/>
      <c r="H1571" s="20"/>
      <c r="I1571" s="21"/>
      <c r="J1571" s="20"/>
      <c r="K1571" s="10"/>
      <c r="L1571" s="22"/>
      <c r="X1571" s="32"/>
    </row>
    <row r="1572" spans="2:24" s="73" customFormat="1" ht="14.4" customHeight="1" x14ac:dyDescent="0.25">
      <c r="B1572" s="72" t="s">
        <v>20</v>
      </c>
      <c r="C1572" s="72"/>
      <c r="D1572" s="72"/>
      <c r="X1572" s="74"/>
    </row>
    <row r="1573" spans="2:24" s="73" customFormat="1" ht="14.4" customHeight="1" x14ac:dyDescent="0.25">
      <c r="B1573" s="75" t="s">
        <v>21</v>
      </c>
      <c r="C1573" s="10"/>
      <c r="D1573" s="10"/>
      <c r="E1573" s="22" t="s">
        <v>22</v>
      </c>
      <c r="X1573" s="74"/>
    </row>
    <row r="1574" spans="2:24" s="73" customFormat="1" ht="14.4" customHeight="1" x14ac:dyDescent="0.25">
      <c r="B1574" s="22"/>
      <c r="C1574" s="22"/>
      <c r="D1574" s="22"/>
      <c r="E1574" s="22" t="s">
        <v>23</v>
      </c>
      <c r="X1574" s="164" t="s">
        <v>102</v>
      </c>
    </row>
    <row r="1575" spans="2:24" ht="7.5" customHeight="1" x14ac:dyDescent="0.25">
      <c r="B1575" s="8"/>
      <c r="C1575" s="8"/>
      <c r="D1575" s="8"/>
      <c r="X1575" s="164"/>
    </row>
    <row r="1576" spans="2:24" ht="17.25" customHeight="1" x14ac:dyDescent="0.25">
      <c r="B1576" s="182"/>
      <c r="C1576" s="59"/>
      <c r="D1576" s="60"/>
      <c r="E1576" s="184" t="s">
        <v>0</v>
      </c>
      <c r="F1576" s="186" t="s">
        <v>1</v>
      </c>
      <c r="G1576" s="187"/>
      <c r="H1576" s="4"/>
      <c r="I1576" s="4"/>
      <c r="J1576" s="4"/>
      <c r="K1576" s="5"/>
      <c r="L1576" s="145" t="s">
        <v>3</v>
      </c>
      <c r="M1576" s="142"/>
      <c r="N1576" s="188" t="s">
        <v>10</v>
      </c>
      <c r="O1576" s="188"/>
      <c r="P1576" s="188"/>
      <c r="Q1576" s="188"/>
      <c r="R1576" s="188"/>
      <c r="S1576" s="188"/>
      <c r="T1576" s="188"/>
      <c r="U1576" s="189"/>
      <c r="V1576" s="3" t="s">
        <v>12</v>
      </c>
      <c r="X1576" s="68" t="s">
        <v>200</v>
      </c>
    </row>
    <row r="1577" spans="2:24" ht="17.25" customHeight="1" x14ac:dyDescent="0.25">
      <c r="B1577" s="183"/>
      <c r="C1577" s="61"/>
      <c r="D1577" s="62"/>
      <c r="E1577" s="185"/>
      <c r="F1577" s="30" t="s">
        <v>2</v>
      </c>
      <c r="G1577" s="17"/>
      <c r="H1577" s="6"/>
      <c r="I1577" s="6"/>
      <c r="J1577" s="6"/>
      <c r="K1577" s="7"/>
      <c r="L1577" s="190" t="s">
        <v>4</v>
      </c>
      <c r="M1577" s="191"/>
      <c r="N1577" s="192" t="s">
        <v>9</v>
      </c>
      <c r="O1577" s="192"/>
      <c r="P1577" s="192"/>
      <c r="Q1577" s="192"/>
      <c r="R1577" s="192"/>
      <c r="S1577" s="192"/>
      <c r="T1577" s="192"/>
      <c r="U1577" s="191"/>
      <c r="V1577" s="31" t="s">
        <v>11</v>
      </c>
      <c r="X1577" s="69"/>
    </row>
    <row r="1578" spans="2:24" ht="10.95" customHeight="1" x14ac:dyDescent="0.25">
      <c r="B1578" s="41"/>
      <c r="C1578" s="51"/>
      <c r="D1578" s="42"/>
      <c r="E1578" s="154">
        <v>201</v>
      </c>
      <c r="F1578" s="145" t="str">
        <f>_xlfn.IFNA(VLOOKUP(E1578,'Data Kyu'!$A$6:$I$471,3,0),"")</f>
        <v/>
      </c>
      <c r="G1578" s="142"/>
      <c r="H1578" s="66"/>
      <c r="I1578" s="66"/>
      <c r="J1578" s="66"/>
      <c r="K1578" s="66"/>
      <c r="L1578" s="145" t="str">
        <f>_xlfn.IFNA(VLOOKUP(E1578,'Data Kyu'!$A$6:$I$471,9,0),"")</f>
        <v/>
      </c>
      <c r="M1578" s="142"/>
      <c r="N1578" s="145" t="str">
        <f>_xlfn.IFNA(VLOOKUP(E1578,'Data Kyu'!$A$6:$I$471,6,0),"")</f>
        <v/>
      </c>
      <c r="O1578" s="141"/>
      <c r="P1578" s="139" t="s">
        <v>5</v>
      </c>
      <c r="Q1578" s="141" t="str">
        <f>_xlfn.IFNA(VLOOKUP(E1578,'Data Kyu'!$A$6:$I$471,7,0),"")</f>
        <v/>
      </c>
      <c r="R1578" s="141"/>
      <c r="S1578" s="139" t="s">
        <v>5</v>
      </c>
      <c r="T1578" s="141" t="str">
        <f>_xlfn.IFNA(VLOOKUP(E1578,'Data Kyu'!$A$6:$I$471,8,0),"")</f>
        <v/>
      </c>
      <c r="U1578" s="142"/>
      <c r="V1578" s="142" t="str">
        <f>_xlfn.IFNA(VLOOKUP(E1578,'Data Kyu'!$A$6:$I$471,4,0),"")</f>
        <v/>
      </c>
      <c r="X1578" s="214" t="str">
        <f>_xlfn.IFNA(VLOOKUP(F1578,'Data Kyu'!$C$6:$N$997,12,0),"No Data")</f>
        <v>No Data</v>
      </c>
    </row>
    <row r="1579" spans="2:24" ht="10.95" customHeight="1" x14ac:dyDescent="0.25">
      <c r="B1579" s="52"/>
      <c r="C1579" s="165" t="str">
        <f>IF(X1578="LULUS","V","")</f>
        <v/>
      </c>
      <c r="D1579" s="53"/>
      <c r="E1579" s="155"/>
      <c r="F1579" s="148"/>
      <c r="G1579" s="144"/>
      <c r="H1579" s="67"/>
      <c r="I1579" s="67"/>
      <c r="J1579" s="67"/>
      <c r="K1579" s="67"/>
      <c r="L1579" s="146"/>
      <c r="M1579" s="147"/>
      <c r="N1579" s="148"/>
      <c r="O1579" s="143"/>
      <c r="P1579" s="140"/>
      <c r="Q1579" s="143"/>
      <c r="R1579" s="143"/>
      <c r="S1579" s="140"/>
      <c r="T1579" s="143"/>
      <c r="U1579" s="144"/>
      <c r="V1579" s="147"/>
      <c r="X1579" s="214"/>
    </row>
    <row r="1580" spans="2:24" ht="10.95" customHeight="1" x14ac:dyDescent="0.25">
      <c r="B1580" s="52"/>
      <c r="C1580" s="166"/>
      <c r="D1580" s="53"/>
      <c r="E1580" s="155"/>
      <c r="F1580" s="167" t="str">
        <f>_xlfn.IFNA(VLOOKUP(E1578,'Data Kyu'!$A$6:$I$471,2,0),"")</f>
        <v/>
      </c>
      <c r="G1580" s="168"/>
      <c r="H1580" s="168"/>
      <c r="I1580" s="168"/>
      <c r="J1580" s="168"/>
      <c r="K1580" s="169"/>
      <c r="L1580" s="146"/>
      <c r="M1580" s="147"/>
      <c r="N1580" s="173" t="s">
        <v>6</v>
      </c>
      <c r="O1580" s="159"/>
      <c r="P1580" s="57"/>
      <c r="Q1580" s="159" t="s">
        <v>7</v>
      </c>
      <c r="R1580" s="159"/>
      <c r="S1580" s="57"/>
      <c r="T1580" s="159" t="s">
        <v>8</v>
      </c>
      <c r="U1580" s="160"/>
      <c r="V1580" s="175"/>
      <c r="X1580" s="214"/>
    </row>
    <row r="1581" spans="2:24" ht="10.95" customHeight="1" x14ac:dyDescent="0.25">
      <c r="B1581" s="54"/>
      <c r="C1581" s="76"/>
      <c r="D1581" s="56"/>
      <c r="E1581" s="156"/>
      <c r="F1581" s="170"/>
      <c r="G1581" s="171"/>
      <c r="H1581" s="171"/>
      <c r="I1581" s="171"/>
      <c r="J1581" s="171"/>
      <c r="K1581" s="172"/>
      <c r="L1581" s="148"/>
      <c r="M1581" s="144"/>
      <c r="N1581" s="174"/>
      <c r="O1581" s="161"/>
      <c r="P1581" s="27"/>
      <c r="Q1581" s="161"/>
      <c r="R1581" s="161"/>
      <c r="S1581" s="27"/>
      <c r="T1581" s="161"/>
      <c r="U1581" s="162"/>
      <c r="V1581" s="176"/>
      <c r="X1581" s="214"/>
    </row>
    <row r="1582" spans="2:24" ht="10.95" customHeight="1" x14ac:dyDescent="0.25">
      <c r="B1582" s="41"/>
      <c r="C1582" s="77"/>
      <c r="D1582" s="42"/>
      <c r="E1582" s="154">
        <f>E1578+1</f>
        <v>202</v>
      </c>
      <c r="F1582" s="145" t="str">
        <f>_xlfn.IFNA(VLOOKUP(E1582,'Data Kyu'!$A$6:$I$471,3,0),"")</f>
        <v/>
      </c>
      <c r="G1582" s="142"/>
      <c r="H1582" s="66"/>
      <c r="I1582" s="66"/>
      <c r="J1582" s="66"/>
      <c r="K1582" s="66"/>
      <c r="L1582" s="145" t="str">
        <f>_xlfn.IFNA(VLOOKUP(E1582,'Data Kyu'!$A$6:$I$471,9,0),"")</f>
        <v/>
      </c>
      <c r="M1582" s="142"/>
      <c r="N1582" s="145" t="str">
        <f>_xlfn.IFNA(VLOOKUP(E1582,'Data Kyu'!$A$6:$I$471,6,0),"")</f>
        <v/>
      </c>
      <c r="O1582" s="141"/>
      <c r="P1582" s="139" t="s">
        <v>5</v>
      </c>
      <c r="Q1582" s="141" t="str">
        <f>_xlfn.IFNA(VLOOKUP(E1582,'Data Kyu'!$A$6:$I$471,7,0),"")</f>
        <v/>
      </c>
      <c r="R1582" s="141"/>
      <c r="S1582" s="139" t="s">
        <v>5</v>
      </c>
      <c r="T1582" s="141" t="str">
        <f>_xlfn.IFNA(VLOOKUP(E1582,'Data Kyu'!$A$6:$I$471,8,0),"")</f>
        <v/>
      </c>
      <c r="U1582" s="142"/>
      <c r="V1582" s="142" t="str">
        <f>_xlfn.IFNA(VLOOKUP(E1582,'Data Kyu'!$A$6:$I$471,4,0),"")</f>
        <v/>
      </c>
      <c r="X1582" s="214" t="str">
        <f>_xlfn.IFNA(VLOOKUP(F1582,'Data Kyu'!$C$6:$N$997,12,0),"No Data")</f>
        <v>No Data</v>
      </c>
    </row>
    <row r="1583" spans="2:24" ht="10.95" customHeight="1" x14ac:dyDescent="0.25">
      <c r="B1583" s="52"/>
      <c r="C1583" s="165" t="str">
        <f>IF(X1582="LULUS","V","")</f>
        <v/>
      </c>
      <c r="D1583" s="53"/>
      <c r="E1583" s="155"/>
      <c r="F1583" s="148"/>
      <c r="G1583" s="144"/>
      <c r="H1583" s="67"/>
      <c r="I1583" s="67"/>
      <c r="J1583" s="67"/>
      <c r="K1583" s="67"/>
      <c r="L1583" s="146"/>
      <c r="M1583" s="147"/>
      <c r="N1583" s="148"/>
      <c r="O1583" s="143"/>
      <c r="P1583" s="140"/>
      <c r="Q1583" s="143"/>
      <c r="R1583" s="143"/>
      <c r="S1583" s="140"/>
      <c r="T1583" s="143"/>
      <c r="U1583" s="144"/>
      <c r="V1583" s="147"/>
      <c r="X1583" s="214"/>
    </row>
    <row r="1584" spans="2:24" ht="10.95" customHeight="1" x14ac:dyDescent="0.25">
      <c r="B1584" s="52"/>
      <c r="C1584" s="166"/>
      <c r="D1584" s="53"/>
      <c r="E1584" s="155"/>
      <c r="F1584" s="167" t="str">
        <f>_xlfn.IFNA(VLOOKUP(E1582,'Data Kyu'!$A$6:$I$471,2,0),"")</f>
        <v/>
      </c>
      <c r="G1584" s="168"/>
      <c r="H1584" s="168"/>
      <c r="I1584" s="168"/>
      <c r="J1584" s="168"/>
      <c r="K1584" s="169"/>
      <c r="L1584" s="146"/>
      <c r="M1584" s="147"/>
      <c r="N1584" s="173" t="s">
        <v>6</v>
      </c>
      <c r="O1584" s="159"/>
      <c r="P1584" s="57"/>
      <c r="Q1584" s="159" t="s">
        <v>7</v>
      </c>
      <c r="R1584" s="159"/>
      <c r="S1584" s="57"/>
      <c r="T1584" s="159" t="s">
        <v>8</v>
      </c>
      <c r="U1584" s="160"/>
      <c r="V1584" s="175"/>
      <c r="X1584" s="214"/>
    </row>
    <row r="1585" spans="2:24" ht="10.95" customHeight="1" x14ac:dyDescent="0.25">
      <c r="B1585" s="54"/>
      <c r="C1585" s="76"/>
      <c r="D1585" s="56"/>
      <c r="E1585" s="156"/>
      <c r="F1585" s="170"/>
      <c r="G1585" s="171"/>
      <c r="H1585" s="171"/>
      <c r="I1585" s="171"/>
      <c r="J1585" s="171"/>
      <c r="K1585" s="172"/>
      <c r="L1585" s="148"/>
      <c r="M1585" s="144"/>
      <c r="N1585" s="174"/>
      <c r="O1585" s="161"/>
      <c r="P1585" s="27"/>
      <c r="Q1585" s="161"/>
      <c r="R1585" s="161"/>
      <c r="S1585" s="27"/>
      <c r="T1585" s="161"/>
      <c r="U1585" s="162"/>
      <c r="V1585" s="176"/>
      <c r="X1585" s="214"/>
    </row>
    <row r="1586" spans="2:24" ht="10.95" customHeight="1" x14ac:dyDescent="0.25">
      <c r="B1586" s="41"/>
      <c r="C1586" s="77"/>
      <c r="D1586" s="42"/>
      <c r="E1586" s="154">
        <f t="shared" ref="E1586" si="80">E1582+1</f>
        <v>203</v>
      </c>
      <c r="F1586" s="145" t="str">
        <f>_xlfn.IFNA(VLOOKUP(E1586,'Data Kyu'!$A$6:$I$471,3,0),"")</f>
        <v/>
      </c>
      <c r="G1586" s="142"/>
      <c r="H1586" s="66"/>
      <c r="I1586" s="66"/>
      <c r="J1586" s="66"/>
      <c r="K1586" s="66"/>
      <c r="L1586" s="145" t="str">
        <f>_xlfn.IFNA(VLOOKUP(E1586,'Data Kyu'!$A$6:$I$471,9,0),"")</f>
        <v/>
      </c>
      <c r="M1586" s="142"/>
      <c r="N1586" s="145" t="str">
        <f>_xlfn.IFNA(VLOOKUP(E1586,'Data Kyu'!$A$6:$I$471,6,0),"")</f>
        <v/>
      </c>
      <c r="O1586" s="141"/>
      <c r="P1586" s="139" t="s">
        <v>5</v>
      </c>
      <c r="Q1586" s="141" t="str">
        <f>_xlfn.IFNA(VLOOKUP(E1586,'Data Kyu'!$A$6:$I$471,7,0),"")</f>
        <v/>
      </c>
      <c r="R1586" s="141"/>
      <c r="S1586" s="139" t="s">
        <v>5</v>
      </c>
      <c r="T1586" s="141" t="str">
        <f>_xlfn.IFNA(VLOOKUP(E1586,'Data Kyu'!$A$6:$I$471,8,0),"")</f>
        <v/>
      </c>
      <c r="U1586" s="142"/>
      <c r="V1586" s="142" t="str">
        <f>_xlfn.IFNA(VLOOKUP(E1586,'Data Kyu'!$A$6:$I$471,4,0),"")</f>
        <v/>
      </c>
      <c r="X1586" s="214" t="str">
        <f>_xlfn.IFNA(VLOOKUP(F1586,'Data Kyu'!$C$6:$N$997,12,0),"No Data")</f>
        <v>No Data</v>
      </c>
    </row>
    <row r="1587" spans="2:24" ht="10.95" customHeight="1" x14ac:dyDescent="0.25">
      <c r="B1587" s="52"/>
      <c r="C1587" s="165" t="str">
        <f>IF(X1586="LULUS","V","")</f>
        <v/>
      </c>
      <c r="D1587" s="53"/>
      <c r="E1587" s="155"/>
      <c r="F1587" s="148"/>
      <c r="G1587" s="144"/>
      <c r="H1587" s="67"/>
      <c r="I1587" s="67"/>
      <c r="J1587" s="67"/>
      <c r="K1587" s="67"/>
      <c r="L1587" s="146"/>
      <c r="M1587" s="147"/>
      <c r="N1587" s="148"/>
      <c r="O1587" s="143"/>
      <c r="P1587" s="140"/>
      <c r="Q1587" s="143"/>
      <c r="R1587" s="143"/>
      <c r="S1587" s="140"/>
      <c r="T1587" s="143"/>
      <c r="U1587" s="144"/>
      <c r="V1587" s="147"/>
      <c r="X1587" s="214"/>
    </row>
    <row r="1588" spans="2:24" ht="10.95" customHeight="1" x14ac:dyDescent="0.25">
      <c r="B1588" s="52"/>
      <c r="C1588" s="166"/>
      <c r="D1588" s="53"/>
      <c r="E1588" s="155"/>
      <c r="F1588" s="167" t="str">
        <f>_xlfn.IFNA(VLOOKUP(E1586,'Data Kyu'!$A$6:$I$471,2,0),"")</f>
        <v/>
      </c>
      <c r="G1588" s="168"/>
      <c r="H1588" s="168"/>
      <c r="I1588" s="168"/>
      <c r="J1588" s="168"/>
      <c r="K1588" s="169"/>
      <c r="L1588" s="146"/>
      <c r="M1588" s="147"/>
      <c r="N1588" s="173" t="s">
        <v>6</v>
      </c>
      <c r="O1588" s="159"/>
      <c r="P1588" s="57"/>
      <c r="Q1588" s="159" t="s">
        <v>7</v>
      </c>
      <c r="R1588" s="159"/>
      <c r="S1588" s="57"/>
      <c r="T1588" s="159" t="s">
        <v>8</v>
      </c>
      <c r="U1588" s="160"/>
      <c r="V1588" s="175"/>
      <c r="X1588" s="214"/>
    </row>
    <row r="1589" spans="2:24" ht="10.95" customHeight="1" x14ac:dyDescent="0.25">
      <c r="B1589" s="54"/>
      <c r="C1589" s="76"/>
      <c r="D1589" s="56"/>
      <c r="E1589" s="156"/>
      <c r="F1589" s="170"/>
      <c r="G1589" s="171"/>
      <c r="H1589" s="171"/>
      <c r="I1589" s="171"/>
      <c r="J1589" s="171"/>
      <c r="K1589" s="172"/>
      <c r="L1589" s="148"/>
      <c r="M1589" s="144"/>
      <c r="N1589" s="174"/>
      <c r="O1589" s="161"/>
      <c r="P1589" s="27"/>
      <c r="Q1589" s="161"/>
      <c r="R1589" s="161"/>
      <c r="S1589" s="27"/>
      <c r="T1589" s="161"/>
      <c r="U1589" s="162"/>
      <c r="V1589" s="176"/>
      <c r="X1589" s="214"/>
    </row>
    <row r="1590" spans="2:24" ht="10.95" customHeight="1" x14ac:dyDescent="0.25">
      <c r="B1590" s="41"/>
      <c r="C1590" s="77"/>
      <c r="D1590" s="42"/>
      <c r="E1590" s="154">
        <f t="shared" ref="E1590" si="81">E1586+1</f>
        <v>204</v>
      </c>
      <c r="F1590" s="145" t="str">
        <f>_xlfn.IFNA(VLOOKUP(E1590,'Data Kyu'!$A$6:$I$471,3,0),"")</f>
        <v/>
      </c>
      <c r="G1590" s="142"/>
      <c r="H1590" s="66"/>
      <c r="I1590" s="66"/>
      <c r="J1590" s="66"/>
      <c r="K1590" s="66"/>
      <c r="L1590" s="145" t="str">
        <f>_xlfn.IFNA(VLOOKUP(E1590,'Data Kyu'!$A$6:$I$471,9,0),"")</f>
        <v/>
      </c>
      <c r="M1590" s="142"/>
      <c r="N1590" s="145" t="str">
        <f>_xlfn.IFNA(VLOOKUP(E1590,'Data Kyu'!$A$6:$I$471,6,0),"")</f>
        <v/>
      </c>
      <c r="O1590" s="141"/>
      <c r="P1590" s="139" t="s">
        <v>5</v>
      </c>
      <c r="Q1590" s="141" t="str">
        <f>_xlfn.IFNA(VLOOKUP(E1590,'Data Kyu'!$A$6:$I$471,7,0),"")</f>
        <v/>
      </c>
      <c r="R1590" s="141"/>
      <c r="S1590" s="139" t="s">
        <v>5</v>
      </c>
      <c r="T1590" s="141" t="str">
        <f>_xlfn.IFNA(VLOOKUP(E1590,'Data Kyu'!$A$6:$I$471,8,0),"")</f>
        <v/>
      </c>
      <c r="U1590" s="142"/>
      <c r="V1590" s="142" t="str">
        <f>_xlfn.IFNA(VLOOKUP(E1590,'Data Kyu'!$A$6:$I$471,4,0),"")</f>
        <v/>
      </c>
      <c r="X1590" s="214" t="str">
        <f>_xlfn.IFNA(VLOOKUP(F1590,'Data Kyu'!$C$6:$N$997,12,0),"No Data")</f>
        <v>No Data</v>
      </c>
    </row>
    <row r="1591" spans="2:24" ht="10.95" customHeight="1" x14ac:dyDescent="0.25">
      <c r="B1591" s="52"/>
      <c r="C1591" s="165" t="str">
        <f>IF(X1590="LULUS","V","")</f>
        <v/>
      </c>
      <c r="D1591" s="53"/>
      <c r="E1591" s="155"/>
      <c r="F1591" s="148"/>
      <c r="G1591" s="144"/>
      <c r="H1591" s="67"/>
      <c r="I1591" s="67"/>
      <c r="J1591" s="67"/>
      <c r="K1591" s="67"/>
      <c r="L1591" s="146"/>
      <c r="M1591" s="147"/>
      <c r="N1591" s="148"/>
      <c r="O1591" s="143"/>
      <c r="P1591" s="140"/>
      <c r="Q1591" s="143"/>
      <c r="R1591" s="143"/>
      <c r="S1591" s="140"/>
      <c r="T1591" s="143"/>
      <c r="U1591" s="144"/>
      <c r="V1591" s="147"/>
      <c r="X1591" s="214"/>
    </row>
    <row r="1592" spans="2:24" ht="10.95" customHeight="1" x14ac:dyDescent="0.25">
      <c r="B1592" s="52"/>
      <c r="C1592" s="166"/>
      <c r="D1592" s="53"/>
      <c r="E1592" s="155"/>
      <c r="F1592" s="167" t="str">
        <f>_xlfn.IFNA(VLOOKUP(E1590,'Data Kyu'!$A$6:$I$471,2,0),"")</f>
        <v/>
      </c>
      <c r="G1592" s="168"/>
      <c r="H1592" s="168"/>
      <c r="I1592" s="168"/>
      <c r="J1592" s="168"/>
      <c r="K1592" s="169"/>
      <c r="L1592" s="146"/>
      <c r="M1592" s="147"/>
      <c r="N1592" s="173" t="s">
        <v>6</v>
      </c>
      <c r="O1592" s="159"/>
      <c r="P1592" s="57"/>
      <c r="Q1592" s="159" t="s">
        <v>7</v>
      </c>
      <c r="R1592" s="159"/>
      <c r="S1592" s="57"/>
      <c r="T1592" s="159" t="s">
        <v>8</v>
      </c>
      <c r="U1592" s="160"/>
      <c r="V1592" s="175"/>
      <c r="X1592" s="214"/>
    </row>
    <row r="1593" spans="2:24" ht="10.95" customHeight="1" x14ac:dyDescent="0.25">
      <c r="B1593" s="54"/>
      <c r="C1593" s="76"/>
      <c r="D1593" s="56"/>
      <c r="E1593" s="156"/>
      <c r="F1593" s="170"/>
      <c r="G1593" s="171"/>
      <c r="H1593" s="171"/>
      <c r="I1593" s="171"/>
      <c r="J1593" s="171"/>
      <c r="K1593" s="172"/>
      <c r="L1593" s="148"/>
      <c r="M1593" s="144"/>
      <c r="N1593" s="174"/>
      <c r="O1593" s="161"/>
      <c r="P1593" s="27"/>
      <c r="Q1593" s="161"/>
      <c r="R1593" s="161"/>
      <c r="S1593" s="27"/>
      <c r="T1593" s="161"/>
      <c r="U1593" s="162"/>
      <c r="V1593" s="176"/>
      <c r="X1593" s="214"/>
    </row>
    <row r="1594" spans="2:24" ht="10.95" customHeight="1" x14ac:dyDescent="0.25">
      <c r="B1594" s="41"/>
      <c r="C1594" s="77"/>
      <c r="D1594" s="42"/>
      <c r="E1594" s="154">
        <f t="shared" ref="E1594" si="82">E1590+1</f>
        <v>205</v>
      </c>
      <c r="F1594" s="145" t="str">
        <f>_xlfn.IFNA(VLOOKUP(E1594,'Data Kyu'!$A$6:$I$471,3,0),"")</f>
        <v/>
      </c>
      <c r="G1594" s="142"/>
      <c r="H1594" s="66"/>
      <c r="I1594" s="66"/>
      <c r="J1594" s="66"/>
      <c r="K1594" s="66"/>
      <c r="L1594" s="145" t="str">
        <f>_xlfn.IFNA(VLOOKUP(E1594,'Data Kyu'!$A$6:$I$471,9,0),"")</f>
        <v/>
      </c>
      <c r="M1594" s="142"/>
      <c r="N1594" s="145" t="str">
        <f>_xlfn.IFNA(VLOOKUP(E1594,'Data Kyu'!$A$6:$I$471,6,0),"")</f>
        <v/>
      </c>
      <c r="O1594" s="141"/>
      <c r="P1594" s="139" t="s">
        <v>5</v>
      </c>
      <c r="Q1594" s="141" t="str">
        <f>_xlfn.IFNA(VLOOKUP(E1594,'Data Kyu'!$A$6:$I$471,7,0),"")</f>
        <v/>
      </c>
      <c r="R1594" s="141"/>
      <c r="S1594" s="139" t="s">
        <v>5</v>
      </c>
      <c r="T1594" s="141" t="str">
        <f>_xlfn.IFNA(VLOOKUP(E1594,'Data Kyu'!$A$6:$I$471,8,0),"")</f>
        <v/>
      </c>
      <c r="U1594" s="142"/>
      <c r="V1594" s="142" t="str">
        <f>_xlfn.IFNA(VLOOKUP(E1594,'Data Kyu'!$A$6:$I$471,4,0),"")</f>
        <v/>
      </c>
      <c r="X1594" s="214" t="str">
        <f>_xlfn.IFNA(VLOOKUP(F1594,'Data Kyu'!$C$6:$N$997,12,0),"No Data")</f>
        <v>No Data</v>
      </c>
    </row>
    <row r="1595" spans="2:24" ht="10.95" customHeight="1" x14ac:dyDescent="0.25">
      <c r="B1595" s="52"/>
      <c r="C1595" s="165" t="str">
        <f>IF(X1594="LULUS","V","")</f>
        <v/>
      </c>
      <c r="D1595" s="53"/>
      <c r="E1595" s="155"/>
      <c r="F1595" s="148"/>
      <c r="G1595" s="144"/>
      <c r="H1595" s="67"/>
      <c r="I1595" s="67"/>
      <c r="J1595" s="67"/>
      <c r="K1595" s="67"/>
      <c r="L1595" s="146"/>
      <c r="M1595" s="147"/>
      <c r="N1595" s="148"/>
      <c r="O1595" s="143"/>
      <c r="P1595" s="140"/>
      <c r="Q1595" s="143"/>
      <c r="R1595" s="143"/>
      <c r="S1595" s="140"/>
      <c r="T1595" s="143"/>
      <c r="U1595" s="144"/>
      <c r="V1595" s="147"/>
      <c r="X1595" s="214"/>
    </row>
    <row r="1596" spans="2:24" ht="10.95" customHeight="1" x14ac:dyDescent="0.25">
      <c r="B1596" s="52"/>
      <c r="C1596" s="166"/>
      <c r="D1596" s="53"/>
      <c r="E1596" s="155"/>
      <c r="F1596" s="167" t="str">
        <f>_xlfn.IFNA(VLOOKUP(E1594,'Data Kyu'!$A$6:$I$471,2,0),"")</f>
        <v/>
      </c>
      <c r="G1596" s="168"/>
      <c r="H1596" s="168"/>
      <c r="I1596" s="168"/>
      <c r="J1596" s="168"/>
      <c r="K1596" s="169"/>
      <c r="L1596" s="146"/>
      <c r="M1596" s="147"/>
      <c r="N1596" s="173" t="s">
        <v>6</v>
      </c>
      <c r="O1596" s="159"/>
      <c r="P1596" s="57"/>
      <c r="Q1596" s="159" t="s">
        <v>7</v>
      </c>
      <c r="R1596" s="159"/>
      <c r="S1596" s="57"/>
      <c r="T1596" s="159" t="s">
        <v>8</v>
      </c>
      <c r="U1596" s="160"/>
      <c r="V1596" s="175"/>
      <c r="X1596" s="214"/>
    </row>
    <row r="1597" spans="2:24" ht="10.95" customHeight="1" x14ac:dyDescent="0.25">
      <c r="B1597" s="54"/>
      <c r="C1597" s="76"/>
      <c r="D1597" s="56"/>
      <c r="E1597" s="156"/>
      <c r="F1597" s="170"/>
      <c r="G1597" s="171"/>
      <c r="H1597" s="171"/>
      <c r="I1597" s="171"/>
      <c r="J1597" s="171"/>
      <c r="K1597" s="172"/>
      <c r="L1597" s="148"/>
      <c r="M1597" s="144"/>
      <c r="N1597" s="174"/>
      <c r="O1597" s="161"/>
      <c r="P1597" s="27"/>
      <c r="Q1597" s="161"/>
      <c r="R1597" s="161"/>
      <c r="S1597" s="27"/>
      <c r="T1597" s="161"/>
      <c r="U1597" s="162"/>
      <c r="V1597" s="176"/>
      <c r="X1597" s="214"/>
    </row>
    <row r="1598" spans="2:24" ht="10.95" customHeight="1" x14ac:dyDescent="0.25">
      <c r="B1598" s="41"/>
      <c r="C1598" s="77"/>
      <c r="D1598" s="42"/>
      <c r="E1598" s="154">
        <f t="shared" ref="E1598" si="83">E1594+1</f>
        <v>206</v>
      </c>
      <c r="F1598" s="145" t="str">
        <f>_xlfn.IFNA(VLOOKUP(E1598,'Data Kyu'!$A$6:$I$471,3,0),"")</f>
        <v/>
      </c>
      <c r="G1598" s="142"/>
      <c r="H1598" s="66"/>
      <c r="I1598" s="66"/>
      <c r="J1598" s="66"/>
      <c r="K1598" s="66"/>
      <c r="L1598" s="145" t="str">
        <f>_xlfn.IFNA(VLOOKUP(E1598,'Data Kyu'!$A$6:$I$471,9,0),"")</f>
        <v/>
      </c>
      <c r="M1598" s="142"/>
      <c r="N1598" s="145" t="str">
        <f>_xlfn.IFNA(VLOOKUP(E1598,'Data Kyu'!$A$6:$I$471,6,0),"")</f>
        <v/>
      </c>
      <c r="O1598" s="141"/>
      <c r="P1598" s="139" t="s">
        <v>5</v>
      </c>
      <c r="Q1598" s="141" t="str">
        <f>_xlfn.IFNA(VLOOKUP(E1598,'Data Kyu'!$A$6:$I$471,7,0),"")</f>
        <v/>
      </c>
      <c r="R1598" s="141"/>
      <c r="S1598" s="139" t="s">
        <v>5</v>
      </c>
      <c r="T1598" s="141" t="str">
        <f>_xlfn.IFNA(VLOOKUP(E1598,'Data Kyu'!$A$6:$I$471,8,0),"")</f>
        <v/>
      </c>
      <c r="U1598" s="142"/>
      <c r="V1598" s="142" t="str">
        <f>_xlfn.IFNA(VLOOKUP(E1598,'Data Kyu'!$A$6:$I$471,4,0),"")</f>
        <v/>
      </c>
      <c r="X1598" s="214" t="str">
        <f>_xlfn.IFNA(VLOOKUP(F1598,'Data Kyu'!$C$6:$N$997,12,0),"No Data")</f>
        <v>No Data</v>
      </c>
    </row>
    <row r="1599" spans="2:24" ht="10.95" customHeight="1" x14ac:dyDescent="0.25">
      <c r="B1599" s="52"/>
      <c r="C1599" s="165" t="str">
        <f>IF(X1598="LULUS","V","")</f>
        <v/>
      </c>
      <c r="D1599" s="53"/>
      <c r="E1599" s="155"/>
      <c r="F1599" s="148"/>
      <c r="G1599" s="144"/>
      <c r="H1599" s="67"/>
      <c r="I1599" s="67"/>
      <c r="J1599" s="67"/>
      <c r="K1599" s="67"/>
      <c r="L1599" s="146"/>
      <c r="M1599" s="147"/>
      <c r="N1599" s="148"/>
      <c r="O1599" s="143"/>
      <c r="P1599" s="140"/>
      <c r="Q1599" s="143"/>
      <c r="R1599" s="143"/>
      <c r="S1599" s="140"/>
      <c r="T1599" s="143"/>
      <c r="U1599" s="144"/>
      <c r="V1599" s="147"/>
      <c r="X1599" s="214"/>
    </row>
    <row r="1600" spans="2:24" ht="10.95" customHeight="1" x14ac:dyDescent="0.25">
      <c r="B1600" s="52"/>
      <c r="C1600" s="166"/>
      <c r="D1600" s="53"/>
      <c r="E1600" s="155"/>
      <c r="F1600" s="167" t="str">
        <f>_xlfn.IFNA(VLOOKUP(E1598,'Data Kyu'!$A$6:$I$471,2,0),"")</f>
        <v/>
      </c>
      <c r="G1600" s="168"/>
      <c r="H1600" s="168"/>
      <c r="I1600" s="168"/>
      <c r="J1600" s="168"/>
      <c r="K1600" s="169"/>
      <c r="L1600" s="146"/>
      <c r="M1600" s="147"/>
      <c r="N1600" s="173" t="s">
        <v>6</v>
      </c>
      <c r="O1600" s="159"/>
      <c r="P1600" s="57"/>
      <c r="Q1600" s="159" t="s">
        <v>7</v>
      </c>
      <c r="R1600" s="159"/>
      <c r="S1600" s="57"/>
      <c r="T1600" s="159" t="s">
        <v>8</v>
      </c>
      <c r="U1600" s="160"/>
      <c r="V1600" s="175"/>
      <c r="X1600" s="214"/>
    </row>
    <row r="1601" spans="2:24" ht="10.95" customHeight="1" x14ac:dyDescent="0.25">
      <c r="B1601" s="54"/>
      <c r="C1601" s="76"/>
      <c r="D1601" s="56"/>
      <c r="E1601" s="156"/>
      <c r="F1601" s="170"/>
      <c r="G1601" s="171"/>
      <c r="H1601" s="171"/>
      <c r="I1601" s="171"/>
      <c r="J1601" s="171"/>
      <c r="K1601" s="172"/>
      <c r="L1601" s="148"/>
      <c r="M1601" s="144"/>
      <c r="N1601" s="174"/>
      <c r="O1601" s="161"/>
      <c r="P1601" s="27"/>
      <c r="Q1601" s="161"/>
      <c r="R1601" s="161"/>
      <c r="S1601" s="27"/>
      <c r="T1601" s="161"/>
      <c r="U1601" s="162"/>
      <c r="V1601" s="176"/>
      <c r="X1601" s="214"/>
    </row>
    <row r="1602" spans="2:24" ht="10.95" customHeight="1" x14ac:dyDescent="0.25">
      <c r="B1602" s="41"/>
      <c r="C1602" s="77"/>
      <c r="D1602" s="42"/>
      <c r="E1602" s="154">
        <f t="shared" ref="E1602" si="84">E1598+1</f>
        <v>207</v>
      </c>
      <c r="F1602" s="145" t="str">
        <f>_xlfn.IFNA(VLOOKUP(E1602,'Data Kyu'!$A$6:$I$471,3,0),"")</f>
        <v/>
      </c>
      <c r="G1602" s="142"/>
      <c r="H1602" s="66"/>
      <c r="I1602" s="66"/>
      <c r="J1602" s="66"/>
      <c r="K1602" s="66"/>
      <c r="L1602" s="145" t="str">
        <f>_xlfn.IFNA(VLOOKUP(E1602,'Data Kyu'!$A$6:$I$471,9,0),"")</f>
        <v/>
      </c>
      <c r="M1602" s="142"/>
      <c r="N1602" s="145" t="str">
        <f>_xlfn.IFNA(VLOOKUP(E1602,'Data Kyu'!$A$6:$I$471,6,0),"")</f>
        <v/>
      </c>
      <c r="O1602" s="141"/>
      <c r="P1602" s="139" t="s">
        <v>5</v>
      </c>
      <c r="Q1602" s="141" t="str">
        <f>_xlfn.IFNA(VLOOKUP(E1602,'Data Kyu'!$A$6:$I$471,7,0),"")</f>
        <v/>
      </c>
      <c r="R1602" s="141"/>
      <c r="S1602" s="139" t="s">
        <v>5</v>
      </c>
      <c r="T1602" s="141" t="str">
        <f>_xlfn.IFNA(VLOOKUP(E1602,'Data Kyu'!$A$6:$I$471,8,0),"")</f>
        <v/>
      </c>
      <c r="U1602" s="142"/>
      <c r="V1602" s="142" t="str">
        <f>_xlfn.IFNA(VLOOKUP(E1602,'Data Kyu'!$A$6:$I$471,4,0),"")</f>
        <v/>
      </c>
      <c r="X1602" s="214" t="str">
        <f>_xlfn.IFNA(VLOOKUP(F1602,'Data Kyu'!$C$6:$N$997,12,0),"No Data")</f>
        <v>No Data</v>
      </c>
    </row>
    <row r="1603" spans="2:24" ht="10.95" customHeight="1" x14ac:dyDescent="0.25">
      <c r="B1603" s="52"/>
      <c r="C1603" s="165" t="str">
        <f>IF(X1602="LULUS","V","")</f>
        <v/>
      </c>
      <c r="D1603" s="53"/>
      <c r="E1603" s="155"/>
      <c r="F1603" s="148"/>
      <c r="G1603" s="144"/>
      <c r="H1603" s="67"/>
      <c r="I1603" s="67"/>
      <c r="J1603" s="67"/>
      <c r="K1603" s="67"/>
      <c r="L1603" s="146"/>
      <c r="M1603" s="147"/>
      <c r="N1603" s="148"/>
      <c r="O1603" s="143"/>
      <c r="P1603" s="140"/>
      <c r="Q1603" s="143"/>
      <c r="R1603" s="143"/>
      <c r="S1603" s="140"/>
      <c r="T1603" s="143"/>
      <c r="U1603" s="144"/>
      <c r="V1603" s="147"/>
      <c r="X1603" s="214"/>
    </row>
    <row r="1604" spans="2:24" ht="10.95" customHeight="1" x14ac:dyDescent="0.25">
      <c r="B1604" s="52"/>
      <c r="C1604" s="166"/>
      <c r="D1604" s="53"/>
      <c r="E1604" s="155"/>
      <c r="F1604" s="167" t="str">
        <f>_xlfn.IFNA(VLOOKUP(E1602,'Data Kyu'!$A$6:$I$471,2,0),"")</f>
        <v/>
      </c>
      <c r="G1604" s="168"/>
      <c r="H1604" s="168"/>
      <c r="I1604" s="168"/>
      <c r="J1604" s="168"/>
      <c r="K1604" s="169"/>
      <c r="L1604" s="146"/>
      <c r="M1604" s="147"/>
      <c r="N1604" s="173" t="s">
        <v>6</v>
      </c>
      <c r="O1604" s="159"/>
      <c r="P1604" s="57"/>
      <c r="Q1604" s="159" t="s">
        <v>7</v>
      </c>
      <c r="R1604" s="159"/>
      <c r="S1604" s="57"/>
      <c r="T1604" s="159" t="s">
        <v>8</v>
      </c>
      <c r="U1604" s="160"/>
      <c r="V1604" s="175"/>
      <c r="X1604" s="214"/>
    </row>
    <row r="1605" spans="2:24" ht="10.95" customHeight="1" x14ac:dyDescent="0.25">
      <c r="B1605" s="54"/>
      <c r="C1605" s="76"/>
      <c r="D1605" s="56"/>
      <c r="E1605" s="156"/>
      <c r="F1605" s="170"/>
      <c r="G1605" s="171"/>
      <c r="H1605" s="171"/>
      <c r="I1605" s="171"/>
      <c r="J1605" s="171"/>
      <c r="K1605" s="172"/>
      <c r="L1605" s="148"/>
      <c r="M1605" s="144"/>
      <c r="N1605" s="174"/>
      <c r="O1605" s="161"/>
      <c r="P1605" s="27"/>
      <c r="Q1605" s="161"/>
      <c r="R1605" s="161"/>
      <c r="S1605" s="27"/>
      <c r="T1605" s="161"/>
      <c r="U1605" s="162"/>
      <c r="V1605" s="176"/>
      <c r="X1605" s="214"/>
    </row>
    <row r="1606" spans="2:24" ht="10.95" customHeight="1" x14ac:dyDescent="0.25">
      <c r="B1606" s="41"/>
      <c r="C1606" s="77"/>
      <c r="D1606" s="42"/>
      <c r="E1606" s="154">
        <f t="shared" ref="E1606" si="85">E1602+1</f>
        <v>208</v>
      </c>
      <c r="F1606" s="145" t="str">
        <f>_xlfn.IFNA(VLOOKUP(E1606,'Data Kyu'!$A$6:$I$471,3,0),"")</f>
        <v/>
      </c>
      <c r="G1606" s="142"/>
      <c r="H1606" s="66"/>
      <c r="I1606" s="66"/>
      <c r="J1606" s="66"/>
      <c r="K1606" s="66"/>
      <c r="L1606" s="145" t="str">
        <f>_xlfn.IFNA(VLOOKUP(E1606,'Data Kyu'!$A$6:$I$471,9,0),"")</f>
        <v/>
      </c>
      <c r="M1606" s="142"/>
      <c r="N1606" s="145" t="str">
        <f>_xlfn.IFNA(VLOOKUP(E1606,'Data Kyu'!$A$6:$I$471,6,0),"")</f>
        <v/>
      </c>
      <c r="O1606" s="141"/>
      <c r="P1606" s="139" t="s">
        <v>5</v>
      </c>
      <c r="Q1606" s="141" t="str">
        <f>_xlfn.IFNA(VLOOKUP(E1606,'Data Kyu'!$A$6:$I$471,7,0),"")</f>
        <v/>
      </c>
      <c r="R1606" s="141"/>
      <c r="S1606" s="139" t="s">
        <v>5</v>
      </c>
      <c r="T1606" s="141" t="str">
        <f>_xlfn.IFNA(VLOOKUP(E1606,'Data Kyu'!$A$6:$I$471,8,0),"")</f>
        <v/>
      </c>
      <c r="U1606" s="142"/>
      <c r="V1606" s="142" t="str">
        <f>_xlfn.IFNA(VLOOKUP(E1606,'Data Kyu'!$A$6:$I$471,4,0),"")</f>
        <v/>
      </c>
      <c r="X1606" s="214" t="str">
        <f>_xlfn.IFNA(VLOOKUP(F1606,'Data Kyu'!$C$6:$N$997,12,0),"No Data")</f>
        <v>No Data</v>
      </c>
    </row>
    <row r="1607" spans="2:24" ht="10.95" customHeight="1" x14ac:dyDescent="0.25">
      <c r="B1607" s="52"/>
      <c r="C1607" s="165" t="str">
        <f>IF(X1606="LULUS","V","")</f>
        <v/>
      </c>
      <c r="D1607" s="53"/>
      <c r="E1607" s="155"/>
      <c r="F1607" s="148"/>
      <c r="G1607" s="144"/>
      <c r="H1607" s="67"/>
      <c r="I1607" s="67"/>
      <c r="J1607" s="67"/>
      <c r="K1607" s="67"/>
      <c r="L1607" s="146"/>
      <c r="M1607" s="147"/>
      <c r="N1607" s="148"/>
      <c r="O1607" s="143"/>
      <c r="P1607" s="140"/>
      <c r="Q1607" s="143"/>
      <c r="R1607" s="143"/>
      <c r="S1607" s="140"/>
      <c r="T1607" s="143"/>
      <c r="U1607" s="144"/>
      <c r="V1607" s="147"/>
      <c r="X1607" s="214"/>
    </row>
    <row r="1608" spans="2:24" ht="10.95" customHeight="1" x14ac:dyDescent="0.25">
      <c r="B1608" s="52"/>
      <c r="C1608" s="166"/>
      <c r="D1608" s="53"/>
      <c r="E1608" s="155"/>
      <c r="F1608" s="167" t="str">
        <f>_xlfn.IFNA(VLOOKUP(E1606,'Data Kyu'!$A$6:$I$471,2,0),"")</f>
        <v/>
      </c>
      <c r="G1608" s="168"/>
      <c r="H1608" s="168"/>
      <c r="I1608" s="168"/>
      <c r="J1608" s="168"/>
      <c r="K1608" s="169"/>
      <c r="L1608" s="146"/>
      <c r="M1608" s="147"/>
      <c r="N1608" s="173" t="s">
        <v>6</v>
      </c>
      <c r="O1608" s="159"/>
      <c r="P1608" s="57"/>
      <c r="Q1608" s="159" t="s">
        <v>7</v>
      </c>
      <c r="R1608" s="159"/>
      <c r="S1608" s="57"/>
      <c r="T1608" s="159" t="s">
        <v>8</v>
      </c>
      <c r="U1608" s="160"/>
      <c r="V1608" s="175"/>
      <c r="X1608" s="214"/>
    </row>
    <row r="1609" spans="2:24" ht="10.95" customHeight="1" x14ac:dyDescent="0.25">
      <c r="B1609" s="54"/>
      <c r="C1609" s="76"/>
      <c r="D1609" s="56"/>
      <c r="E1609" s="156"/>
      <c r="F1609" s="170"/>
      <c r="G1609" s="171"/>
      <c r="H1609" s="171"/>
      <c r="I1609" s="171"/>
      <c r="J1609" s="171"/>
      <c r="K1609" s="172"/>
      <c r="L1609" s="148"/>
      <c r="M1609" s="144"/>
      <c r="N1609" s="174"/>
      <c r="O1609" s="161"/>
      <c r="P1609" s="27"/>
      <c r="Q1609" s="161"/>
      <c r="R1609" s="161"/>
      <c r="S1609" s="27"/>
      <c r="T1609" s="161"/>
      <c r="U1609" s="162"/>
      <c r="V1609" s="176"/>
      <c r="X1609" s="214"/>
    </row>
    <row r="1610" spans="2:24" ht="10.95" customHeight="1" x14ac:dyDescent="0.25">
      <c r="B1610" s="41"/>
      <c r="C1610" s="77"/>
      <c r="D1610" s="42"/>
      <c r="E1610" s="154">
        <f t="shared" ref="E1610" si="86">E1606+1</f>
        <v>209</v>
      </c>
      <c r="F1610" s="145" t="str">
        <f>_xlfn.IFNA(VLOOKUP(E1610,'Data Kyu'!$A$6:$I$471,3,0),"")</f>
        <v/>
      </c>
      <c r="G1610" s="142"/>
      <c r="H1610" s="66"/>
      <c r="I1610" s="66"/>
      <c r="J1610" s="66"/>
      <c r="K1610" s="66"/>
      <c r="L1610" s="145" t="str">
        <f>_xlfn.IFNA(VLOOKUP(E1610,'Data Kyu'!$A$6:$I$471,9,0),"")</f>
        <v/>
      </c>
      <c r="M1610" s="142"/>
      <c r="N1610" s="145" t="str">
        <f>_xlfn.IFNA(VLOOKUP(E1610,'Data Kyu'!$A$6:$I$471,6,0),"")</f>
        <v/>
      </c>
      <c r="O1610" s="141"/>
      <c r="P1610" s="139" t="s">
        <v>5</v>
      </c>
      <c r="Q1610" s="141" t="str">
        <f>_xlfn.IFNA(VLOOKUP(E1610,'Data Kyu'!$A$6:$I$471,7,0),"")</f>
        <v/>
      </c>
      <c r="R1610" s="141"/>
      <c r="S1610" s="139" t="s">
        <v>5</v>
      </c>
      <c r="T1610" s="141" t="str">
        <f>_xlfn.IFNA(VLOOKUP(E1610,'Data Kyu'!$A$6:$I$471,8,0),"")</f>
        <v/>
      </c>
      <c r="U1610" s="142"/>
      <c r="V1610" s="142" t="str">
        <f>_xlfn.IFNA(VLOOKUP(E1610,'Data Kyu'!$A$6:$I$471,4,0),"")</f>
        <v/>
      </c>
      <c r="X1610" s="214" t="str">
        <f>_xlfn.IFNA(VLOOKUP(F1610,'Data Kyu'!$C$6:$N$997,12,0),"No Data")</f>
        <v>No Data</v>
      </c>
    </row>
    <row r="1611" spans="2:24" ht="10.95" customHeight="1" x14ac:dyDescent="0.25">
      <c r="B1611" s="52"/>
      <c r="C1611" s="165" t="str">
        <f>IF(X1610="LULUS","V","")</f>
        <v/>
      </c>
      <c r="D1611" s="53"/>
      <c r="E1611" s="155"/>
      <c r="F1611" s="148"/>
      <c r="G1611" s="144"/>
      <c r="H1611" s="67"/>
      <c r="I1611" s="67"/>
      <c r="J1611" s="67"/>
      <c r="K1611" s="67"/>
      <c r="L1611" s="146"/>
      <c r="M1611" s="147"/>
      <c r="N1611" s="148"/>
      <c r="O1611" s="143"/>
      <c r="P1611" s="140"/>
      <c r="Q1611" s="143"/>
      <c r="R1611" s="143"/>
      <c r="S1611" s="140"/>
      <c r="T1611" s="143"/>
      <c r="U1611" s="144"/>
      <c r="V1611" s="147"/>
      <c r="X1611" s="214"/>
    </row>
    <row r="1612" spans="2:24" ht="10.95" customHeight="1" x14ac:dyDescent="0.25">
      <c r="B1612" s="52"/>
      <c r="C1612" s="166"/>
      <c r="D1612" s="53"/>
      <c r="E1612" s="155"/>
      <c r="F1612" s="167" t="str">
        <f>_xlfn.IFNA(VLOOKUP(E1610,'Data Kyu'!$A$6:$I$471,2,0),"")</f>
        <v/>
      </c>
      <c r="G1612" s="168"/>
      <c r="H1612" s="168"/>
      <c r="I1612" s="168"/>
      <c r="J1612" s="168"/>
      <c r="K1612" s="169"/>
      <c r="L1612" s="146"/>
      <c r="M1612" s="147"/>
      <c r="N1612" s="173" t="s">
        <v>6</v>
      </c>
      <c r="O1612" s="159"/>
      <c r="P1612" s="57"/>
      <c r="Q1612" s="159" t="s">
        <v>7</v>
      </c>
      <c r="R1612" s="159"/>
      <c r="S1612" s="57"/>
      <c r="T1612" s="159" t="s">
        <v>8</v>
      </c>
      <c r="U1612" s="160"/>
      <c r="V1612" s="175"/>
      <c r="X1612" s="214"/>
    </row>
    <row r="1613" spans="2:24" ht="10.95" customHeight="1" x14ac:dyDescent="0.25">
      <c r="B1613" s="54"/>
      <c r="C1613" s="76"/>
      <c r="D1613" s="56"/>
      <c r="E1613" s="156"/>
      <c r="F1613" s="170"/>
      <c r="G1613" s="171"/>
      <c r="H1613" s="171"/>
      <c r="I1613" s="171"/>
      <c r="J1613" s="171"/>
      <c r="K1613" s="172"/>
      <c r="L1613" s="148"/>
      <c r="M1613" s="144"/>
      <c r="N1613" s="174"/>
      <c r="O1613" s="161"/>
      <c r="P1613" s="27"/>
      <c r="Q1613" s="161"/>
      <c r="R1613" s="161"/>
      <c r="S1613" s="27"/>
      <c r="T1613" s="161"/>
      <c r="U1613" s="162"/>
      <c r="V1613" s="176"/>
      <c r="X1613" s="214"/>
    </row>
    <row r="1614" spans="2:24" ht="10.95" customHeight="1" x14ac:dyDescent="0.25">
      <c r="B1614" s="41"/>
      <c r="C1614" s="77"/>
      <c r="D1614" s="42"/>
      <c r="E1614" s="154">
        <f t="shared" ref="E1614" si="87">E1610+1</f>
        <v>210</v>
      </c>
      <c r="F1614" s="145" t="str">
        <f>_xlfn.IFNA(VLOOKUP(E1614,'Data Kyu'!$A$6:$I$471,3,0),"")</f>
        <v/>
      </c>
      <c r="G1614" s="142"/>
      <c r="H1614" s="66"/>
      <c r="I1614" s="66"/>
      <c r="J1614" s="66"/>
      <c r="K1614" s="66"/>
      <c r="L1614" s="145" t="str">
        <f>_xlfn.IFNA(VLOOKUP(E1614,'Data Kyu'!$A$6:$I$471,9,0),"")</f>
        <v/>
      </c>
      <c r="M1614" s="142"/>
      <c r="N1614" s="145" t="str">
        <f>_xlfn.IFNA(VLOOKUP(E1614,'Data Kyu'!$A$6:$I$471,6,0),"")</f>
        <v/>
      </c>
      <c r="O1614" s="141"/>
      <c r="P1614" s="139" t="s">
        <v>5</v>
      </c>
      <c r="Q1614" s="141" t="str">
        <f>_xlfn.IFNA(VLOOKUP(E1614,'Data Kyu'!$A$6:$I$471,7,0),"")</f>
        <v/>
      </c>
      <c r="R1614" s="141"/>
      <c r="S1614" s="139" t="s">
        <v>5</v>
      </c>
      <c r="T1614" s="141" t="str">
        <f>_xlfn.IFNA(VLOOKUP(E1614,'Data Kyu'!$A$6:$I$471,8,0),"")</f>
        <v/>
      </c>
      <c r="U1614" s="142"/>
      <c r="V1614" s="142" t="str">
        <f>_xlfn.IFNA(VLOOKUP(E1614,'Data Kyu'!$A$6:$I$471,4,0),"")</f>
        <v/>
      </c>
      <c r="X1614" s="214" t="str">
        <f>_xlfn.IFNA(VLOOKUP(F1614,'Data Kyu'!$C$6:$N$997,12,0),"No Data")</f>
        <v>No Data</v>
      </c>
    </row>
    <row r="1615" spans="2:24" ht="10.95" customHeight="1" x14ac:dyDescent="0.25">
      <c r="B1615" s="52"/>
      <c r="C1615" s="165" t="str">
        <f>IF(X1614="LULUS","V","")</f>
        <v/>
      </c>
      <c r="D1615" s="53"/>
      <c r="E1615" s="155"/>
      <c r="F1615" s="148"/>
      <c r="G1615" s="144"/>
      <c r="H1615" s="67"/>
      <c r="I1615" s="67"/>
      <c r="J1615" s="67"/>
      <c r="K1615" s="67"/>
      <c r="L1615" s="146"/>
      <c r="M1615" s="147"/>
      <c r="N1615" s="148"/>
      <c r="O1615" s="143"/>
      <c r="P1615" s="140"/>
      <c r="Q1615" s="143"/>
      <c r="R1615" s="143"/>
      <c r="S1615" s="140"/>
      <c r="T1615" s="143"/>
      <c r="U1615" s="144"/>
      <c r="V1615" s="147"/>
      <c r="X1615" s="214"/>
    </row>
    <row r="1616" spans="2:24" ht="10.95" customHeight="1" x14ac:dyDescent="0.25">
      <c r="B1616" s="52"/>
      <c r="C1616" s="166"/>
      <c r="D1616" s="53"/>
      <c r="E1616" s="155"/>
      <c r="F1616" s="167" t="str">
        <f>_xlfn.IFNA(VLOOKUP(E1614,'Data Kyu'!$A$6:$I$471,2,0),"")</f>
        <v/>
      </c>
      <c r="G1616" s="168"/>
      <c r="H1616" s="168"/>
      <c r="I1616" s="168"/>
      <c r="J1616" s="168"/>
      <c r="K1616" s="169"/>
      <c r="L1616" s="146"/>
      <c r="M1616" s="147"/>
      <c r="N1616" s="173" t="s">
        <v>6</v>
      </c>
      <c r="O1616" s="159"/>
      <c r="P1616" s="57"/>
      <c r="Q1616" s="159" t="s">
        <v>7</v>
      </c>
      <c r="R1616" s="159"/>
      <c r="S1616" s="57"/>
      <c r="T1616" s="159" t="s">
        <v>8</v>
      </c>
      <c r="U1616" s="160"/>
      <c r="V1616" s="175"/>
      <c r="X1616" s="214"/>
    </row>
    <row r="1617" spans="2:24" ht="10.95" customHeight="1" x14ac:dyDescent="0.25">
      <c r="B1617" s="54"/>
      <c r="C1617" s="55"/>
      <c r="D1617" s="56"/>
      <c r="E1617" s="156"/>
      <c r="F1617" s="170"/>
      <c r="G1617" s="171"/>
      <c r="H1617" s="171"/>
      <c r="I1617" s="171"/>
      <c r="J1617" s="171"/>
      <c r="K1617" s="172"/>
      <c r="L1617" s="148"/>
      <c r="M1617" s="144"/>
      <c r="N1617" s="174"/>
      <c r="O1617" s="161"/>
      <c r="P1617" s="27"/>
      <c r="Q1617" s="161"/>
      <c r="R1617" s="161"/>
      <c r="S1617" s="27"/>
      <c r="T1617" s="161"/>
      <c r="U1617" s="162"/>
      <c r="V1617" s="176"/>
      <c r="X1617" s="214"/>
    </row>
    <row r="1618" spans="2:24" ht="7.5" customHeight="1" x14ac:dyDescent="0.25"/>
    <row r="1619" spans="2:24" s="34" customFormat="1" x14ac:dyDescent="0.25">
      <c r="E1619" s="35" t="s">
        <v>30</v>
      </c>
      <c r="K1619" s="35" t="s">
        <v>28</v>
      </c>
    </row>
    <row r="1620" spans="2:24" x14ac:dyDescent="0.25">
      <c r="E1620" s="33" t="s">
        <v>31</v>
      </c>
      <c r="F1620" s="149"/>
      <c r="G1620" s="149"/>
      <c r="H1620" s="149"/>
      <c r="I1620" s="149"/>
      <c r="J1620" s="149"/>
      <c r="K1620" s="33" t="s">
        <v>29</v>
      </c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</row>
    <row r="1621" spans="2:24" ht="6.75" customHeight="1" x14ac:dyDescent="0.25">
      <c r="F1621" s="34"/>
      <c r="G1621" s="34"/>
      <c r="H1621" s="34"/>
      <c r="I1621" s="34"/>
      <c r="J1621" s="34"/>
    </row>
    <row r="1622" spans="2:24" s="34" customFormat="1" x14ac:dyDescent="0.25">
      <c r="E1622" s="35" t="s">
        <v>32</v>
      </c>
      <c r="K1622" s="35" t="s">
        <v>36</v>
      </c>
    </row>
    <row r="1623" spans="2:24" x14ac:dyDescent="0.25">
      <c r="E1623" s="33" t="s">
        <v>33</v>
      </c>
      <c r="F1623" s="149"/>
      <c r="G1623" s="149"/>
      <c r="H1623" s="149"/>
      <c r="I1623" s="149"/>
      <c r="J1623" s="149"/>
      <c r="K1623" s="33" t="s">
        <v>29</v>
      </c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</row>
    <row r="1624" spans="2:24" ht="6.75" customHeight="1" x14ac:dyDescent="0.25">
      <c r="F1624" s="34"/>
      <c r="G1624" s="34"/>
      <c r="H1624" s="34"/>
      <c r="I1624" s="34"/>
      <c r="J1624" s="34"/>
    </row>
    <row r="1625" spans="2:24" s="34" customFormat="1" ht="13.8" x14ac:dyDescent="0.25">
      <c r="E1625" s="35" t="s">
        <v>34</v>
      </c>
      <c r="F1625" s="177" t="str">
        <f>IF(F1578&lt;&gt;"",$F$65,"")</f>
        <v/>
      </c>
      <c r="G1625" s="177"/>
      <c r="H1625" s="177"/>
      <c r="I1625" s="177"/>
      <c r="J1625" s="177"/>
      <c r="K1625" s="35" t="s">
        <v>28</v>
      </c>
      <c r="X1625" s="70" t="s">
        <v>107</v>
      </c>
    </row>
    <row r="1626" spans="2:24" ht="13.8" x14ac:dyDescent="0.25">
      <c r="E1626" s="33" t="s">
        <v>35</v>
      </c>
      <c r="F1626" s="178"/>
      <c r="G1626" s="178"/>
      <c r="H1626" s="178"/>
      <c r="I1626" s="178"/>
      <c r="J1626" s="178"/>
      <c r="K1626" s="33" t="s">
        <v>29</v>
      </c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X1626" s="70" t="s">
        <v>105</v>
      </c>
    </row>
    <row r="1627" spans="2:24" ht="12.75" customHeight="1" thickBot="1" x14ac:dyDescent="0.3"/>
    <row r="1628" spans="2:24" ht="13.8" thickTop="1" x14ac:dyDescent="0.25">
      <c r="B1628" s="34" t="s">
        <v>37</v>
      </c>
      <c r="C1628" s="34"/>
      <c r="D1628" s="34"/>
      <c r="H1628" s="150" t="s">
        <v>40</v>
      </c>
      <c r="I1628" s="151"/>
      <c r="J1628" s="151"/>
      <c r="K1628" s="151"/>
      <c r="L1628" s="151"/>
      <c r="M1628" s="151"/>
      <c r="N1628" s="151"/>
      <c r="O1628" s="151"/>
      <c r="P1628" s="151"/>
      <c r="Q1628" s="151"/>
      <c r="R1628" s="151"/>
      <c r="S1628" s="151"/>
      <c r="T1628" s="151"/>
      <c r="U1628" s="151"/>
      <c r="V1628" s="151"/>
    </row>
    <row r="1629" spans="2:24" x14ac:dyDescent="0.25">
      <c r="B1629" s="34" t="s">
        <v>38</v>
      </c>
      <c r="C1629" s="34"/>
      <c r="D1629" s="34"/>
      <c r="H1629" s="152"/>
      <c r="I1629" s="153"/>
      <c r="J1629" s="153"/>
      <c r="K1629" s="153"/>
      <c r="L1629" s="153"/>
      <c r="M1629" s="153"/>
      <c r="N1629" s="153"/>
      <c r="O1629" s="153"/>
      <c r="P1629" s="153"/>
      <c r="Q1629" s="153"/>
      <c r="R1629" s="153"/>
      <c r="S1629" s="153"/>
      <c r="T1629" s="153"/>
      <c r="U1629" s="153"/>
      <c r="V1629" s="153"/>
    </row>
    <row r="1630" spans="2:24" ht="12.75" customHeight="1" x14ac:dyDescent="0.25">
      <c r="B1630" s="163" t="s">
        <v>39</v>
      </c>
      <c r="C1630" s="163"/>
      <c r="D1630" s="163"/>
      <c r="E1630" s="163"/>
      <c r="F1630" s="163"/>
      <c r="H1630" s="37" t="s">
        <v>41</v>
      </c>
    </row>
    <row r="1631" spans="2:24" ht="13.8" x14ac:dyDescent="0.25">
      <c r="B1631" s="163"/>
      <c r="C1631" s="163"/>
      <c r="D1631" s="163"/>
      <c r="E1631" s="163"/>
      <c r="F1631" s="163"/>
      <c r="H1631" s="38" t="s">
        <v>42</v>
      </c>
    </row>
    <row r="1632" spans="2:24" x14ac:dyDescent="0.25">
      <c r="B1632" s="163"/>
      <c r="C1632" s="163"/>
      <c r="D1632" s="163"/>
      <c r="E1632" s="163"/>
      <c r="F1632" s="163"/>
      <c r="H1632" s="36"/>
    </row>
    <row r="1633" spans="2:24" x14ac:dyDescent="0.25">
      <c r="B1633" s="163"/>
      <c r="C1633" s="163"/>
      <c r="D1633" s="163"/>
      <c r="E1633" s="163"/>
      <c r="F1633" s="163"/>
      <c r="H1633" s="36"/>
    </row>
    <row r="1634" spans="2:24" x14ac:dyDescent="0.25">
      <c r="H1634" s="36"/>
    </row>
    <row r="1635" spans="2:24" x14ac:dyDescent="0.25">
      <c r="H1635" s="36"/>
    </row>
    <row r="1636" spans="2:24" x14ac:dyDescent="0.25">
      <c r="H1636" s="36"/>
    </row>
    <row r="1637" spans="2:24" x14ac:dyDescent="0.25">
      <c r="H1637" s="36"/>
    </row>
    <row r="1638" spans="2:24" ht="13.8" x14ac:dyDescent="0.25">
      <c r="H1638" s="157" t="str">
        <f>IF(F1578&lt;&gt;"",$H$78,"")</f>
        <v/>
      </c>
      <c r="I1638" s="158"/>
      <c r="J1638" s="158"/>
      <c r="K1638" s="158"/>
      <c r="L1638" s="158"/>
      <c r="M1638" s="158"/>
      <c r="N1638" s="158"/>
      <c r="O1638" s="158"/>
      <c r="P1638" s="158"/>
      <c r="Q1638" s="158"/>
      <c r="R1638" s="158"/>
      <c r="S1638" s="158"/>
      <c r="T1638" s="158"/>
      <c r="U1638" s="158"/>
      <c r="V1638" s="158"/>
    </row>
    <row r="1639" spans="2:24" x14ac:dyDescent="0.25">
      <c r="H1639" s="36"/>
    </row>
    <row r="1640" spans="2:24" ht="28.5" customHeight="1" x14ac:dyDescent="0.3">
      <c r="B1640" s="193" t="s">
        <v>43</v>
      </c>
      <c r="C1640" s="193"/>
      <c r="D1640" s="193"/>
      <c r="E1640" s="194"/>
      <c r="F1640" s="194"/>
      <c r="G1640" s="194"/>
      <c r="H1640" s="194"/>
      <c r="I1640" s="2"/>
      <c r="J1640" s="2"/>
      <c r="K1640" s="13" t="s">
        <v>25</v>
      </c>
      <c r="L1640" s="195" t="s">
        <v>14</v>
      </c>
      <c r="M1640" s="196"/>
      <c r="N1640" s="196"/>
      <c r="O1640" s="196"/>
      <c r="P1640" s="196"/>
      <c r="Q1640" s="196"/>
      <c r="R1640" s="196"/>
      <c r="S1640" s="196"/>
      <c r="T1640" s="196"/>
      <c r="U1640" s="196"/>
      <c r="V1640" s="197"/>
      <c r="X1640" s="1"/>
    </row>
    <row r="1641" spans="2:24" ht="26.25" customHeight="1" x14ac:dyDescent="0.4">
      <c r="B1641" s="39" t="s">
        <v>44</v>
      </c>
      <c r="C1641" s="39"/>
      <c r="D1641" s="39"/>
      <c r="E1641" s="2"/>
      <c r="F1641" s="2"/>
      <c r="G1641" s="2"/>
      <c r="H1641" s="2"/>
      <c r="I1641" s="2"/>
      <c r="J1641" s="2"/>
      <c r="K1641" s="29" t="s">
        <v>13</v>
      </c>
      <c r="L1641" s="15">
        <v>4</v>
      </c>
      <c r="M1641" s="16">
        <v>1</v>
      </c>
      <c r="N1641" s="15">
        <v>0</v>
      </c>
      <c r="O1641" s="198">
        <v>0</v>
      </c>
      <c r="P1641" s="199"/>
      <c r="Q1641" s="14">
        <v>0</v>
      </c>
      <c r="R1641" s="200">
        <v>1</v>
      </c>
      <c r="S1641" s="201"/>
      <c r="T1641" s="6"/>
      <c r="U1641" s="6"/>
      <c r="V1641" s="7"/>
      <c r="X1641" s="1"/>
    </row>
    <row r="1642" spans="2:24" ht="21" customHeight="1" x14ac:dyDescent="0.25">
      <c r="B1642" s="26" t="s">
        <v>45</v>
      </c>
      <c r="C1642" s="26"/>
      <c r="D1642" s="26"/>
      <c r="E1642" s="25"/>
      <c r="F1642" s="25"/>
      <c r="G1642" s="25"/>
      <c r="H1642" s="25"/>
      <c r="I1642" s="25"/>
      <c r="J1642" s="25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X1642" s="1"/>
    </row>
    <row r="1643" spans="2:24" ht="13.5" customHeight="1" x14ac:dyDescent="0.25">
      <c r="B1643" s="40" t="s">
        <v>24</v>
      </c>
      <c r="C1643" s="40"/>
      <c r="D1643" s="40"/>
      <c r="E1643" s="25"/>
      <c r="F1643" s="25"/>
      <c r="G1643" s="25"/>
      <c r="H1643" s="25"/>
      <c r="I1643" s="25"/>
      <c r="J1643" s="25"/>
      <c r="K1643" s="28" t="s">
        <v>6</v>
      </c>
      <c r="L1643" s="202" t="str">
        <f>IF(F1656&lt;&gt;"",$L$5,"")</f>
        <v/>
      </c>
      <c r="M1643" s="203"/>
      <c r="N1643" s="204" t="s">
        <v>15</v>
      </c>
      <c r="O1643" s="204"/>
      <c r="P1643" s="204"/>
      <c r="Q1643" s="205" t="str">
        <f>IF(F1656&lt;&gt;"",$Q$5,"")</f>
        <v/>
      </c>
      <c r="R1643" s="206"/>
      <c r="S1643" s="207" t="s">
        <v>16</v>
      </c>
      <c r="T1643" s="204"/>
      <c r="U1643" s="82" t="str">
        <f>IF(F1656&lt;&gt;"",$U$5,"")</f>
        <v/>
      </c>
      <c r="V1643" s="63"/>
      <c r="X1643" s="1"/>
    </row>
    <row r="1644" spans="2:24" ht="8.25" customHeight="1" x14ac:dyDescent="0.25"/>
    <row r="1645" spans="2:24" ht="11.25" customHeight="1" x14ac:dyDescent="0.25">
      <c r="B1645" s="24" t="s">
        <v>17</v>
      </c>
      <c r="C1645" s="24"/>
      <c r="D1645" s="24"/>
    </row>
    <row r="1646" spans="2:24" ht="11.25" customHeight="1" x14ac:dyDescent="0.25">
      <c r="B1646" s="8" t="s">
        <v>18</v>
      </c>
      <c r="C1646" s="8"/>
      <c r="D1646" s="8"/>
    </row>
    <row r="1647" spans="2:24" ht="5.25" customHeight="1" x14ac:dyDescent="0.25">
      <c r="B1647" s="8"/>
      <c r="C1647" s="8"/>
      <c r="D1647" s="8"/>
    </row>
    <row r="1648" spans="2:24" x14ac:dyDescent="0.25">
      <c r="B1648" s="179" t="s">
        <v>19</v>
      </c>
      <c r="C1648" s="179"/>
      <c r="D1648" s="179"/>
      <c r="E1648" s="179"/>
      <c r="F1648" s="179"/>
      <c r="G1648" s="18" t="s">
        <v>6</v>
      </c>
      <c r="H1648" s="64" t="str">
        <f>IF(F1656&lt;&gt;"",$H$10,"")</f>
        <v/>
      </c>
      <c r="I1648" s="9" t="s">
        <v>15</v>
      </c>
      <c r="J1648" s="83" t="str">
        <f>IF(F1656&lt;&gt;"",$J$10,"")</f>
        <v/>
      </c>
      <c r="K1648" s="9" t="s">
        <v>16</v>
      </c>
      <c r="L1648" s="180" t="str">
        <f>IF(F1656&lt;&gt;"",$L$10,"")</f>
        <v/>
      </c>
      <c r="M1648" s="181"/>
      <c r="X1648" s="32"/>
    </row>
    <row r="1649" spans="2:24" ht="5.25" customHeight="1" x14ac:dyDescent="0.25">
      <c r="B1649" s="8"/>
      <c r="C1649" s="8"/>
      <c r="D1649" s="8"/>
      <c r="E1649" s="8"/>
      <c r="F1649" s="8"/>
      <c r="G1649" s="19"/>
      <c r="H1649" s="20"/>
      <c r="I1649" s="21"/>
      <c r="J1649" s="20"/>
      <c r="K1649" s="10"/>
      <c r="L1649" s="22"/>
      <c r="X1649" s="32"/>
    </row>
    <row r="1650" spans="2:24" s="73" customFormat="1" ht="14.4" customHeight="1" x14ac:dyDescent="0.25">
      <c r="B1650" s="72" t="s">
        <v>20</v>
      </c>
      <c r="C1650" s="72"/>
      <c r="D1650" s="72"/>
      <c r="X1650" s="74"/>
    </row>
    <row r="1651" spans="2:24" s="73" customFormat="1" ht="14.4" customHeight="1" x14ac:dyDescent="0.25">
      <c r="B1651" s="75" t="s">
        <v>21</v>
      </c>
      <c r="C1651" s="10"/>
      <c r="D1651" s="10"/>
      <c r="E1651" s="22" t="s">
        <v>22</v>
      </c>
      <c r="X1651" s="74"/>
    </row>
    <row r="1652" spans="2:24" s="73" customFormat="1" ht="14.4" customHeight="1" x14ac:dyDescent="0.25">
      <c r="B1652" s="22"/>
      <c r="C1652" s="22"/>
      <c r="D1652" s="22"/>
      <c r="E1652" s="22" t="s">
        <v>23</v>
      </c>
      <c r="X1652" s="164" t="s">
        <v>102</v>
      </c>
    </row>
    <row r="1653" spans="2:24" ht="7.5" customHeight="1" x14ac:dyDescent="0.25">
      <c r="B1653" s="8"/>
      <c r="C1653" s="8"/>
      <c r="D1653" s="8"/>
      <c r="X1653" s="164"/>
    </row>
    <row r="1654" spans="2:24" ht="17.25" customHeight="1" x14ac:dyDescent="0.25">
      <c r="B1654" s="182"/>
      <c r="C1654" s="59"/>
      <c r="D1654" s="60"/>
      <c r="E1654" s="184" t="s">
        <v>0</v>
      </c>
      <c r="F1654" s="186" t="s">
        <v>1</v>
      </c>
      <c r="G1654" s="187"/>
      <c r="H1654" s="4"/>
      <c r="I1654" s="4"/>
      <c r="J1654" s="4"/>
      <c r="K1654" s="5"/>
      <c r="L1654" s="145" t="s">
        <v>3</v>
      </c>
      <c r="M1654" s="142"/>
      <c r="N1654" s="188" t="s">
        <v>10</v>
      </c>
      <c r="O1654" s="188"/>
      <c r="P1654" s="188"/>
      <c r="Q1654" s="188"/>
      <c r="R1654" s="188"/>
      <c r="S1654" s="188"/>
      <c r="T1654" s="188"/>
      <c r="U1654" s="189"/>
      <c r="V1654" s="3" t="s">
        <v>12</v>
      </c>
      <c r="X1654" s="68" t="s">
        <v>200</v>
      </c>
    </row>
    <row r="1655" spans="2:24" ht="17.25" customHeight="1" x14ac:dyDescent="0.25">
      <c r="B1655" s="183"/>
      <c r="C1655" s="61"/>
      <c r="D1655" s="62"/>
      <c r="E1655" s="185"/>
      <c r="F1655" s="30" t="s">
        <v>2</v>
      </c>
      <c r="G1655" s="17"/>
      <c r="H1655" s="6"/>
      <c r="I1655" s="6"/>
      <c r="J1655" s="6"/>
      <c r="K1655" s="7"/>
      <c r="L1655" s="190" t="s">
        <v>4</v>
      </c>
      <c r="M1655" s="191"/>
      <c r="N1655" s="192" t="s">
        <v>9</v>
      </c>
      <c r="O1655" s="192"/>
      <c r="P1655" s="192"/>
      <c r="Q1655" s="192"/>
      <c r="R1655" s="192"/>
      <c r="S1655" s="192"/>
      <c r="T1655" s="192"/>
      <c r="U1655" s="191"/>
      <c r="V1655" s="31" t="s">
        <v>11</v>
      </c>
      <c r="X1655" s="69"/>
    </row>
    <row r="1656" spans="2:24" ht="10.95" customHeight="1" x14ac:dyDescent="0.25">
      <c r="B1656" s="41"/>
      <c r="C1656" s="51"/>
      <c r="D1656" s="42"/>
      <c r="E1656" s="154">
        <v>211</v>
      </c>
      <c r="F1656" s="145" t="str">
        <f>_xlfn.IFNA(VLOOKUP(E1656,'Data Kyu'!$A$6:$I$471,3,0),"")</f>
        <v/>
      </c>
      <c r="G1656" s="142"/>
      <c r="H1656" s="66"/>
      <c r="I1656" s="66"/>
      <c r="J1656" s="66"/>
      <c r="K1656" s="66"/>
      <c r="L1656" s="145" t="str">
        <f>_xlfn.IFNA(VLOOKUP(E1656,'Data Kyu'!$A$6:$I$471,9,0),"")</f>
        <v/>
      </c>
      <c r="M1656" s="142"/>
      <c r="N1656" s="145" t="str">
        <f>_xlfn.IFNA(VLOOKUP(E1656,'Data Kyu'!$A$6:$I$471,6,0),"")</f>
        <v/>
      </c>
      <c r="O1656" s="141"/>
      <c r="P1656" s="139" t="s">
        <v>5</v>
      </c>
      <c r="Q1656" s="141" t="str">
        <f>_xlfn.IFNA(VLOOKUP(E1656,'Data Kyu'!$A$6:$I$471,7,0),"")</f>
        <v/>
      </c>
      <c r="R1656" s="141"/>
      <c r="S1656" s="139" t="s">
        <v>5</v>
      </c>
      <c r="T1656" s="141" t="str">
        <f>_xlfn.IFNA(VLOOKUP(E1656,'Data Kyu'!$A$6:$I$471,8,0),"")</f>
        <v/>
      </c>
      <c r="U1656" s="142"/>
      <c r="V1656" s="142" t="str">
        <f>_xlfn.IFNA(VLOOKUP(E1656,'Data Kyu'!$A$6:$I$471,4,0),"")</f>
        <v/>
      </c>
      <c r="X1656" s="214" t="str">
        <f>_xlfn.IFNA(VLOOKUP(F1656,'Data Kyu'!$C$6:$N$997,12,0),"No Data")</f>
        <v>No Data</v>
      </c>
    </row>
    <row r="1657" spans="2:24" ht="10.95" customHeight="1" x14ac:dyDescent="0.25">
      <c r="B1657" s="52"/>
      <c r="C1657" s="165" t="str">
        <f>IF(X1656="LULUS","V","")</f>
        <v/>
      </c>
      <c r="D1657" s="53"/>
      <c r="E1657" s="155"/>
      <c r="F1657" s="148"/>
      <c r="G1657" s="144"/>
      <c r="H1657" s="67"/>
      <c r="I1657" s="67"/>
      <c r="J1657" s="67"/>
      <c r="K1657" s="67"/>
      <c r="L1657" s="146"/>
      <c r="M1657" s="147"/>
      <c r="N1657" s="148"/>
      <c r="O1657" s="143"/>
      <c r="P1657" s="140"/>
      <c r="Q1657" s="143"/>
      <c r="R1657" s="143"/>
      <c r="S1657" s="140"/>
      <c r="T1657" s="143"/>
      <c r="U1657" s="144"/>
      <c r="V1657" s="147"/>
      <c r="X1657" s="214"/>
    </row>
    <row r="1658" spans="2:24" ht="10.95" customHeight="1" x14ac:dyDescent="0.25">
      <c r="B1658" s="52"/>
      <c r="C1658" s="166"/>
      <c r="D1658" s="53"/>
      <c r="E1658" s="155"/>
      <c r="F1658" s="167" t="str">
        <f>_xlfn.IFNA(VLOOKUP(E1656,'Data Kyu'!$A$6:$I$471,2,0),"")</f>
        <v/>
      </c>
      <c r="G1658" s="168"/>
      <c r="H1658" s="168"/>
      <c r="I1658" s="168"/>
      <c r="J1658" s="168"/>
      <c r="K1658" s="169"/>
      <c r="L1658" s="146"/>
      <c r="M1658" s="147"/>
      <c r="N1658" s="173" t="s">
        <v>6</v>
      </c>
      <c r="O1658" s="159"/>
      <c r="P1658" s="57"/>
      <c r="Q1658" s="159" t="s">
        <v>7</v>
      </c>
      <c r="R1658" s="159"/>
      <c r="S1658" s="57"/>
      <c r="T1658" s="159" t="s">
        <v>8</v>
      </c>
      <c r="U1658" s="160"/>
      <c r="V1658" s="175"/>
      <c r="X1658" s="214"/>
    </row>
    <row r="1659" spans="2:24" ht="10.95" customHeight="1" x14ac:dyDescent="0.25">
      <c r="B1659" s="54"/>
      <c r="C1659" s="76"/>
      <c r="D1659" s="56"/>
      <c r="E1659" s="156"/>
      <c r="F1659" s="170"/>
      <c r="G1659" s="171"/>
      <c r="H1659" s="171"/>
      <c r="I1659" s="171"/>
      <c r="J1659" s="171"/>
      <c r="K1659" s="172"/>
      <c r="L1659" s="148"/>
      <c r="M1659" s="144"/>
      <c r="N1659" s="174"/>
      <c r="O1659" s="161"/>
      <c r="P1659" s="27"/>
      <c r="Q1659" s="161"/>
      <c r="R1659" s="161"/>
      <c r="S1659" s="27"/>
      <c r="T1659" s="161"/>
      <c r="U1659" s="162"/>
      <c r="V1659" s="176"/>
      <c r="X1659" s="214"/>
    </row>
    <row r="1660" spans="2:24" ht="10.95" customHeight="1" x14ac:dyDescent="0.25">
      <c r="B1660" s="41"/>
      <c r="C1660" s="77"/>
      <c r="D1660" s="42"/>
      <c r="E1660" s="154">
        <f>E1656+1</f>
        <v>212</v>
      </c>
      <c r="F1660" s="145" t="str">
        <f>_xlfn.IFNA(VLOOKUP(E1660,'Data Kyu'!$A$6:$I$471,3,0),"")</f>
        <v/>
      </c>
      <c r="G1660" s="142"/>
      <c r="H1660" s="66"/>
      <c r="I1660" s="66"/>
      <c r="J1660" s="66"/>
      <c r="K1660" s="66"/>
      <c r="L1660" s="145" t="str">
        <f>_xlfn.IFNA(VLOOKUP(E1660,'Data Kyu'!$A$6:$I$471,9,0),"")</f>
        <v/>
      </c>
      <c r="M1660" s="142"/>
      <c r="N1660" s="145" t="str">
        <f>_xlfn.IFNA(VLOOKUP(E1660,'Data Kyu'!$A$6:$I$471,6,0),"")</f>
        <v/>
      </c>
      <c r="O1660" s="141"/>
      <c r="P1660" s="139" t="s">
        <v>5</v>
      </c>
      <c r="Q1660" s="141" t="str">
        <f>_xlfn.IFNA(VLOOKUP(E1660,'Data Kyu'!$A$6:$I$471,7,0),"")</f>
        <v/>
      </c>
      <c r="R1660" s="141"/>
      <c r="S1660" s="139" t="s">
        <v>5</v>
      </c>
      <c r="T1660" s="141" t="str">
        <f>_xlfn.IFNA(VLOOKUP(E1660,'Data Kyu'!$A$6:$I$471,8,0),"")</f>
        <v/>
      </c>
      <c r="U1660" s="142"/>
      <c r="V1660" s="142" t="str">
        <f>_xlfn.IFNA(VLOOKUP(E1660,'Data Kyu'!$A$6:$I$471,4,0),"")</f>
        <v/>
      </c>
      <c r="X1660" s="214" t="str">
        <f>_xlfn.IFNA(VLOOKUP(F1660,'Data Kyu'!$C$6:$N$997,12,0),"No Data")</f>
        <v>No Data</v>
      </c>
    </row>
    <row r="1661" spans="2:24" ht="10.95" customHeight="1" x14ac:dyDescent="0.25">
      <c r="B1661" s="52"/>
      <c r="C1661" s="165" t="str">
        <f>IF(X1660="LULUS","V","")</f>
        <v/>
      </c>
      <c r="D1661" s="53"/>
      <c r="E1661" s="155"/>
      <c r="F1661" s="148"/>
      <c r="G1661" s="144"/>
      <c r="H1661" s="67"/>
      <c r="I1661" s="67"/>
      <c r="J1661" s="67"/>
      <c r="K1661" s="67"/>
      <c r="L1661" s="146"/>
      <c r="M1661" s="147"/>
      <c r="N1661" s="148"/>
      <c r="O1661" s="143"/>
      <c r="P1661" s="140"/>
      <c r="Q1661" s="143"/>
      <c r="R1661" s="143"/>
      <c r="S1661" s="140"/>
      <c r="T1661" s="143"/>
      <c r="U1661" s="144"/>
      <c r="V1661" s="147"/>
      <c r="X1661" s="214"/>
    </row>
    <row r="1662" spans="2:24" ht="10.95" customHeight="1" x14ac:dyDescent="0.25">
      <c r="B1662" s="52"/>
      <c r="C1662" s="166"/>
      <c r="D1662" s="53"/>
      <c r="E1662" s="155"/>
      <c r="F1662" s="167" t="str">
        <f>_xlfn.IFNA(VLOOKUP(E1660,'Data Kyu'!$A$6:$I$471,2,0),"")</f>
        <v/>
      </c>
      <c r="G1662" s="168"/>
      <c r="H1662" s="168"/>
      <c r="I1662" s="168"/>
      <c r="J1662" s="168"/>
      <c r="K1662" s="169"/>
      <c r="L1662" s="146"/>
      <c r="M1662" s="147"/>
      <c r="N1662" s="173" t="s">
        <v>6</v>
      </c>
      <c r="O1662" s="159"/>
      <c r="P1662" s="57"/>
      <c r="Q1662" s="159" t="s">
        <v>7</v>
      </c>
      <c r="R1662" s="159"/>
      <c r="S1662" s="57"/>
      <c r="T1662" s="159" t="s">
        <v>8</v>
      </c>
      <c r="U1662" s="160"/>
      <c r="V1662" s="175"/>
      <c r="X1662" s="214"/>
    </row>
    <row r="1663" spans="2:24" ht="10.95" customHeight="1" x14ac:dyDescent="0.25">
      <c r="B1663" s="54"/>
      <c r="C1663" s="76"/>
      <c r="D1663" s="56"/>
      <c r="E1663" s="156"/>
      <c r="F1663" s="170"/>
      <c r="G1663" s="171"/>
      <c r="H1663" s="171"/>
      <c r="I1663" s="171"/>
      <c r="J1663" s="171"/>
      <c r="K1663" s="172"/>
      <c r="L1663" s="148"/>
      <c r="M1663" s="144"/>
      <c r="N1663" s="174"/>
      <c r="O1663" s="161"/>
      <c r="P1663" s="27"/>
      <c r="Q1663" s="161"/>
      <c r="R1663" s="161"/>
      <c r="S1663" s="27"/>
      <c r="T1663" s="161"/>
      <c r="U1663" s="162"/>
      <c r="V1663" s="176"/>
      <c r="X1663" s="214"/>
    </row>
    <row r="1664" spans="2:24" ht="10.95" customHeight="1" x14ac:dyDescent="0.25">
      <c r="B1664" s="41"/>
      <c r="C1664" s="77"/>
      <c r="D1664" s="42"/>
      <c r="E1664" s="154">
        <f t="shared" ref="E1664" si="88">E1660+1</f>
        <v>213</v>
      </c>
      <c r="F1664" s="145" t="str">
        <f>_xlfn.IFNA(VLOOKUP(E1664,'Data Kyu'!$A$6:$I$471,3,0),"")</f>
        <v/>
      </c>
      <c r="G1664" s="142"/>
      <c r="H1664" s="66"/>
      <c r="I1664" s="66"/>
      <c r="J1664" s="66"/>
      <c r="K1664" s="66"/>
      <c r="L1664" s="145" t="str">
        <f>_xlfn.IFNA(VLOOKUP(E1664,'Data Kyu'!$A$6:$I$471,9,0),"")</f>
        <v/>
      </c>
      <c r="M1664" s="142"/>
      <c r="N1664" s="145" t="str">
        <f>_xlfn.IFNA(VLOOKUP(E1664,'Data Kyu'!$A$6:$I$471,6,0),"")</f>
        <v/>
      </c>
      <c r="O1664" s="141"/>
      <c r="P1664" s="139" t="s">
        <v>5</v>
      </c>
      <c r="Q1664" s="141" t="str">
        <f>_xlfn.IFNA(VLOOKUP(E1664,'Data Kyu'!$A$6:$I$471,7,0),"")</f>
        <v/>
      </c>
      <c r="R1664" s="141"/>
      <c r="S1664" s="139" t="s">
        <v>5</v>
      </c>
      <c r="T1664" s="141" t="str">
        <f>_xlfn.IFNA(VLOOKUP(E1664,'Data Kyu'!$A$6:$I$471,8,0),"")</f>
        <v/>
      </c>
      <c r="U1664" s="142"/>
      <c r="V1664" s="142" t="str">
        <f>_xlfn.IFNA(VLOOKUP(E1664,'Data Kyu'!$A$6:$I$471,4,0),"")</f>
        <v/>
      </c>
      <c r="X1664" s="214" t="str">
        <f>_xlfn.IFNA(VLOOKUP(F1664,'Data Kyu'!$C$6:$N$997,12,0),"No Data")</f>
        <v>No Data</v>
      </c>
    </row>
    <row r="1665" spans="2:24" ht="10.95" customHeight="1" x14ac:dyDescent="0.25">
      <c r="B1665" s="52"/>
      <c r="C1665" s="165" t="str">
        <f>IF(X1664="LULUS","V","")</f>
        <v/>
      </c>
      <c r="D1665" s="53"/>
      <c r="E1665" s="155"/>
      <c r="F1665" s="148"/>
      <c r="G1665" s="144"/>
      <c r="H1665" s="67"/>
      <c r="I1665" s="67"/>
      <c r="J1665" s="67"/>
      <c r="K1665" s="67"/>
      <c r="L1665" s="146"/>
      <c r="M1665" s="147"/>
      <c r="N1665" s="148"/>
      <c r="O1665" s="143"/>
      <c r="P1665" s="140"/>
      <c r="Q1665" s="143"/>
      <c r="R1665" s="143"/>
      <c r="S1665" s="140"/>
      <c r="T1665" s="143"/>
      <c r="U1665" s="144"/>
      <c r="V1665" s="147"/>
      <c r="X1665" s="214"/>
    </row>
    <row r="1666" spans="2:24" ht="10.95" customHeight="1" x14ac:dyDescent="0.25">
      <c r="B1666" s="52"/>
      <c r="C1666" s="166"/>
      <c r="D1666" s="53"/>
      <c r="E1666" s="155"/>
      <c r="F1666" s="167" t="str">
        <f>_xlfn.IFNA(VLOOKUP(E1664,'Data Kyu'!$A$6:$I$471,2,0),"")</f>
        <v/>
      </c>
      <c r="G1666" s="168"/>
      <c r="H1666" s="168"/>
      <c r="I1666" s="168"/>
      <c r="J1666" s="168"/>
      <c r="K1666" s="169"/>
      <c r="L1666" s="146"/>
      <c r="M1666" s="147"/>
      <c r="N1666" s="173" t="s">
        <v>6</v>
      </c>
      <c r="O1666" s="159"/>
      <c r="P1666" s="57"/>
      <c r="Q1666" s="159" t="s">
        <v>7</v>
      </c>
      <c r="R1666" s="159"/>
      <c r="S1666" s="57"/>
      <c r="T1666" s="159" t="s">
        <v>8</v>
      </c>
      <c r="U1666" s="160"/>
      <c r="V1666" s="175"/>
      <c r="X1666" s="214"/>
    </row>
    <row r="1667" spans="2:24" ht="10.95" customHeight="1" x14ac:dyDescent="0.25">
      <c r="B1667" s="54"/>
      <c r="C1667" s="76"/>
      <c r="D1667" s="56"/>
      <c r="E1667" s="156"/>
      <c r="F1667" s="170"/>
      <c r="G1667" s="171"/>
      <c r="H1667" s="171"/>
      <c r="I1667" s="171"/>
      <c r="J1667" s="171"/>
      <c r="K1667" s="172"/>
      <c r="L1667" s="148"/>
      <c r="M1667" s="144"/>
      <c r="N1667" s="174"/>
      <c r="O1667" s="161"/>
      <c r="P1667" s="27"/>
      <c r="Q1667" s="161"/>
      <c r="R1667" s="161"/>
      <c r="S1667" s="27"/>
      <c r="T1667" s="161"/>
      <c r="U1667" s="162"/>
      <c r="V1667" s="176"/>
      <c r="X1667" s="214"/>
    </row>
    <row r="1668" spans="2:24" ht="10.95" customHeight="1" x14ac:dyDescent="0.25">
      <c r="B1668" s="41"/>
      <c r="C1668" s="77"/>
      <c r="D1668" s="42"/>
      <c r="E1668" s="154">
        <f t="shared" ref="E1668" si="89">E1664+1</f>
        <v>214</v>
      </c>
      <c r="F1668" s="145" t="str">
        <f>_xlfn.IFNA(VLOOKUP(E1668,'Data Kyu'!$A$6:$I$471,3,0),"")</f>
        <v/>
      </c>
      <c r="G1668" s="142"/>
      <c r="H1668" s="66"/>
      <c r="I1668" s="66"/>
      <c r="J1668" s="66"/>
      <c r="K1668" s="66"/>
      <c r="L1668" s="145" t="str">
        <f>_xlfn.IFNA(VLOOKUP(E1668,'Data Kyu'!$A$6:$I$471,9,0),"")</f>
        <v/>
      </c>
      <c r="M1668" s="142"/>
      <c r="N1668" s="145" t="str">
        <f>_xlfn.IFNA(VLOOKUP(E1668,'Data Kyu'!$A$6:$I$471,6,0),"")</f>
        <v/>
      </c>
      <c r="O1668" s="141"/>
      <c r="P1668" s="139" t="s">
        <v>5</v>
      </c>
      <c r="Q1668" s="141" t="str">
        <f>_xlfn.IFNA(VLOOKUP(E1668,'Data Kyu'!$A$6:$I$471,7,0),"")</f>
        <v/>
      </c>
      <c r="R1668" s="141"/>
      <c r="S1668" s="139" t="s">
        <v>5</v>
      </c>
      <c r="T1668" s="141" t="str">
        <f>_xlfn.IFNA(VLOOKUP(E1668,'Data Kyu'!$A$6:$I$471,8,0),"")</f>
        <v/>
      </c>
      <c r="U1668" s="142"/>
      <c r="V1668" s="142" t="str">
        <f>_xlfn.IFNA(VLOOKUP(E1668,'Data Kyu'!$A$6:$I$471,4,0),"")</f>
        <v/>
      </c>
      <c r="X1668" s="214" t="str">
        <f>_xlfn.IFNA(VLOOKUP(F1668,'Data Kyu'!$C$6:$N$997,12,0),"No Data")</f>
        <v>No Data</v>
      </c>
    </row>
    <row r="1669" spans="2:24" ht="10.95" customHeight="1" x14ac:dyDescent="0.25">
      <c r="B1669" s="52"/>
      <c r="C1669" s="165" t="str">
        <f>IF(X1668="LULUS","V","")</f>
        <v/>
      </c>
      <c r="D1669" s="53"/>
      <c r="E1669" s="155"/>
      <c r="F1669" s="148"/>
      <c r="G1669" s="144"/>
      <c r="H1669" s="67"/>
      <c r="I1669" s="67"/>
      <c r="J1669" s="67"/>
      <c r="K1669" s="67"/>
      <c r="L1669" s="146"/>
      <c r="M1669" s="147"/>
      <c r="N1669" s="148"/>
      <c r="O1669" s="143"/>
      <c r="P1669" s="140"/>
      <c r="Q1669" s="143"/>
      <c r="R1669" s="143"/>
      <c r="S1669" s="140"/>
      <c r="T1669" s="143"/>
      <c r="U1669" s="144"/>
      <c r="V1669" s="147"/>
      <c r="X1669" s="214"/>
    </row>
    <row r="1670" spans="2:24" ht="10.95" customHeight="1" x14ac:dyDescent="0.25">
      <c r="B1670" s="52"/>
      <c r="C1670" s="166"/>
      <c r="D1670" s="53"/>
      <c r="E1670" s="155"/>
      <c r="F1670" s="167" t="str">
        <f>_xlfn.IFNA(VLOOKUP(E1668,'Data Kyu'!$A$6:$I$471,2,0),"")</f>
        <v/>
      </c>
      <c r="G1670" s="168"/>
      <c r="H1670" s="168"/>
      <c r="I1670" s="168"/>
      <c r="J1670" s="168"/>
      <c r="K1670" s="169"/>
      <c r="L1670" s="146"/>
      <c r="M1670" s="147"/>
      <c r="N1670" s="173" t="s">
        <v>6</v>
      </c>
      <c r="O1670" s="159"/>
      <c r="P1670" s="57"/>
      <c r="Q1670" s="159" t="s">
        <v>7</v>
      </c>
      <c r="R1670" s="159"/>
      <c r="S1670" s="57"/>
      <c r="T1670" s="159" t="s">
        <v>8</v>
      </c>
      <c r="U1670" s="160"/>
      <c r="V1670" s="175"/>
      <c r="X1670" s="214"/>
    </row>
    <row r="1671" spans="2:24" ht="10.95" customHeight="1" x14ac:dyDescent="0.25">
      <c r="B1671" s="54"/>
      <c r="C1671" s="76"/>
      <c r="D1671" s="56"/>
      <c r="E1671" s="156"/>
      <c r="F1671" s="170"/>
      <c r="G1671" s="171"/>
      <c r="H1671" s="171"/>
      <c r="I1671" s="171"/>
      <c r="J1671" s="171"/>
      <c r="K1671" s="172"/>
      <c r="L1671" s="148"/>
      <c r="M1671" s="144"/>
      <c r="N1671" s="174"/>
      <c r="O1671" s="161"/>
      <c r="P1671" s="27"/>
      <c r="Q1671" s="161"/>
      <c r="R1671" s="161"/>
      <c r="S1671" s="27"/>
      <c r="T1671" s="161"/>
      <c r="U1671" s="162"/>
      <c r="V1671" s="176"/>
      <c r="X1671" s="214"/>
    </row>
    <row r="1672" spans="2:24" ht="10.95" customHeight="1" x14ac:dyDescent="0.25">
      <c r="B1672" s="41"/>
      <c r="C1672" s="77"/>
      <c r="D1672" s="42"/>
      <c r="E1672" s="154">
        <f t="shared" ref="E1672" si="90">E1668+1</f>
        <v>215</v>
      </c>
      <c r="F1672" s="145" t="str">
        <f>_xlfn.IFNA(VLOOKUP(E1672,'Data Kyu'!$A$6:$I$471,3,0),"")</f>
        <v/>
      </c>
      <c r="G1672" s="142"/>
      <c r="H1672" s="66"/>
      <c r="I1672" s="66"/>
      <c r="J1672" s="66"/>
      <c r="K1672" s="66"/>
      <c r="L1672" s="145" t="str">
        <f>_xlfn.IFNA(VLOOKUP(E1672,'Data Kyu'!$A$6:$I$471,9,0),"")</f>
        <v/>
      </c>
      <c r="M1672" s="142"/>
      <c r="N1672" s="145" t="str">
        <f>_xlfn.IFNA(VLOOKUP(E1672,'Data Kyu'!$A$6:$I$471,6,0),"")</f>
        <v/>
      </c>
      <c r="O1672" s="141"/>
      <c r="P1672" s="139" t="s">
        <v>5</v>
      </c>
      <c r="Q1672" s="141" t="str">
        <f>_xlfn.IFNA(VLOOKUP(E1672,'Data Kyu'!$A$6:$I$471,7,0),"")</f>
        <v/>
      </c>
      <c r="R1672" s="141"/>
      <c r="S1672" s="139" t="s">
        <v>5</v>
      </c>
      <c r="T1672" s="141" t="str">
        <f>_xlfn.IFNA(VLOOKUP(E1672,'Data Kyu'!$A$6:$I$471,8,0),"")</f>
        <v/>
      </c>
      <c r="U1672" s="142"/>
      <c r="V1672" s="142" t="str">
        <f>_xlfn.IFNA(VLOOKUP(E1672,'Data Kyu'!$A$6:$I$471,4,0),"")</f>
        <v/>
      </c>
      <c r="X1672" s="214" t="str">
        <f>_xlfn.IFNA(VLOOKUP(F1672,'Data Kyu'!$C$6:$N$997,12,0),"No Data")</f>
        <v>No Data</v>
      </c>
    </row>
    <row r="1673" spans="2:24" ht="10.95" customHeight="1" x14ac:dyDescent="0.25">
      <c r="B1673" s="52"/>
      <c r="C1673" s="165" t="str">
        <f>IF(X1672="LULUS","V","")</f>
        <v/>
      </c>
      <c r="D1673" s="53"/>
      <c r="E1673" s="155"/>
      <c r="F1673" s="148"/>
      <c r="G1673" s="144"/>
      <c r="H1673" s="67"/>
      <c r="I1673" s="67"/>
      <c r="J1673" s="67"/>
      <c r="K1673" s="67"/>
      <c r="L1673" s="146"/>
      <c r="M1673" s="147"/>
      <c r="N1673" s="148"/>
      <c r="O1673" s="143"/>
      <c r="P1673" s="140"/>
      <c r="Q1673" s="143"/>
      <c r="R1673" s="143"/>
      <c r="S1673" s="140"/>
      <c r="T1673" s="143"/>
      <c r="U1673" s="144"/>
      <c r="V1673" s="147"/>
      <c r="X1673" s="214"/>
    </row>
    <row r="1674" spans="2:24" ht="10.95" customHeight="1" x14ac:dyDescent="0.25">
      <c r="B1674" s="52"/>
      <c r="C1674" s="166"/>
      <c r="D1674" s="53"/>
      <c r="E1674" s="155"/>
      <c r="F1674" s="167" t="str">
        <f>_xlfn.IFNA(VLOOKUP(E1672,'Data Kyu'!$A$6:$I$471,2,0),"")</f>
        <v/>
      </c>
      <c r="G1674" s="168"/>
      <c r="H1674" s="168"/>
      <c r="I1674" s="168"/>
      <c r="J1674" s="168"/>
      <c r="K1674" s="169"/>
      <c r="L1674" s="146"/>
      <c r="M1674" s="147"/>
      <c r="N1674" s="173" t="s">
        <v>6</v>
      </c>
      <c r="O1674" s="159"/>
      <c r="P1674" s="57"/>
      <c r="Q1674" s="159" t="s">
        <v>7</v>
      </c>
      <c r="R1674" s="159"/>
      <c r="S1674" s="57"/>
      <c r="T1674" s="159" t="s">
        <v>8</v>
      </c>
      <c r="U1674" s="160"/>
      <c r="V1674" s="175"/>
      <c r="X1674" s="214"/>
    </row>
    <row r="1675" spans="2:24" ht="10.95" customHeight="1" x14ac:dyDescent="0.25">
      <c r="B1675" s="54"/>
      <c r="C1675" s="76"/>
      <c r="D1675" s="56"/>
      <c r="E1675" s="156"/>
      <c r="F1675" s="170"/>
      <c r="G1675" s="171"/>
      <c r="H1675" s="171"/>
      <c r="I1675" s="171"/>
      <c r="J1675" s="171"/>
      <c r="K1675" s="172"/>
      <c r="L1675" s="148"/>
      <c r="M1675" s="144"/>
      <c r="N1675" s="174"/>
      <c r="O1675" s="161"/>
      <c r="P1675" s="27"/>
      <c r="Q1675" s="161"/>
      <c r="R1675" s="161"/>
      <c r="S1675" s="27"/>
      <c r="T1675" s="161"/>
      <c r="U1675" s="162"/>
      <c r="V1675" s="176"/>
      <c r="X1675" s="214"/>
    </row>
    <row r="1676" spans="2:24" ht="10.95" customHeight="1" x14ac:dyDescent="0.25">
      <c r="B1676" s="41"/>
      <c r="C1676" s="77"/>
      <c r="D1676" s="42"/>
      <c r="E1676" s="154">
        <f t="shared" ref="E1676" si="91">E1672+1</f>
        <v>216</v>
      </c>
      <c r="F1676" s="145" t="str">
        <f>_xlfn.IFNA(VLOOKUP(E1676,'Data Kyu'!$A$6:$I$471,3,0),"")</f>
        <v/>
      </c>
      <c r="G1676" s="142"/>
      <c r="H1676" s="66"/>
      <c r="I1676" s="66"/>
      <c r="J1676" s="66"/>
      <c r="K1676" s="66"/>
      <c r="L1676" s="145" t="str">
        <f>_xlfn.IFNA(VLOOKUP(E1676,'Data Kyu'!$A$6:$I$471,9,0),"")</f>
        <v/>
      </c>
      <c r="M1676" s="142"/>
      <c r="N1676" s="145" t="str">
        <f>_xlfn.IFNA(VLOOKUP(E1676,'Data Kyu'!$A$6:$I$471,6,0),"")</f>
        <v/>
      </c>
      <c r="O1676" s="141"/>
      <c r="P1676" s="139" t="s">
        <v>5</v>
      </c>
      <c r="Q1676" s="141" t="str">
        <f>_xlfn.IFNA(VLOOKUP(E1676,'Data Kyu'!$A$6:$I$471,7,0),"")</f>
        <v/>
      </c>
      <c r="R1676" s="141"/>
      <c r="S1676" s="139" t="s">
        <v>5</v>
      </c>
      <c r="T1676" s="141" t="str">
        <f>_xlfn.IFNA(VLOOKUP(E1676,'Data Kyu'!$A$6:$I$471,8,0),"")</f>
        <v/>
      </c>
      <c r="U1676" s="142"/>
      <c r="V1676" s="142" t="str">
        <f>_xlfn.IFNA(VLOOKUP(E1676,'Data Kyu'!$A$6:$I$471,4,0),"")</f>
        <v/>
      </c>
      <c r="X1676" s="214" t="str">
        <f>_xlfn.IFNA(VLOOKUP(F1676,'Data Kyu'!$C$6:$N$997,12,0),"No Data")</f>
        <v>No Data</v>
      </c>
    </row>
    <row r="1677" spans="2:24" ht="10.95" customHeight="1" x14ac:dyDescent="0.25">
      <c r="B1677" s="52"/>
      <c r="C1677" s="165" t="str">
        <f>IF(X1676="LULUS","V","")</f>
        <v/>
      </c>
      <c r="D1677" s="53"/>
      <c r="E1677" s="155"/>
      <c r="F1677" s="148"/>
      <c r="G1677" s="144"/>
      <c r="H1677" s="67"/>
      <c r="I1677" s="67"/>
      <c r="J1677" s="67"/>
      <c r="K1677" s="67"/>
      <c r="L1677" s="146"/>
      <c r="M1677" s="147"/>
      <c r="N1677" s="148"/>
      <c r="O1677" s="143"/>
      <c r="P1677" s="140"/>
      <c r="Q1677" s="143"/>
      <c r="R1677" s="143"/>
      <c r="S1677" s="140"/>
      <c r="T1677" s="143"/>
      <c r="U1677" s="144"/>
      <c r="V1677" s="147"/>
      <c r="X1677" s="214"/>
    </row>
    <row r="1678" spans="2:24" ht="10.95" customHeight="1" x14ac:dyDescent="0.25">
      <c r="B1678" s="52"/>
      <c r="C1678" s="166"/>
      <c r="D1678" s="53"/>
      <c r="E1678" s="155"/>
      <c r="F1678" s="167" t="str">
        <f>_xlfn.IFNA(VLOOKUP(E1676,'Data Kyu'!$A$6:$I$471,2,0),"")</f>
        <v/>
      </c>
      <c r="G1678" s="168"/>
      <c r="H1678" s="168"/>
      <c r="I1678" s="168"/>
      <c r="J1678" s="168"/>
      <c r="K1678" s="169"/>
      <c r="L1678" s="146"/>
      <c r="M1678" s="147"/>
      <c r="N1678" s="173" t="s">
        <v>6</v>
      </c>
      <c r="O1678" s="159"/>
      <c r="P1678" s="57"/>
      <c r="Q1678" s="159" t="s">
        <v>7</v>
      </c>
      <c r="R1678" s="159"/>
      <c r="S1678" s="57"/>
      <c r="T1678" s="159" t="s">
        <v>8</v>
      </c>
      <c r="U1678" s="160"/>
      <c r="V1678" s="175"/>
      <c r="X1678" s="214"/>
    </row>
    <row r="1679" spans="2:24" ht="10.95" customHeight="1" x14ac:dyDescent="0.25">
      <c r="B1679" s="54"/>
      <c r="C1679" s="76"/>
      <c r="D1679" s="56"/>
      <c r="E1679" s="156"/>
      <c r="F1679" s="170"/>
      <c r="G1679" s="171"/>
      <c r="H1679" s="171"/>
      <c r="I1679" s="171"/>
      <c r="J1679" s="171"/>
      <c r="K1679" s="172"/>
      <c r="L1679" s="148"/>
      <c r="M1679" s="144"/>
      <c r="N1679" s="174"/>
      <c r="O1679" s="161"/>
      <c r="P1679" s="27"/>
      <c r="Q1679" s="161"/>
      <c r="R1679" s="161"/>
      <c r="S1679" s="27"/>
      <c r="T1679" s="161"/>
      <c r="U1679" s="162"/>
      <c r="V1679" s="176"/>
      <c r="X1679" s="214"/>
    </row>
    <row r="1680" spans="2:24" ht="10.95" customHeight="1" x14ac:dyDescent="0.25">
      <c r="B1680" s="41"/>
      <c r="C1680" s="77"/>
      <c r="D1680" s="42"/>
      <c r="E1680" s="154">
        <f t="shared" ref="E1680" si="92">E1676+1</f>
        <v>217</v>
      </c>
      <c r="F1680" s="145" t="str">
        <f>_xlfn.IFNA(VLOOKUP(E1680,'Data Kyu'!$A$6:$I$471,3,0),"")</f>
        <v/>
      </c>
      <c r="G1680" s="142"/>
      <c r="H1680" s="66"/>
      <c r="I1680" s="66"/>
      <c r="J1680" s="66"/>
      <c r="K1680" s="66"/>
      <c r="L1680" s="145" t="str">
        <f>_xlfn.IFNA(VLOOKUP(E1680,'Data Kyu'!$A$6:$I$471,9,0),"")</f>
        <v/>
      </c>
      <c r="M1680" s="142"/>
      <c r="N1680" s="145" t="str">
        <f>_xlfn.IFNA(VLOOKUP(E1680,'Data Kyu'!$A$6:$I$471,6,0),"")</f>
        <v/>
      </c>
      <c r="O1680" s="141"/>
      <c r="P1680" s="139" t="s">
        <v>5</v>
      </c>
      <c r="Q1680" s="141" t="str">
        <f>_xlfn.IFNA(VLOOKUP(E1680,'Data Kyu'!$A$6:$I$471,7,0),"")</f>
        <v/>
      </c>
      <c r="R1680" s="141"/>
      <c r="S1680" s="139" t="s">
        <v>5</v>
      </c>
      <c r="T1680" s="141" t="str">
        <f>_xlfn.IFNA(VLOOKUP(E1680,'Data Kyu'!$A$6:$I$471,8,0),"")</f>
        <v/>
      </c>
      <c r="U1680" s="142"/>
      <c r="V1680" s="142" t="str">
        <f>_xlfn.IFNA(VLOOKUP(E1680,'Data Kyu'!$A$6:$I$471,4,0),"")</f>
        <v/>
      </c>
      <c r="X1680" s="214" t="str">
        <f>_xlfn.IFNA(VLOOKUP(F1680,'Data Kyu'!$C$6:$N$997,12,0),"No Data")</f>
        <v>No Data</v>
      </c>
    </row>
    <row r="1681" spans="2:24" ht="10.95" customHeight="1" x14ac:dyDescent="0.25">
      <c r="B1681" s="52"/>
      <c r="C1681" s="165" t="str">
        <f>IF(X1680="LULUS","V","")</f>
        <v/>
      </c>
      <c r="D1681" s="53"/>
      <c r="E1681" s="155"/>
      <c r="F1681" s="148"/>
      <c r="G1681" s="144"/>
      <c r="H1681" s="67"/>
      <c r="I1681" s="67"/>
      <c r="J1681" s="67"/>
      <c r="K1681" s="67"/>
      <c r="L1681" s="146"/>
      <c r="M1681" s="147"/>
      <c r="N1681" s="148"/>
      <c r="O1681" s="143"/>
      <c r="P1681" s="140"/>
      <c r="Q1681" s="143"/>
      <c r="R1681" s="143"/>
      <c r="S1681" s="140"/>
      <c r="T1681" s="143"/>
      <c r="U1681" s="144"/>
      <c r="V1681" s="147"/>
      <c r="X1681" s="214"/>
    </row>
    <row r="1682" spans="2:24" ht="10.95" customHeight="1" x14ac:dyDescent="0.25">
      <c r="B1682" s="52"/>
      <c r="C1682" s="166"/>
      <c r="D1682" s="53"/>
      <c r="E1682" s="155"/>
      <c r="F1682" s="167" t="str">
        <f>_xlfn.IFNA(VLOOKUP(E1680,'Data Kyu'!$A$6:$I$471,2,0),"")</f>
        <v/>
      </c>
      <c r="G1682" s="168"/>
      <c r="H1682" s="168"/>
      <c r="I1682" s="168"/>
      <c r="J1682" s="168"/>
      <c r="K1682" s="169"/>
      <c r="L1682" s="146"/>
      <c r="M1682" s="147"/>
      <c r="N1682" s="173" t="s">
        <v>6</v>
      </c>
      <c r="O1682" s="159"/>
      <c r="P1682" s="57"/>
      <c r="Q1682" s="159" t="s">
        <v>7</v>
      </c>
      <c r="R1682" s="159"/>
      <c r="S1682" s="57"/>
      <c r="T1682" s="159" t="s">
        <v>8</v>
      </c>
      <c r="U1682" s="160"/>
      <c r="V1682" s="175"/>
      <c r="X1682" s="214"/>
    </row>
    <row r="1683" spans="2:24" ht="10.95" customHeight="1" x14ac:dyDescent="0.25">
      <c r="B1683" s="54"/>
      <c r="C1683" s="76"/>
      <c r="D1683" s="56"/>
      <c r="E1683" s="156"/>
      <c r="F1683" s="170"/>
      <c r="G1683" s="171"/>
      <c r="H1683" s="171"/>
      <c r="I1683" s="171"/>
      <c r="J1683" s="171"/>
      <c r="K1683" s="172"/>
      <c r="L1683" s="148"/>
      <c r="M1683" s="144"/>
      <c r="N1683" s="174"/>
      <c r="O1683" s="161"/>
      <c r="P1683" s="27"/>
      <c r="Q1683" s="161"/>
      <c r="R1683" s="161"/>
      <c r="S1683" s="27"/>
      <c r="T1683" s="161"/>
      <c r="U1683" s="162"/>
      <c r="V1683" s="176"/>
      <c r="X1683" s="214"/>
    </row>
    <row r="1684" spans="2:24" ht="10.95" customHeight="1" x14ac:dyDescent="0.25">
      <c r="B1684" s="41"/>
      <c r="C1684" s="77"/>
      <c r="D1684" s="42"/>
      <c r="E1684" s="154">
        <f t="shared" ref="E1684" si="93">E1680+1</f>
        <v>218</v>
      </c>
      <c r="F1684" s="145" t="str">
        <f>_xlfn.IFNA(VLOOKUP(E1684,'Data Kyu'!$A$6:$I$471,3,0),"")</f>
        <v/>
      </c>
      <c r="G1684" s="142"/>
      <c r="H1684" s="66"/>
      <c r="I1684" s="66"/>
      <c r="J1684" s="66"/>
      <c r="K1684" s="66"/>
      <c r="L1684" s="145" t="str">
        <f>_xlfn.IFNA(VLOOKUP(E1684,'Data Kyu'!$A$6:$I$471,9,0),"")</f>
        <v/>
      </c>
      <c r="M1684" s="142"/>
      <c r="N1684" s="145" t="str">
        <f>_xlfn.IFNA(VLOOKUP(E1684,'Data Kyu'!$A$6:$I$471,6,0),"")</f>
        <v/>
      </c>
      <c r="O1684" s="141"/>
      <c r="P1684" s="139" t="s">
        <v>5</v>
      </c>
      <c r="Q1684" s="141" t="str">
        <f>_xlfn.IFNA(VLOOKUP(E1684,'Data Kyu'!$A$6:$I$471,7,0),"")</f>
        <v/>
      </c>
      <c r="R1684" s="141"/>
      <c r="S1684" s="139" t="s">
        <v>5</v>
      </c>
      <c r="T1684" s="141" t="str">
        <f>_xlfn.IFNA(VLOOKUP(E1684,'Data Kyu'!$A$6:$I$471,8,0),"")</f>
        <v/>
      </c>
      <c r="U1684" s="142"/>
      <c r="V1684" s="142" t="str">
        <f>_xlfn.IFNA(VLOOKUP(E1684,'Data Kyu'!$A$6:$I$471,4,0),"")</f>
        <v/>
      </c>
      <c r="X1684" s="214" t="str">
        <f>_xlfn.IFNA(VLOOKUP(F1684,'Data Kyu'!$C$6:$N$997,12,0),"No Data")</f>
        <v>No Data</v>
      </c>
    </row>
    <row r="1685" spans="2:24" ht="10.95" customHeight="1" x14ac:dyDescent="0.25">
      <c r="B1685" s="52"/>
      <c r="C1685" s="165" t="str">
        <f>IF(X1684="LULUS","V","")</f>
        <v/>
      </c>
      <c r="D1685" s="53"/>
      <c r="E1685" s="155"/>
      <c r="F1685" s="148"/>
      <c r="G1685" s="144"/>
      <c r="H1685" s="67"/>
      <c r="I1685" s="67"/>
      <c r="J1685" s="67"/>
      <c r="K1685" s="67"/>
      <c r="L1685" s="146"/>
      <c r="M1685" s="147"/>
      <c r="N1685" s="148"/>
      <c r="O1685" s="143"/>
      <c r="P1685" s="140"/>
      <c r="Q1685" s="143"/>
      <c r="R1685" s="143"/>
      <c r="S1685" s="140"/>
      <c r="T1685" s="143"/>
      <c r="U1685" s="144"/>
      <c r="V1685" s="147"/>
      <c r="X1685" s="214"/>
    </row>
    <row r="1686" spans="2:24" ht="10.95" customHeight="1" x14ac:dyDescent="0.25">
      <c r="B1686" s="52"/>
      <c r="C1686" s="166"/>
      <c r="D1686" s="53"/>
      <c r="E1686" s="155"/>
      <c r="F1686" s="167" t="str">
        <f>_xlfn.IFNA(VLOOKUP(E1684,'Data Kyu'!$A$6:$I$471,2,0),"")</f>
        <v/>
      </c>
      <c r="G1686" s="168"/>
      <c r="H1686" s="168"/>
      <c r="I1686" s="168"/>
      <c r="J1686" s="168"/>
      <c r="K1686" s="169"/>
      <c r="L1686" s="146"/>
      <c r="M1686" s="147"/>
      <c r="N1686" s="173" t="s">
        <v>6</v>
      </c>
      <c r="O1686" s="159"/>
      <c r="P1686" s="57"/>
      <c r="Q1686" s="159" t="s">
        <v>7</v>
      </c>
      <c r="R1686" s="159"/>
      <c r="S1686" s="57"/>
      <c r="T1686" s="159" t="s">
        <v>8</v>
      </c>
      <c r="U1686" s="160"/>
      <c r="V1686" s="175"/>
      <c r="X1686" s="214"/>
    </row>
    <row r="1687" spans="2:24" ht="10.95" customHeight="1" x14ac:dyDescent="0.25">
      <c r="B1687" s="54"/>
      <c r="C1687" s="76"/>
      <c r="D1687" s="56"/>
      <c r="E1687" s="156"/>
      <c r="F1687" s="170"/>
      <c r="G1687" s="171"/>
      <c r="H1687" s="171"/>
      <c r="I1687" s="171"/>
      <c r="J1687" s="171"/>
      <c r="K1687" s="172"/>
      <c r="L1687" s="148"/>
      <c r="M1687" s="144"/>
      <c r="N1687" s="174"/>
      <c r="O1687" s="161"/>
      <c r="P1687" s="27"/>
      <c r="Q1687" s="161"/>
      <c r="R1687" s="161"/>
      <c r="S1687" s="27"/>
      <c r="T1687" s="161"/>
      <c r="U1687" s="162"/>
      <c r="V1687" s="176"/>
      <c r="X1687" s="214"/>
    </row>
    <row r="1688" spans="2:24" ht="10.95" customHeight="1" x14ac:dyDescent="0.25">
      <c r="B1688" s="41"/>
      <c r="C1688" s="77"/>
      <c r="D1688" s="42"/>
      <c r="E1688" s="154">
        <f t="shared" ref="E1688" si="94">E1684+1</f>
        <v>219</v>
      </c>
      <c r="F1688" s="145" t="str">
        <f>_xlfn.IFNA(VLOOKUP(E1688,'Data Kyu'!$A$6:$I$471,3,0),"")</f>
        <v/>
      </c>
      <c r="G1688" s="142"/>
      <c r="H1688" s="66"/>
      <c r="I1688" s="66"/>
      <c r="J1688" s="66"/>
      <c r="K1688" s="66"/>
      <c r="L1688" s="145" t="str">
        <f>_xlfn.IFNA(VLOOKUP(E1688,'Data Kyu'!$A$6:$I$471,9,0),"")</f>
        <v/>
      </c>
      <c r="M1688" s="142"/>
      <c r="N1688" s="145" t="str">
        <f>_xlfn.IFNA(VLOOKUP(E1688,'Data Kyu'!$A$6:$I$471,6,0),"")</f>
        <v/>
      </c>
      <c r="O1688" s="141"/>
      <c r="P1688" s="139" t="s">
        <v>5</v>
      </c>
      <c r="Q1688" s="141" t="str">
        <f>_xlfn.IFNA(VLOOKUP(E1688,'Data Kyu'!$A$6:$I$471,7,0),"")</f>
        <v/>
      </c>
      <c r="R1688" s="141"/>
      <c r="S1688" s="139" t="s">
        <v>5</v>
      </c>
      <c r="T1688" s="141" t="str">
        <f>_xlfn.IFNA(VLOOKUP(E1688,'Data Kyu'!$A$6:$I$471,8,0),"")</f>
        <v/>
      </c>
      <c r="U1688" s="142"/>
      <c r="V1688" s="142" t="str">
        <f>_xlfn.IFNA(VLOOKUP(E1688,'Data Kyu'!$A$6:$I$471,4,0),"")</f>
        <v/>
      </c>
      <c r="X1688" s="214" t="str">
        <f>_xlfn.IFNA(VLOOKUP(F1688,'Data Kyu'!$C$6:$N$997,12,0),"No Data")</f>
        <v>No Data</v>
      </c>
    </row>
    <row r="1689" spans="2:24" ht="10.95" customHeight="1" x14ac:dyDescent="0.25">
      <c r="B1689" s="52"/>
      <c r="C1689" s="165" t="str">
        <f>IF(X1688="LULUS","V","")</f>
        <v/>
      </c>
      <c r="D1689" s="53"/>
      <c r="E1689" s="155"/>
      <c r="F1689" s="148"/>
      <c r="G1689" s="144"/>
      <c r="H1689" s="67"/>
      <c r="I1689" s="67"/>
      <c r="J1689" s="67"/>
      <c r="K1689" s="67"/>
      <c r="L1689" s="146"/>
      <c r="M1689" s="147"/>
      <c r="N1689" s="148"/>
      <c r="O1689" s="143"/>
      <c r="P1689" s="140"/>
      <c r="Q1689" s="143"/>
      <c r="R1689" s="143"/>
      <c r="S1689" s="140"/>
      <c r="T1689" s="143"/>
      <c r="U1689" s="144"/>
      <c r="V1689" s="147"/>
      <c r="X1689" s="214"/>
    </row>
    <row r="1690" spans="2:24" ht="10.95" customHeight="1" x14ac:dyDescent="0.25">
      <c r="B1690" s="52"/>
      <c r="C1690" s="166"/>
      <c r="D1690" s="53"/>
      <c r="E1690" s="155"/>
      <c r="F1690" s="167" t="str">
        <f>_xlfn.IFNA(VLOOKUP(E1688,'Data Kyu'!$A$6:$I$471,2,0),"")</f>
        <v/>
      </c>
      <c r="G1690" s="168"/>
      <c r="H1690" s="168"/>
      <c r="I1690" s="168"/>
      <c r="J1690" s="168"/>
      <c r="K1690" s="169"/>
      <c r="L1690" s="146"/>
      <c r="M1690" s="147"/>
      <c r="N1690" s="173" t="s">
        <v>6</v>
      </c>
      <c r="O1690" s="159"/>
      <c r="P1690" s="57"/>
      <c r="Q1690" s="159" t="s">
        <v>7</v>
      </c>
      <c r="R1690" s="159"/>
      <c r="S1690" s="57"/>
      <c r="T1690" s="159" t="s">
        <v>8</v>
      </c>
      <c r="U1690" s="160"/>
      <c r="V1690" s="175"/>
      <c r="X1690" s="214"/>
    </row>
    <row r="1691" spans="2:24" ht="10.95" customHeight="1" x14ac:dyDescent="0.25">
      <c r="B1691" s="54"/>
      <c r="C1691" s="76"/>
      <c r="D1691" s="56"/>
      <c r="E1691" s="156"/>
      <c r="F1691" s="170"/>
      <c r="G1691" s="171"/>
      <c r="H1691" s="171"/>
      <c r="I1691" s="171"/>
      <c r="J1691" s="171"/>
      <c r="K1691" s="172"/>
      <c r="L1691" s="148"/>
      <c r="M1691" s="144"/>
      <c r="N1691" s="174"/>
      <c r="O1691" s="161"/>
      <c r="P1691" s="27"/>
      <c r="Q1691" s="161"/>
      <c r="R1691" s="161"/>
      <c r="S1691" s="27"/>
      <c r="T1691" s="161"/>
      <c r="U1691" s="162"/>
      <c r="V1691" s="176"/>
      <c r="X1691" s="214"/>
    </row>
    <row r="1692" spans="2:24" ht="10.95" customHeight="1" x14ac:dyDescent="0.25">
      <c r="B1692" s="41"/>
      <c r="C1692" s="77"/>
      <c r="D1692" s="42"/>
      <c r="E1692" s="154">
        <f t="shared" ref="E1692" si="95">E1688+1</f>
        <v>220</v>
      </c>
      <c r="F1692" s="145" t="str">
        <f>_xlfn.IFNA(VLOOKUP(E1692,'Data Kyu'!$A$6:$I$471,3,0),"")</f>
        <v/>
      </c>
      <c r="G1692" s="142"/>
      <c r="H1692" s="66"/>
      <c r="I1692" s="66"/>
      <c r="J1692" s="66"/>
      <c r="K1692" s="66"/>
      <c r="L1692" s="145" t="str">
        <f>_xlfn.IFNA(VLOOKUP(E1692,'Data Kyu'!$A$6:$I$471,9,0),"")</f>
        <v/>
      </c>
      <c r="M1692" s="142"/>
      <c r="N1692" s="145" t="str">
        <f>_xlfn.IFNA(VLOOKUP(E1692,'Data Kyu'!$A$6:$I$471,6,0),"")</f>
        <v/>
      </c>
      <c r="O1692" s="141"/>
      <c r="P1692" s="139" t="s">
        <v>5</v>
      </c>
      <c r="Q1692" s="141" t="str">
        <f>_xlfn.IFNA(VLOOKUP(E1692,'Data Kyu'!$A$6:$I$471,7,0),"")</f>
        <v/>
      </c>
      <c r="R1692" s="141"/>
      <c r="S1692" s="139" t="s">
        <v>5</v>
      </c>
      <c r="T1692" s="141" t="str">
        <f>_xlfn.IFNA(VLOOKUP(E1692,'Data Kyu'!$A$6:$I$471,8,0),"")</f>
        <v/>
      </c>
      <c r="U1692" s="142"/>
      <c r="V1692" s="142" t="str">
        <f>_xlfn.IFNA(VLOOKUP(E1692,'Data Kyu'!$A$6:$I$471,4,0),"")</f>
        <v/>
      </c>
      <c r="X1692" s="214" t="str">
        <f>_xlfn.IFNA(VLOOKUP(F1692,'Data Kyu'!$C$6:$N$997,12,0),"No Data")</f>
        <v>No Data</v>
      </c>
    </row>
    <row r="1693" spans="2:24" ht="10.95" customHeight="1" x14ac:dyDescent="0.25">
      <c r="B1693" s="52"/>
      <c r="C1693" s="165" t="str">
        <f>IF(X1692="LULUS","V","")</f>
        <v/>
      </c>
      <c r="D1693" s="53"/>
      <c r="E1693" s="155"/>
      <c r="F1693" s="148"/>
      <c r="G1693" s="144"/>
      <c r="H1693" s="67"/>
      <c r="I1693" s="67"/>
      <c r="J1693" s="67"/>
      <c r="K1693" s="67"/>
      <c r="L1693" s="146"/>
      <c r="M1693" s="147"/>
      <c r="N1693" s="148"/>
      <c r="O1693" s="143"/>
      <c r="P1693" s="140"/>
      <c r="Q1693" s="143"/>
      <c r="R1693" s="143"/>
      <c r="S1693" s="140"/>
      <c r="T1693" s="143"/>
      <c r="U1693" s="144"/>
      <c r="V1693" s="147"/>
      <c r="X1693" s="214"/>
    </row>
    <row r="1694" spans="2:24" ht="10.95" customHeight="1" x14ac:dyDescent="0.25">
      <c r="B1694" s="52"/>
      <c r="C1694" s="166"/>
      <c r="D1694" s="53"/>
      <c r="E1694" s="155"/>
      <c r="F1694" s="167" t="str">
        <f>_xlfn.IFNA(VLOOKUP(E1692,'Data Kyu'!$A$6:$I$471,2,0),"")</f>
        <v/>
      </c>
      <c r="G1694" s="168"/>
      <c r="H1694" s="168"/>
      <c r="I1694" s="168"/>
      <c r="J1694" s="168"/>
      <c r="K1694" s="169"/>
      <c r="L1694" s="146"/>
      <c r="M1694" s="147"/>
      <c r="N1694" s="173" t="s">
        <v>6</v>
      </c>
      <c r="O1694" s="159"/>
      <c r="P1694" s="57"/>
      <c r="Q1694" s="159" t="s">
        <v>7</v>
      </c>
      <c r="R1694" s="159"/>
      <c r="S1694" s="57"/>
      <c r="T1694" s="159" t="s">
        <v>8</v>
      </c>
      <c r="U1694" s="160"/>
      <c r="V1694" s="175"/>
      <c r="X1694" s="214"/>
    </row>
    <row r="1695" spans="2:24" ht="10.95" customHeight="1" x14ac:dyDescent="0.25">
      <c r="B1695" s="54"/>
      <c r="C1695" s="55"/>
      <c r="D1695" s="56"/>
      <c r="E1695" s="156"/>
      <c r="F1695" s="170"/>
      <c r="G1695" s="171"/>
      <c r="H1695" s="171"/>
      <c r="I1695" s="171"/>
      <c r="J1695" s="171"/>
      <c r="K1695" s="172"/>
      <c r="L1695" s="148"/>
      <c r="M1695" s="144"/>
      <c r="N1695" s="174"/>
      <c r="O1695" s="161"/>
      <c r="P1695" s="27"/>
      <c r="Q1695" s="161"/>
      <c r="R1695" s="161"/>
      <c r="S1695" s="27"/>
      <c r="T1695" s="161"/>
      <c r="U1695" s="162"/>
      <c r="V1695" s="176"/>
      <c r="X1695" s="214"/>
    </row>
    <row r="1696" spans="2:24" ht="7.5" customHeight="1" x14ac:dyDescent="0.25"/>
    <row r="1697" spans="2:24" s="34" customFormat="1" x14ac:dyDescent="0.25">
      <c r="E1697" s="35" t="s">
        <v>30</v>
      </c>
      <c r="K1697" s="35" t="s">
        <v>28</v>
      </c>
    </row>
    <row r="1698" spans="2:24" x14ac:dyDescent="0.25">
      <c r="E1698" s="33" t="s">
        <v>31</v>
      </c>
      <c r="F1698" s="149"/>
      <c r="G1698" s="149"/>
      <c r="H1698" s="149"/>
      <c r="I1698" s="149"/>
      <c r="J1698" s="149"/>
      <c r="K1698" s="33" t="s">
        <v>29</v>
      </c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</row>
    <row r="1699" spans="2:24" ht="6.75" customHeight="1" x14ac:dyDescent="0.25">
      <c r="F1699" s="34"/>
      <c r="G1699" s="34"/>
      <c r="H1699" s="34"/>
      <c r="I1699" s="34"/>
      <c r="J1699" s="34"/>
    </row>
    <row r="1700" spans="2:24" s="34" customFormat="1" x14ac:dyDescent="0.25">
      <c r="E1700" s="35" t="s">
        <v>32</v>
      </c>
      <c r="K1700" s="35" t="s">
        <v>36</v>
      </c>
    </row>
    <row r="1701" spans="2:24" x14ac:dyDescent="0.25">
      <c r="E1701" s="33" t="s">
        <v>33</v>
      </c>
      <c r="F1701" s="149"/>
      <c r="G1701" s="149"/>
      <c r="H1701" s="149"/>
      <c r="I1701" s="149"/>
      <c r="J1701" s="149"/>
      <c r="K1701" s="33" t="s">
        <v>29</v>
      </c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</row>
    <row r="1702" spans="2:24" ht="6.75" customHeight="1" x14ac:dyDescent="0.25">
      <c r="F1702" s="34"/>
      <c r="G1702" s="34"/>
      <c r="H1702" s="34"/>
      <c r="I1702" s="34"/>
      <c r="J1702" s="34"/>
    </row>
    <row r="1703" spans="2:24" s="34" customFormat="1" ht="13.8" x14ac:dyDescent="0.25">
      <c r="E1703" s="35" t="s">
        <v>34</v>
      </c>
      <c r="F1703" s="177" t="str">
        <f>IF(F1656&lt;&gt;"",$F$65,"")</f>
        <v/>
      </c>
      <c r="G1703" s="177"/>
      <c r="H1703" s="177"/>
      <c r="I1703" s="177"/>
      <c r="J1703" s="177"/>
      <c r="K1703" s="35" t="s">
        <v>28</v>
      </c>
      <c r="X1703" s="70" t="s">
        <v>107</v>
      </c>
    </row>
    <row r="1704" spans="2:24" ht="13.8" x14ac:dyDescent="0.25">
      <c r="E1704" s="33" t="s">
        <v>35</v>
      </c>
      <c r="F1704" s="178"/>
      <c r="G1704" s="178"/>
      <c r="H1704" s="178"/>
      <c r="I1704" s="178"/>
      <c r="J1704" s="178"/>
      <c r="K1704" s="33" t="s">
        <v>29</v>
      </c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X1704" s="70" t="s">
        <v>105</v>
      </c>
    </row>
    <row r="1705" spans="2:24" ht="12.75" customHeight="1" thickBot="1" x14ac:dyDescent="0.3"/>
    <row r="1706" spans="2:24" ht="13.8" thickTop="1" x14ac:dyDescent="0.25">
      <c r="B1706" s="34" t="s">
        <v>37</v>
      </c>
      <c r="C1706" s="34"/>
      <c r="D1706" s="34"/>
      <c r="H1706" s="150" t="s">
        <v>40</v>
      </c>
      <c r="I1706" s="151"/>
      <c r="J1706" s="151"/>
      <c r="K1706" s="151"/>
      <c r="L1706" s="151"/>
      <c r="M1706" s="151"/>
      <c r="N1706" s="151"/>
      <c r="O1706" s="151"/>
      <c r="P1706" s="151"/>
      <c r="Q1706" s="151"/>
      <c r="R1706" s="151"/>
      <c r="S1706" s="151"/>
      <c r="T1706" s="151"/>
      <c r="U1706" s="151"/>
      <c r="V1706" s="151"/>
    </row>
    <row r="1707" spans="2:24" x14ac:dyDescent="0.25">
      <c r="B1707" s="34" t="s">
        <v>38</v>
      </c>
      <c r="C1707" s="34"/>
      <c r="D1707" s="34"/>
      <c r="H1707" s="152"/>
      <c r="I1707" s="153"/>
      <c r="J1707" s="153"/>
      <c r="K1707" s="153"/>
      <c r="L1707" s="153"/>
      <c r="M1707" s="153"/>
      <c r="N1707" s="153"/>
      <c r="O1707" s="153"/>
      <c r="P1707" s="153"/>
      <c r="Q1707" s="153"/>
      <c r="R1707" s="153"/>
      <c r="S1707" s="153"/>
      <c r="T1707" s="153"/>
      <c r="U1707" s="153"/>
      <c r="V1707" s="153"/>
    </row>
    <row r="1708" spans="2:24" ht="12.75" customHeight="1" x14ac:dyDescent="0.25">
      <c r="B1708" s="163" t="s">
        <v>39</v>
      </c>
      <c r="C1708" s="163"/>
      <c r="D1708" s="163"/>
      <c r="E1708" s="163"/>
      <c r="F1708" s="163"/>
      <c r="H1708" s="37" t="s">
        <v>41</v>
      </c>
    </row>
    <row r="1709" spans="2:24" ht="13.8" x14ac:dyDescent="0.25">
      <c r="B1709" s="163"/>
      <c r="C1709" s="163"/>
      <c r="D1709" s="163"/>
      <c r="E1709" s="163"/>
      <c r="F1709" s="163"/>
      <c r="H1709" s="38" t="s">
        <v>42</v>
      </c>
    </row>
    <row r="1710" spans="2:24" x14ac:dyDescent="0.25">
      <c r="B1710" s="163"/>
      <c r="C1710" s="163"/>
      <c r="D1710" s="163"/>
      <c r="E1710" s="163"/>
      <c r="F1710" s="163"/>
      <c r="H1710" s="36"/>
    </row>
    <row r="1711" spans="2:24" x14ac:dyDescent="0.25">
      <c r="B1711" s="163"/>
      <c r="C1711" s="163"/>
      <c r="D1711" s="163"/>
      <c r="E1711" s="163"/>
      <c r="F1711" s="163"/>
      <c r="H1711" s="36"/>
    </row>
    <row r="1712" spans="2:24" x14ac:dyDescent="0.25">
      <c r="H1712" s="36"/>
    </row>
    <row r="1713" spans="2:24" x14ac:dyDescent="0.25">
      <c r="H1713" s="36"/>
    </row>
    <row r="1714" spans="2:24" x14ac:dyDescent="0.25">
      <c r="H1714" s="36"/>
    </row>
    <row r="1715" spans="2:24" x14ac:dyDescent="0.25">
      <c r="H1715" s="36"/>
    </row>
    <row r="1716" spans="2:24" ht="13.8" x14ac:dyDescent="0.25">
      <c r="H1716" s="157" t="str">
        <f>IF(F1656&lt;&gt;"",$H$78,"")</f>
        <v/>
      </c>
      <c r="I1716" s="158"/>
      <c r="J1716" s="158"/>
      <c r="K1716" s="158"/>
      <c r="L1716" s="158"/>
      <c r="M1716" s="158"/>
      <c r="N1716" s="158"/>
      <c r="O1716" s="158"/>
      <c r="P1716" s="158"/>
      <c r="Q1716" s="158"/>
      <c r="R1716" s="158"/>
      <c r="S1716" s="158"/>
      <c r="T1716" s="158"/>
      <c r="U1716" s="158"/>
      <c r="V1716" s="158"/>
    </row>
    <row r="1717" spans="2:24" x14ac:dyDescent="0.25">
      <c r="H1717" s="36"/>
    </row>
    <row r="1718" spans="2:24" ht="28.5" customHeight="1" x14ac:dyDescent="0.3">
      <c r="B1718" s="193" t="s">
        <v>43</v>
      </c>
      <c r="C1718" s="193"/>
      <c r="D1718" s="193"/>
      <c r="E1718" s="194"/>
      <c r="F1718" s="194"/>
      <c r="G1718" s="194"/>
      <c r="H1718" s="194"/>
      <c r="I1718" s="2"/>
      <c r="J1718" s="2"/>
      <c r="K1718" s="13" t="s">
        <v>25</v>
      </c>
      <c r="L1718" s="195" t="s">
        <v>14</v>
      </c>
      <c r="M1718" s="196"/>
      <c r="N1718" s="196"/>
      <c r="O1718" s="196"/>
      <c r="P1718" s="196"/>
      <c r="Q1718" s="196"/>
      <c r="R1718" s="196"/>
      <c r="S1718" s="196"/>
      <c r="T1718" s="196"/>
      <c r="U1718" s="196"/>
      <c r="V1718" s="197"/>
      <c r="X1718" s="1"/>
    </row>
    <row r="1719" spans="2:24" ht="26.25" customHeight="1" x14ac:dyDescent="0.4">
      <c r="B1719" s="39" t="s">
        <v>44</v>
      </c>
      <c r="C1719" s="39"/>
      <c r="D1719" s="39"/>
      <c r="E1719" s="2"/>
      <c r="F1719" s="2"/>
      <c r="G1719" s="2"/>
      <c r="H1719" s="2"/>
      <c r="I1719" s="2"/>
      <c r="J1719" s="2"/>
      <c r="K1719" s="29" t="s">
        <v>13</v>
      </c>
      <c r="L1719" s="15">
        <v>4</v>
      </c>
      <c r="M1719" s="16">
        <v>1</v>
      </c>
      <c r="N1719" s="15">
        <v>0</v>
      </c>
      <c r="O1719" s="198">
        <v>0</v>
      </c>
      <c r="P1719" s="199"/>
      <c r="Q1719" s="14">
        <v>0</v>
      </c>
      <c r="R1719" s="200">
        <v>1</v>
      </c>
      <c r="S1719" s="201"/>
      <c r="T1719" s="6"/>
      <c r="U1719" s="6"/>
      <c r="V1719" s="7"/>
      <c r="X1719" s="1"/>
    </row>
    <row r="1720" spans="2:24" ht="21" customHeight="1" x14ac:dyDescent="0.25">
      <c r="B1720" s="26" t="s">
        <v>45</v>
      </c>
      <c r="C1720" s="26"/>
      <c r="D1720" s="26"/>
      <c r="E1720" s="25"/>
      <c r="F1720" s="25"/>
      <c r="G1720" s="25"/>
      <c r="H1720" s="25"/>
      <c r="I1720" s="25"/>
      <c r="J1720" s="25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X1720" s="1"/>
    </row>
    <row r="1721" spans="2:24" ht="13.5" customHeight="1" x14ac:dyDescent="0.25">
      <c r="B1721" s="40" t="s">
        <v>24</v>
      </c>
      <c r="C1721" s="40"/>
      <c r="D1721" s="40"/>
      <c r="E1721" s="25"/>
      <c r="F1721" s="25"/>
      <c r="G1721" s="25"/>
      <c r="H1721" s="25"/>
      <c r="I1721" s="25"/>
      <c r="J1721" s="25"/>
      <c r="K1721" s="28" t="s">
        <v>6</v>
      </c>
      <c r="L1721" s="202" t="str">
        <f>IF(F1734&lt;&gt;"",$L$5,"")</f>
        <v/>
      </c>
      <c r="M1721" s="203"/>
      <c r="N1721" s="204" t="s">
        <v>15</v>
      </c>
      <c r="O1721" s="204"/>
      <c r="P1721" s="204"/>
      <c r="Q1721" s="205" t="str">
        <f>IF(F1734&lt;&gt;"",$Q$5,"")</f>
        <v/>
      </c>
      <c r="R1721" s="206"/>
      <c r="S1721" s="207" t="s">
        <v>16</v>
      </c>
      <c r="T1721" s="204"/>
      <c r="U1721" s="82" t="str">
        <f>IF(F1734&lt;&gt;"",$U$5,"")</f>
        <v/>
      </c>
      <c r="V1721" s="63"/>
      <c r="X1721" s="1"/>
    </row>
    <row r="1722" spans="2:24" ht="8.25" customHeight="1" x14ac:dyDescent="0.25"/>
    <row r="1723" spans="2:24" ht="11.25" customHeight="1" x14ac:dyDescent="0.25">
      <c r="B1723" s="24" t="s">
        <v>17</v>
      </c>
      <c r="C1723" s="24"/>
      <c r="D1723" s="24"/>
    </row>
    <row r="1724" spans="2:24" ht="11.25" customHeight="1" x14ac:dyDescent="0.25">
      <c r="B1724" s="8" t="s">
        <v>18</v>
      </c>
      <c r="C1724" s="8"/>
      <c r="D1724" s="8"/>
    </row>
    <row r="1725" spans="2:24" ht="5.25" customHeight="1" x14ac:dyDescent="0.25">
      <c r="B1725" s="8"/>
      <c r="C1725" s="8"/>
      <c r="D1725" s="8"/>
    </row>
    <row r="1726" spans="2:24" x14ac:dyDescent="0.25">
      <c r="B1726" s="179" t="s">
        <v>19</v>
      </c>
      <c r="C1726" s="179"/>
      <c r="D1726" s="179"/>
      <c r="E1726" s="179"/>
      <c r="F1726" s="179"/>
      <c r="G1726" s="18" t="s">
        <v>6</v>
      </c>
      <c r="H1726" s="64" t="str">
        <f>IF(F1734&lt;&gt;"",$H$10,"")</f>
        <v/>
      </c>
      <c r="I1726" s="9" t="s">
        <v>15</v>
      </c>
      <c r="J1726" s="83" t="str">
        <f>IF(F1734&lt;&gt;"",$J$10,"")</f>
        <v/>
      </c>
      <c r="K1726" s="9" t="s">
        <v>16</v>
      </c>
      <c r="L1726" s="180" t="str">
        <f>IF(F1734&lt;&gt;"",$L$10,"")</f>
        <v/>
      </c>
      <c r="M1726" s="181"/>
      <c r="X1726" s="32"/>
    </row>
    <row r="1727" spans="2:24" ht="5.25" customHeight="1" x14ac:dyDescent="0.25">
      <c r="B1727" s="8"/>
      <c r="C1727" s="8"/>
      <c r="D1727" s="8"/>
      <c r="E1727" s="8"/>
      <c r="F1727" s="8"/>
      <c r="G1727" s="19"/>
      <c r="H1727" s="20"/>
      <c r="I1727" s="21"/>
      <c r="J1727" s="20"/>
      <c r="K1727" s="10"/>
      <c r="L1727" s="22"/>
      <c r="X1727" s="32"/>
    </row>
    <row r="1728" spans="2:24" s="73" customFormat="1" ht="14.4" customHeight="1" x14ac:dyDescent="0.25">
      <c r="B1728" s="72" t="s">
        <v>20</v>
      </c>
      <c r="C1728" s="72"/>
      <c r="D1728" s="72"/>
      <c r="X1728" s="74"/>
    </row>
    <row r="1729" spans="2:24" s="73" customFormat="1" ht="14.4" customHeight="1" x14ac:dyDescent="0.25">
      <c r="B1729" s="75" t="s">
        <v>21</v>
      </c>
      <c r="C1729" s="10"/>
      <c r="D1729" s="10"/>
      <c r="E1729" s="22" t="s">
        <v>22</v>
      </c>
      <c r="X1729" s="74"/>
    </row>
    <row r="1730" spans="2:24" s="73" customFormat="1" ht="14.4" customHeight="1" x14ac:dyDescent="0.25">
      <c r="B1730" s="22"/>
      <c r="C1730" s="22"/>
      <c r="D1730" s="22"/>
      <c r="E1730" s="22" t="s">
        <v>23</v>
      </c>
      <c r="X1730" s="164" t="s">
        <v>102</v>
      </c>
    </row>
    <row r="1731" spans="2:24" ht="7.5" customHeight="1" x14ac:dyDescent="0.25">
      <c r="B1731" s="8"/>
      <c r="C1731" s="8"/>
      <c r="D1731" s="8"/>
      <c r="X1731" s="164"/>
    </row>
    <row r="1732" spans="2:24" ht="17.25" customHeight="1" x14ac:dyDescent="0.25">
      <c r="B1732" s="182"/>
      <c r="C1732" s="59"/>
      <c r="D1732" s="60"/>
      <c r="E1732" s="184" t="s">
        <v>0</v>
      </c>
      <c r="F1732" s="186" t="s">
        <v>1</v>
      </c>
      <c r="G1732" s="187"/>
      <c r="H1732" s="4"/>
      <c r="I1732" s="4"/>
      <c r="J1732" s="4"/>
      <c r="K1732" s="5"/>
      <c r="L1732" s="145" t="s">
        <v>3</v>
      </c>
      <c r="M1732" s="142"/>
      <c r="N1732" s="188" t="s">
        <v>10</v>
      </c>
      <c r="O1732" s="188"/>
      <c r="P1732" s="188"/>
      <c r="Q1732" s="188"/>
      <c r="R1732" s="188"/>
      <c r="S1732" s="188"/>
      <c r="T1732" s="188"/>
      <c r="U1732" s="189"/>
      <c r="V1732" s="3" t="s">
        <v>12</v>
      </c>
      <c r="X1732" s="68" t="s">
        <v>200</v>
      </c>
    </row>
    <row r="1733" spans="2:24" ht="17.25" customHeight="1" x14ac:dyDescent="0.25">
      <c r="B1733" s="183"/>
      <c r="C1733" s="61"/>
      <c r="D1733" s="62"/>
      <c r="E1733" s="185"/>
      <c r="F1733" s="30" t="s">
        <v>2</v>
      </c>
      <c r="G1733" s="17"/>
      <c r="H1733" s="6"/>
      <c r="I1733" s="6"/>
      <c r="J1733" s="6"/>
      <c r="K1733" s="7"/>
      <c r="L1733" s="190" t="s">
        <v>4</v>
      </c>
      <c r="M1733" s="191"/>
      <c r="N1733" s="192" t="s">
        <v>9</v>
      </c>
      <c r="O1733" s="192"/>
      <c r="P1733" s="192"/>
      <c r="Q1733" s="192"/>
      <c r="R1733" s="192"/>
      <c r="S1733" s="192"/>
      <c r="T1733" s="192"/>
      <c r="U1733" s="191"/>
      <c r="V1733" s="31" t="s">
        <v>11</v>
      </c>
      <c r="X1733" s="69"/>
    </row>
    <row r="1734" spans="2:24" ht="10.95" customHeight="1" x14ac:dyDescent="0.25">
      <c r="B1734" s="41"/>
      <c r="C1734" s="51"/>
      <c r="D1734" s="42"/>
      <c r="E1734" s="154">
        <v>221</v>
      </c>
      <c r="F1734" s="145" t="str">
        <f>_xlfn.IFNA(VLOOKUP(E1734,'Data Kyu'!$A$6:$I$471,3,0),"")</f>
        <v/>
      </c>
      <c r="G1734" s="142"/>
      <c r="H1734" s="66"/>
      <c r="I1734" s="66"/>
      <c r="J1734" s="66"/>
      <c r="K1734" s="66"/>
      <c r="L1734" s="145" t="str">
        <f>_xlfn.IFNA(VLOOKUP(E1734,'Data Kyu'!$A$6:$I$471,9,0),"")</f>
        <v/>
      </c>
      <c r="M1734" s="142"/>
      <c r="N1734" s="145" t="str">
        <f>_xlfn.IFNA(VLOOKUP(E1734,'Data Kyu'!$A$6:$I$471,6,0),"")</f>
        <v/>
      </c>
      <c r="O1734" s="141"/>
      <c r="P1734" s="139" t="s">
        <v>5</v>
      </c>
      <c r="Q1734" s="141" t="str">
        <f>_xlfn.IFNA(VLOOKUP(E1734,'Data Kyu'!$A$6:$I$471,7,0),"")</f>
        <v/>
      </c>
      <c r="R1734" s="141"/>
      <c r="S1734" s="139" t="s">
        <v>5</v>
      </c>
      <c r="T1734" s="141" t="str">
        <f>_xlfn.IFNA(VLOOKUP(E1734,'Data Kyu'!$A$6:$I$471,8,0),"")</f>
        <v/>
      </c>
      <c r="U1734" s="142"/>
      <c r="V1734" s="142" t="str">
        <f>_xlfn.IFNA(VLOOKUP(E1734,'Data Kyu'!$A$6:$I$471,4,0),"")</f>
        <v/>
      </c>
      <c r="X1734" s="214" t="str">
        <f>_xlfn.IFNA(VLOOKUP(F1734,'Data Kyu'!$C$6:$N$997,12,0),"No Data")</f>
        <v>No Data</v>
      </c>
    </row>
    <row r="1735" spans="2:24" ht="10.95" customHeight="1" x14ac:dyDescent="0.25">
      <c r="B1735" s="52"/>
      <c r="C1735" s="165" t="str">
        <f>IF(X1734="LULUS","V","")</f>
        <v/>
      </c>
      <c r="D1735" s="53"/>
      <c r="E1735" s="155"/>
      <c r="F1735" s="148"/>
      <c r="G1735" s="144"/>
      <c r="H1735" s="67"/>
      <c r="I1735" s="67"/>
      <c r="J1735" s="67"/>
      <c r="K1735" s="67"/>
      <c r="L1735" s="146"/>
      <c r="M1735" s="147"/>
      <c r="N1735" s="148"/>
      <c r="O1735" s="143"/>
      <c r="P1735" s="140"/>
      <c r="Q1735" s="143"/>
      <c r="R1735" s="143"/>
      <c r="S1735" s="140"/>
      <c r="T1735" s="143"/>
      <c r="U1735" s="144"/>
      <c r="V1735" s="147"/>
      <c r="X1735" s="214"/>
    </row>
    <row r="1736" spans="2:24" ht="10.95" customHeight="1" x14ac:dyDescent="0.25">
      <c r="B1736" s="52"/>
      <c r="C1736" s="166"/>
      <c r="D1736" s="53"/>
      <c r="E1736" s="155"/>
      <c r="F1736" s="167" t="str">
        <f>_xlfn.IFNA(VLOOKUP(E1734,'Data Kyu'!$A$6:$I$471,2,0),"")</f>
        <v/>
      </c>
      <c r="G1736" s="168"/>
      <c r="H1736" s="168"/>
      <c r="I1736" s="168"/>
      <c r="J1736" s="168"/>
      <c r="K1736" s="169"/>
      <c r="L1736" s="146"/>
      <c r="M1736" s="147"/>
      <c r="N1736" s="173" t="s">
        <v>6</v>
      </c>
      <c r="O1736" s="159"/>
      <c r="P1736" s="57"/>
      <c r="Q1736" s="159" t="s">
        <v>7</v>
      </c>
      <c r="R1736" s="159"/>
      <c r="S1736" s="57"/>
      <c r="T1736" s="159" t="s">
        <v>8</v>
      </c>
      <c r="U1736" s="160"/>
      <c r="V1736" s="175"/>
      <c r="X1736" s="214"/>
    </row>
    <row r="1737" spans="2:24" ht="10.95" customHeight="1" x14ac:dyDescent="0.25">
      <c r="B1737" s="54"/>
      <c r="C1737" s="76"/>
      <c r="D1737" s="56"/>
      <c r="E1737" s="156"/>
      <c r="F1737" s="170"/>
      <c r="G1737" s="171"/>
      <c r="H1737" s="171"/>
      <c r="I1737" s="171"/>
      <c r="J1737" s="171"/>
      <c r="K1737" s="172"/>
      <c r="L1737" s="148"/>
      <c r="M1737" s="144"/>
      <c r="N1737" s="174"/>
      <c r="O1737" s="161"/>
      <c r="P1737" s="27"/>
      <c r="Q1737" s="161"/>
      <c r="R1737" s="161"/>
      <c r="S1737" s="27"/>
      <c r="T1737" s="161"/>
      <c r="U1737" s="162"/>
      <c r="V1737" s="176"/>
      <c r="X1737" s="214"/>
    </row>
    <row r="1738" spans="2:24" ht="10.95" customHeight="1" x14ac:dyDescent="0.25">
      <c r="B1738" s="41"/>
      <c r="C1738" s="77"/>
      <c r="D1738" s="42"/>
      <c r="E1738" s="154">
        <f>E1734+1</f>
        <v>222</v>
      </c>
      <c r="F1738" s="145" t="str">
        <f>_xlfn.IFNA(VLOOKUP(E1738,'Data Kyu'!$A$6:$I$471,3,0),"")</f>
        <v/>
      </c>
      <c r="G1738" s="142"/>
      <c r="H1738" s="66"/>
      <c r="I1738" s="66"/>
      <c r="J1738" s="66"/>
      <c r="K1738" s="66"/>
      <c r="L1738" s="145" t="str">
        <f>_xlfn.IFNA(VLOOKUP(E1738,'Data Kyu'!$A$6:$I$471,9,0),"")</f>
        <v/>
      </c>
      <c r="M1738" s="142"/>
      <c r="N1738" s="145" t="str">
        <f>_xlfn.IFNA(VLOOKUP(E1738,'Data Kyu'!$A$6:$I$471,6,0),"")</f>
        <v/>
      </c>
      <c r="O1738" s="141"/>
      <c r="P1738" s="139" t="s">
        <v>5</v>
      </c>
      <c r="Q1738" s="141" t="str">
        <f>_xlfn.IFNA(VLOOKUP(E1738,'Data Kyu'!$A$6:$I$471,7,0),"")</f>
        <v/>
      </c>
      <c r="R1738" s="141"/>
      <c r="S1738" s="139" t="s">
        <v>5</v>
      </c>
      <c r="T1738" s="141" t="str">
        <f>_xlfn.IFNA(VLOOKUP(E1738,'Data Kyu'!$A$6:$I$471,8,0),"")</f>
        <v/>
      </c>
      <c r="U1738" s="142"/>
      <c r="V1738" s="142" t="str">
        <f>_xlfn.IFNA(VLOOKUP(E1738,'Data Kyu'!$A$6:$I$471,4,0),"")</f>
        <v/>
      </c>
      <c r="X1738" s="214" t="str">
        <f>_xlfn.IFNA(VLOOKUP(F1738,'Data Kyu'!$C$6:$N$997,12,0),"No Data")</f>
        <v>No Data</v>
      </c>
    </row>
    <row r="1739" spans="2:24" ht="10.95" customHeight="1" x14ac:dyDescent="0.25">
      <c r="B1739" s="52"/>
      <c r="C1739" s="165" t="str">
        <f>IF(X1738="LULUS","V","")</f>
        <v/>
      </c>
      <c r="D1739" s="53"/>
      <c r="E1739" s="155"/>
      <c r="F1739" s="148"/>
      <c r="G1739" s="144"/>
      <c r="H1739" s="67"/>
      <c r="I1739" s="67"/>
      <c r="J1739" s="67"/>
      <c r="K1739" s="67"/>
      <c r="L1739" s="146"/>
      <c r="M1739" s="147"/>
      <c r="N1739" s="148"/>
      <c r="O1739" s="143"/>
      <c r="P1739" s="140"/>
      <c r="Q1739" s="143"/>
      <c r="R1739" s="143"/>
      <c r="S1739" s="140"/>
      <c r="T1739" s="143"/>
      <c r="U1739" s="144"/>
      <c r="V1739" s="147"/>
      <c r="X1739" s="214"/>
    </row>
    <row r="1740" spans="2:24" ht="10.95" customHeight="1" x14ac:dyDescent="0.25">
      <c r="B1740" s="52"/>
      <c r="C1740" s="166"/>
      <c r="D1740" s="53"/>
      <c r="E1740" s="155"/>
      <c r="F1740" s="167" t="str">
        <f>_xlfn.IFNA(VLOOKUP(E1738,'Data Kyu'!$A$6:$I$471,2,0),"")</f>
        <v/>
      </c>
      <c r="G1740" s="168"/>
      <c r="H1740" s="168"/>
      <c r="I1740" s="168"/>
      <c r="J1740" s="168"/>
      <c r="K1740" s="169"/>
      <c r="L1740" s="146"/>
      <c r="M1740" s="147"/>
      <c r="N1740" s="173" t="s">
        <v>6</v>
      </c>
      <c r="O1740" s="159"/>
      <c r="P1740" s="57"/>
      <c r="Q1740" s="159" t="s">
        <v>7</v>
      </c>
      <c r="R1740" s="159"/>
      <c r="S1740" s="57"/>
      <c r="T1740" s="159" t="s">
        <v>8</v>
      </c>
      <c r="U1740" s="160"/>
      <c r="V1740" s="175"/>
      <c r="X1740" s="214"/>
    </row>
    <row r="1741" spans="2:24" ht="10.95" customHeight="1" x14ac:dyDescent="0.25">
      <c r="B1741" s="54"/>
      <c r="C1741" s="76"/>
      <c r="D1741" s="56"/>
      <c r="E1741" s="156"/>
      <c r="F1741" s="170"/>
      <c r="G1741" s="171"/>
      <c r="H1741" s="171"/>
      <c r="I1741" s="171"/>
      <c r="J1741" s="171"/>
      <c r="K1741" s="172"/>
      <c r="L1741" s="148"/>
      <c r="M1741" s="144"/>
      <c r="N1741" s="174"/>
      <c r="O1741" s="161"/>
      <c r="P1741" s="27"/>
      <c r="Q1741" s="161"/>
      <c r="R1741" s="161"/>
      <c r="S1741" s="27"/>
      <c r="T1741" s="161"/>
      <c r="U1741" s="162"/>
      <c r="V1741" s="176"/>
      <c r="X1741" s="214"/>
    </row>
    <row r="1742" spans="2:24" ht="10.95" customHeight="1" x14ac:dyDescent="0.25">
      <c r="B1742" s="41"/>
      <c r="C1742" s="77"/>
      <c r="D1742" s="42"/>
      <c r="E1742" s="154">
        <f t="shared" ref="E1742" si="96">E1738+1</f>
        <v>223</v>
      </c>
      <c r="F1742" s="145" t="str">
        <f>_xlfn.IFNA(VLOOKUP(E1742,'Data Kyu'!$A$6:$I$471,3,0),"")</f>
        <v/>
      </c>
      <c r="G1742" s="142"/>
      <c r="H1742" s="66"/>
      <c r="I1742" s="66"/>
      <c r="J1742" s="66"/>
      <c r="K1742" s="66"/>
      <c r="L1742" s="145" t="str">
        <f>_xlfn.IFNA(VLOOKUP(E1742,'Data Kyu'!$A$6:$I$471,9,0),"")</f>
        <v/>
      </c>
      <c r="M1742" s="142"/>
      <c r="N1742" s="145" t="str">
        <f>_xlfn.IFNA(VLOOKUP(E1742,'Data Kyu'!$A$6:$I$471,6,0),"")</f>
        <v/>
      </c>
      <c r="O1742" s="141"/>
      <c r="P1742" s="139" t="s">
        <v>5</v>
      </c>
      <c r="Q1742" s="141" t="str">
        <f>_xlfn.IFNA(VLOOKUP(E1742,'Data Kyu'!$A$6:$I$471,7,0),"")</f>
        <v/>
      </c>
      <c r="R1742" s="141"/>
      <c r="S1742" s="139" t="s">
        <v>5</v>
      </c>
      <c r="T1742" s="141" t="str">
        <f>_xlfn.IFNA(VLOOKUP(E1742,'Data Kyu'!$A$6:$I$471,8,0),"")</f>
        <v/>
      </c>
      <c r="U1742" s="142"/>
      <c r="V1742" s="142" t="str">
        <f>_xlfn.IFNA(VLOOKUP(E1742,'Data Kyu'!$A$6:$I$471,4,0),"")</f>
        <v/>
      </c>
      <c r="X1742" s="214" t="str">
        <f>_xlfn.IFNA(VLOOKUP(F1742,'Data Kyu'!$C$6:$N$997,12,0),"No Data")</f>
        <v>No Data</v>
      </c>
    </row>
    <row r="1743" spans="2:24" ht="10.95" customHeight="1" x14ac:dyDescent="0.25">
      <c r="B1743" s="52"/>
      <c r="C1743" s="165" t="str">
        <f>IF(X1742="LULUS","V","")</f>
        <v/>
      </c>
      <c r="D1743" s="53"/>
      <c r="E1743" s="155"/>
      <c r="F1743" s="148"/>
      <c r="G1743" s="144"/>
      <c r="H1743" s="67"/>
      <c r="I1743" s="67"/>
      <c r="J1743" s="67"/>
      <c r="K1743" s="67"/>
      <c r="L1743" s="146"/>
      <c r="M1743" s="147"/>
      <c r="N1743" s="148"/>
      <c r="O1743" s="143"/>
      <c r="P1743" s="140"/>
      <c r="Q1743" s="143"/>
      <c r="R1743" s="143"/>
      <c r="S1743" s="140"/>
      <c r="T1743" s="143"/>
      <c r="U1743" s="144"/>
      <c r="V1743" s="147"/>
      <c r="X1743" s="214"/>
    </row>
    <row r="1744" spans="2:24" ht="10.95" customHeight="1" x14ac:dyDescent="0.25">
      <c r="B1744" s="52"/>
      <c r="C1744" s="166"/>
      <c r="D1744" s="53"/>
      <c r="E1744" s="155"/>
      <c r="F1744" s="167" t="str">
        <f>_xlfn.IFNA(VLOOKUP(E1742,'Data Kyu'!$A$6:$I$471,2,0),"")</f>
        <v/>
      </c>
      <c r="G1744" s="168"/>
      <c r="H1744" s="168"/>
      <c r="I1744" s="168"/>
      <c r="J1744" s="168"/>
      <c r="K1744" s="169"/>
      <c r="L1744" s="146"/>
      <c r="M1744" s="147"/>
      <c r="N1744" s="173" t="s">
        <v>6</v>
      </c>
      <c r="O1744" s="159"/>
      <c r="P1744" s="57"/>
      <c r="Q1744" s="159" t="s">
        <v>7</v>
      </c>
      <c r="R1744" s="159"/>
      <c r="S1744" s="57"/>
      <c r="T1744" s="159" t="s">
        <v>8</v>
      </c>
      <c r="U1744" s="160"/>
      <c r="V1744" s="175"/>
      <c r="X1744" s="214"/>
    </row>
    <row r="1745" spans="2:24" ht="10.95" customHeight="1" x14ac:dyDescent="0.25">
      <c r="B1745" s="54"/>
      <c r="C1745" s="76"/>
      <c r="D1745" s="56"/>
      <c r="E1745" s="156"/>
      <c r="F1745" s="170"/>
      <c r="G1745" s="171"/>
      <c r="H1745" s="171"/>
      <c r="I1745" s="171"/>
      <c r="J1745" s="171"/>
      <c r="K1745" s="172"/>
      <c r="L1745" s="148"/>
      <c r="M1745" s="144"/>
      <c r="N1745" s="174"/>
      <c r="O1745" s="161"/>
      <c r="P1745" s="27"/>
      <c r="Q1745" s="161"/>
      <c r="R1745" s="161"/>
      <c r="S1745" s="27"/>
      <c r="T1745" s="161"/>
      <c r="U1745" s="162"/>
      <c r="V1745" s="176"/>
      <c r="X1745" s="214"/>
    </row>
    <row r="1746" spans="2:24" ht="10.95" customHeight="1" x14ac:dyDescent="0.25">
      <c r="B1746" s="41"/>
      <c r="C1746" s="77"/>
      <c r="D1746" s="42"/>
      <c r="E1746" s="154">
        <f t="shared" ref="E1746" si="97">E1742+1</f>
        <v>224</v>
      </c>
      <c r="F1746" s="145" t="str">
        <f>_xlfn.IFNA(VLOOKUP(E1746,'Data Kyu'!$A$6:$I$471,3,0),"")</f>
        <v/>
      </c>
      <c r="G1746" s="142"/>
      <c r="H1746" s="66"/>
      <c r="I1746" s="66"/>
      <c r="J1746" s="66"/>
      <c r="K1746" s="66"/>
      <c r="L1746" s="145" t="str">
        <f>_xlfn.IFNA(VLOOKUP(E1746,'Data Kyu'!$A$6:$I$471,9,0),"")</f>
        <v/>
      </c>
      <c r="M1746" s="142"/>
      <c r="N1746" s="145" t="str">
        <f>_xlfn.IFNA(VLOOKUP(E1746,'Data Kyu'!$A$6:$I$471,6,0),"")</f>
        <v/>
      </c>
      <c r="O1746" s="141"/>
      <c r="P1746" s="139" t="s">
        <v>5</v>
      </c>
      <c r="Q1746" s="141" t="str">
        <f>_xlfn.IFNA(VLOOKUP(E1746,'Data Kyu'!$A$6:$I$471,7,0),"")</f>
        <v/>
      </c>
      <c r="R1746" s="141"/>
      <c r="S1746" s="139" t="s">
        <v>5</v>
      </c>
      <c r="T1746" s="141" t="str">
        <f>_xlfn.IFNA(VLOOKUP(E1746,'Data Kyu'!$A$6:$I$471,8,0),"")</f>
        <v/>
      </c>
      <c r="U1746" s="142"/>
      <c r="V1746" s="142" t="str">
        <f>_xlfn.IFNA(VLOOKUP(E1746,'Data Kyu'!$A$6:$I$471,4,0),"")</f>
        <v/>
      </c>
      <c r="X1746" s="214" t="str">
        <f>_xlfn.IFNA(VLOOKUP(F1746,'Data Kyu'!$C$6:$N$997,12,0),"No Data")</f>
        <v>No Data</v>
      </c>
    </row>
    <row r="1747" spans="2:24" ht="10.95" customHeight="1" x14ac:dyDescent="0.25">
      <c r="B1747" s="52"/>
      <c r="C1747" s="165" t="str">
        <f>IF(X1746="LULUS","V","")</f>
        <v/>
      </c>
      <c r="D1747" s="53"/>
      <c r="E1747" s="155"/>
      <c r="F1747" s="148"/>
      <c r="G1747" s="144"/>
      <c r="H1747" s="67"/>
      <c r="I1747" s="67"/>
      <c r="J1747" s="67"/>
      <c r="K1747" s="67"/>
      <c r="L1747" s="146"/>
      <c r="M1747" s="147"/>
      <c r="N1747" s="148"/>
      <c r="O1747" s="143"/>
      <c r="P1747" s="140"/>
      <c r="Q1747" s="143"/>
      <c r="R1747" s="143"/>
      <c r="S1747" s="140"/>
      <c r="T1747" s="143"/>
      <c r="U1747" s="144"/>
      <c r="V1747" s="147"/>
      <c r="X1747" s="214"/>
    </row>
    <row r="1748" spans="2:24" ht="10.95" customHeight="1" x14ac:dyDescent="0.25">
      <c r="B1748" s="52"/>
      <c r="C1748" s="166"/>
      <c r="D1748" s="53"/>
      <c r="E1748" s="155"/>
      <c r="F1748" s="167" t="str">
        <f>_xlfn.IFNA(VLOOKUP(E1746,'Data Kyu'!$A$6:$I$471,2,0),"")</f>
        <v/>
      </c>
      <c r="G1748" s="168"/>
      <c r="H1748" s="168"/>
      <c r="I1748" s="168"/>
      <c r="J1748" s="168"/>
      <c r="K1748" s="169"/>
      <c r="L1748" s="146"/>
      <c r="M1748" s="147"/>
      <c r="N1748" s="173" t="s">
        <v>6</v>
      </c>
      <c r="O1748" s="159"/>
      <c r="P1748" s="57"/>
      <c r="Q1748" s="159" t="s">
        <v>7</v>
      </c>
      <c r="R1748" s="159"/>
      <c r="S1748" s="57"/>
      <c r="T1748" s="159" t="s">
        <v>8</v>
      </c>
      <c r="U1748" s="160"/>
      <c r="V1748" s="175"/>
      <c r="X1748" s="214"/>
    </row>
    <row r="1749" spans="2:24" ht="10.95" customHeight="1" x14ac:dyDescent="0.25">
      <c r="B1749" s="54"/>
      <c r="C1749" s="76"/>
      <c r="D1749" s="56"/>
      <c r="E1749" s="156"/>
      <c r="F1749" s="170"/>
      <c r="G1749" s="171"/>
      <c r="H1749" s="171"/>
      <c r="I1749" s="171"/>
      <c r="J1749" s="171"/>
      <c r="K1749" s="172"/>
      <c r="L1749" s="148"/>
      <c r="M1749" s="144"/>
      <c r="N1749" s="174"/>
      <c r="O1749" s="161"/>
      <c r="P1749" s="27"/>
      <c r="Q1749" s="161"/>
      <c r="R1749" s="161"/>
      <c r="S1749" s="27"/>
      <c r="T1749" s="161"/>
      <c r="U1749" s="162"/>
      <c r="V1749" s="176"/>
      <c r="X1749" s="214"/>
    </row>
    <row r="1750" spans="2:24" ht="10.95" customHeight="1" x14ac:dyDescent="0.25">
      <c r="B1750" s="41"/>
      <c r="C1750" s="77"/>
      <c r="D1750" s="42"/>
      <c r="E1750" s="154">
        <f t="shared" ref="E1750" si="98">E1746+1</f>
        <v>225</v>
      </c>
      <c r="F1750" s="145" t="str">
        <f>_xlfn.IFNA(VLOOKUP(E1750,'Data Kyu'!$A$6:$I$471,3,0),"")</f>
        <v/>
      </c>
      <c r="G1750" s="142"/>
      <c r="H1750" s="66"/>
      <c r="I1750" s="66"/>
      <c r="J1750" s="66"/>
      <c r="K1750" s="66"/>
      <c r="L1750" s="145" t="str">
        <f>_xlfn.IFNA(VLOOKUP(E1750,'Data Kyu'!$A$6:$I$471,9,0),"")</f>
        <v/>
      </c>
      <c r="M1750" s="142"/>
      <c r="N1750" s="145" t="str">
        <f>_xlfn.IFNA(VLOOKUP(E1750,'Data Kyu'!$A$6:$I$471,6,0),"")</f>
        <v/>
      </c>
      <c r="O1750" s="141"/>
      <c r="P1750" s="139" t="s">
        <v>5</v>
      </c>
      <c r="Q1750" s="141" t="str">
        <f>_xlfn.IFNA(VLOOKUP(E1750,'Data Kyu'!$A$6:$I$471,7,0),"")</f>
        <v/>
      </c>
      <c r="R1750" s="141"/>
      <c r="S1750" s="139" t="s">
        <v>5</v>
      </c>
      <c r="T1750" s="141" t="str">
        <f>_xlfn.IFNA(VLOOKUP(E1750,'Data Kyu'!$A$6:$I$471,8,0),"")</f>
        <v/>
      </c>
      <c r="U1750" s="142"/>
      <c r="V1750" s="142" t="str">
        <f>_xlfn.IFNA(VLOOKUP(E1750,'Data Kyu'!$A$6:$I$471,4,0),"")</f>
        <v/>
      </c>
      <c r="X1750" s="214" t="str">
        <f>_xlfn.IFNA(VLOOKUP(F1750,'Data Kyu'!$C$6:$N$997,12,0),"No Data")</f>
        <v>No Data</v>
      </c>
    </row>
    <row r="1751" spans="2:24" ht="10.95" customHeight="1" x14ac:dyDescent="0.25">
      <c r="B1751" s="52"/>
      <c r="C1751" s="165" t="str">
        <f>IF(X1750="LULUS","V","")</f>
        <v/>
      </c>
      <c r="D1751" s="53"/>
      <c r="E1751" s="155"/>
      <c r="F1751" s="148"/>
      <c r="G1751" s="144"/>
      <c r="H1751" s="67"/>
      <c r="I1751" s="67"/>
      <c r="J1751" s="67"/>
      <c r="K1751" s="67"/>
      <c r="L1751" s="146"/>
      <c r="M1751" s="147"/>
      <c r="N1751" s="148"/>
      <c r="O1751" s="143"/>
      <c r="P1751" s="140"/>
      <c r="Q1751" s="143"/>
      <c r="R1751" s="143"/>
      <c r="S1751" s="140"/>
      <c r="T1751" s="143"/>
      <c r="U1751" s="144"/>
      <c r="V1751" s="147"/>
      <c r="X1751" s="214"/>
    </row>
    <row r="1752" spans="2:24" ht="10.95" customHeight="1" x14ac:dyDescent="0.25">
      <c r="B1752" s="52"/>
      <c r="C1752" s="166"/>
      <c r="D1752" s="53"/>
      <c r="E1752" s="155"/>
      <c r="F1752" s="167" t="str">
        <f>_xlfn.IFNA(VLOOKUP(E1750,'Data Kyu'!$A$6:$I$471,2,0),"")</f>
        <v/>
      </c>
      <c r="G1752" s="168"/>
      <c r="H1752" s="168"/>
      <c r="I1752" s="168"/>
      <c r="J1752" s="168"/>
      <c r="K1752" s="169"/>
      <c r="L1752" s="146"/>
      <c r="M1752" s="147"/>
      <c r="N1752" s="173" t="s">
        <v>6</v>
      </c>
      <c r="O1752" s="159"/>
      <c r="P1752" s="57"/>
      <c r="Q1752" s="159" t="s">
        <v>7</v>
      </c>
      <c r="R1752" s="159"/>
      <c r="S1752" s="57"/>
      <c r="T1752" s="159" t="s">
        <v>8</v>
      </c>
      <c r="U1752" s="160"/>
      <c r="V1752" s="175"/>
      <c r="X1752" s="214"/>
    </row>
    <row r="1753" spans="2:24" ht="10.95" customHeight="1" x14ac:dyDescent="0.25">
      <c r="B1753" s="54"/>
      <c r="C1753" s="76"/>
      <c r="D1753" s="56"/>
      <c r="E1753" s="156"/>
      <c r="F1753" s="170"/>
      <c r="G1753" s="171"/>
      <c r="H1753" s="171"/>
      <c r="I1753" s="171"/>
      <c r="J1753" s="171"/>
      <c r="K1753" s="172"/>
      <c r="L1753" s="148"/>
      <c r="M1753" s="144"/>
      <c r="N1753" s="174"/>
      <c r="O1753" s="161"/>
      <c r="P1753" s="27"/>
      <c r="Q1753" s="161"/>
      <c r="R1753" s="161"/>
      <c r="S1753" s="27"/>
      <c r="T1753" s="161"/>
      <c r="U1753" s="162"/>
      <c r="V1753" s="176"/>
      <c r="X1753" s="214"/>
    </row>
    <row r="1754" spans="2:24" ht="10.95" customHeight="1" x14ac:dyDescent="0.25">
      <c r="B1754" s="41"/>
      <c r="C1754" s="77"/>
      <c r="D1754" s="42"/>
      <c r="E1754" s="154">
        <f t="shared" ref="E1754" si="99">E1750+1</f>
        <v>226</v>
      </c>
      <c r="F1754" s="145" t="str">
        <f>_xlfn.IFNA(VLOOKUP(E1754,'Data Kyu'!$A$6:$I$471,3,0),"")</f>
        <v/>
      </c>
      <c r="G1754" s="142"/>
      <c r="H1754" s="66"/>
      <c r="I1754" s="66"/>
      <c r="J1754" s="66"/>
      <c r="K1754" s="66"/>
      <c r="L1754" s="145" t="str">
        <f>_xlfn.IFNA(VLOOKUP(E1754,'Data Kyu'!$A$6:$I$471,9,0),"")</f>
        <v/>
      </c>
      <c r="M1754" s="142"/>
      <c r="N1754" s="145" t="str">
        <f>_xlfn.IFNA(VLOOKUP(E1754,'Data Kyu'!$A$6:$I$471,6,0),"")</f>
        <v/>
      </c>
      <c r="O1754" s="141"/>
      <c r="P1754" s="139" t="s">
        <v>5</v>
      </c>
      <c r="Q1754" s="141" t="str">
        <f>_xlfn.IFNA(VLOOKUP(E1754,'Data Kyu'!$A$6:$I$471,7,0),"")</f>
        <v/>
      </c>
      <c r="R1754" s="141"/>
      <c r="S1754" s="139" t="s">
        <v>5</v>
      </c>
      <c r="T1754" s="141" t="str">
        <f>_xlfn.IFNA(VLOOKUP(E1754,'Data Kyu'!$A$6:$I$471,8,0),"")</f>
        <v/>
      </c>
      <c r="U1754" s="142"/>
      <c r="V1754" s="142" t="str">
        <f>_xlfn.IFNA(VLOOKUP(E1754,'Data Kyu'!$A$6:$I$471,4,0),"")</f>
        <v/>
      </c>
      <c r="X1754" s="214" t="str">
        <f>_xlfn.IFNA(VLOOKUP(F1754,'Data Kyu'!$C$6:$N$997,12,0),"No Data")</f>
        <v>No Data</v>
      </c>
    </row>
    <row r="1755" spans="2:24" ht="10.95" customHeight="1" x14ac:dyDescent="0.25">
      <c r="B1755" s="52"/>
      <c r="C1755" s="165" t="str">
        <f>IF(X1754="LULUS","V","")</f>
        <v/>
      </c>
      <c r="D1755" s="53"/>
      <c r="E1755" s="155"/>
      <c r="F1755" s="148"/>
      <c r="G1755" s="144"/>
      <c r="H1755" s="67"/>
      <c r="I1755" s="67"/>
      <c r="J1755" s="67"/>
      <c r="K1755" s="67"/>
      <c r="L1755" s="146"/>
      <c r="M1755" s="147"/>
      <c r="N1755" s="148"/>
      <c r="O1755" s="143"/>
      <c r="P1755" s="140"/>
      <c r="Q1755" s="143"/>
      <c r="R1755" s="143"/>
      <c r="S1755" s="140"/>
      <c r="T1755" s="143"/>
      <c r="U1755" s="144"/>
      <c r="V1755" s="147"/>
      <c r="X1755" s="214"/>
    </row>
    <row r="1756" spans="2:24" ht="10.95" customHeight="1" x14ac:dyDescent="0.25">
      <c r="B1756" s="52"/>
      <c r="C1756" s="166"/>
      <c r="D1756" s="53"/>
      <c r="E1756" s="155"/>
      <c r="F1756" s="167" t="str">
        <f>_xlfn.IFNA(VLOOKUP(E1754,'Data Kyu'!$A$6:$I$471,2,0),"")</f>
        <v/>
      </c>
      <c r="G1756" s="168"/>
      <c r="H1756" s="168"/>
      <c r="I1756" s="168"/>
      <c r="J1756" s="168"/>
      <c r="K1756" s="169"/>
      <c r="L1756" s="146"/>
      <c r="M1756" s="147"/>
      <c r="N1756" s="173" t="s">
        <v>6</v>
      </c>
      <c r="O1756" s="159"/>
      <c r="P1756" s="57"/>
      <c r="Q1756" s="159" t="s">
        <v>7</v>
      </c>
      <c r="R1756" s="159"/>
      <c r="S1756" s="57"/>
      <c r="T1756" s="159" t="s">
        <v>8</v>
      </c>
      <c r="U1756" s="160"/>
      <c r="V1756" s="175"/>
      <c r="X1756" s="214"/>
    </row>
    <row r="1757" spans="2:24" ht="10.95" customHeight="1" x14ac:dyDescent="0.25">
      <c r="B1757" s="54"/>
      <c r="C1757" s="76"/>
      <c r="D1757" s="56"/>
      <c r="E1757" s="156"/>
      <c r="F1757" s="170"/>
      <c r="G1757" s="171"/>
      <c r="H1757" s="171"/>
      <c r="I1757" s="171"/>
      <c r="J1757" s="171"/>
      <c r="K1757" s="172"/>
      <c r="L1757" s="148"/>
      <c r="M1757" s="144"/>
      <c r="N1757" s="174"/>
      <c r="O1757" s="161"/>
      <c r="P1757" s="27"/>
      <c r="Q1757" s="161"/>
      <c r="R1757" s="161"/>
      <c r="S1757" s="27"/>
      <c r="T1757" s="161"/>
      <c r="U1757" s="162"/>
      <c r="V1757" s="176"/>
      <c r="X1757" s="214"/>
    </row>
    <row r="1758" spans="2:24" ht="10.95" customHeight="1" x14ac:dyDescent="0.25">
      <c r="B1758" s="41"/>
      <c r="C1758" s="77"/>
      <c r="D1758" s="42"/>
      <c r="E1758" s="154">
        <f t="shared" ref="E1758" si="100">E1754+1</f>
        <v>227</v>
      </c>
      <c r="F1758" s="145" t="str">
        <f>_xlfn.IFNA(VLOOKUP(E1758,'Data Kyu'!$A$6:$I$471,3,0),"")</f>
        <v/>
      </c>
      <c r="G1758" s="142"/>
      <c r="H1758" s="66"/>
      <c r="I1758" s="66"/>
      <c r="J1758" s="66"/>
      <c r="K1758" s="66"/>
      <c r="L1758" s="145" t="str">
        <f>_xlfn.IFNA(VLOOKUP(E1758,'Data Kyu'!$A$6:$I$471,9,0),"")</f>
        <v/>
      </c>
      <c r="M1758" s="142"/>
      <c r="N1758" s="145" t="str">
        <f>_xlfn.IFNA(VLOOKUP(E1758,'Data Kyu'!$A$6:$I$471,6,0),"")</f>
        <v/>
      </c>
      <c r="O1758" s="141"/>
      <c r="P1758" s="139" t="s">
        <v>5</v>
      </c>
      <c r="Q1758" s="141" t="str">
        <f>_xlfn.IFNA(VLOOKUP(E1758,'Data Kyu'!$A$6:$I$471,7,0),"")</f>
        <v/>
      </c>
      <c r="R1758" s="141"/>
      <c r="S1758" s="139" t="s">
        <v>5</v>
      </c>
      <c r="T1758" s="141" t="str">
        <f>_xlfn.IFNA(VLOOKUP(E1758,'Data Kyu'!$A$6:$I$471,8,0),"")</f>
        <v/>
      </c>
      <c r="U1758" s="142"/>
      <c r="V1758" s="142" t="str">
        <f>_xlfn.IFNA(VLOOKUP(E1758,'Data Kyu'!$A$6:$I$471,4,0),"")</f>
        <v/>
      </c>
      <c r="X1758" s="214" t="str">
        <f>_xlfn.IFNA(VLOOKUP(F1758,'Data Kyu'!$C$6:$N$997,12,0),"No Data")</f>
        <v>No Data</v>
      </c>
    </row>
    <row r="1759" spans="2:24" ht="10.95" customHeight="1" x14ac:dyDescent="0.25">
      <c r="B1759" s="52"/>
      <c r="C1759" s="165" t="str">
        <f>IF(X1758="LULUS","V","")</f>
        <v/>
      </c>
      <c r="D1759" s="53"/>
      <c r="E1759" s="155"/>
      <c r="F1759" s="148"/>
      <c r="G1759" s="144"/>
      <c r="H1759" s="67"/>
      <c r="I1759" s="67"/>
      <c r="J1759" s="67"/>
      <c r="K1759" s="67"/>
      <c r="L1759" s="146"/>
      <c r="M1759" s="147"/>
      <c r="N1759" s="148"/>
      <c r="O1759" s="143"/>
      <c r="P1759" s="140"/>
      <c r="Q1759" s="143"/>
      <c r="R1759" s="143"/>
      <c r="S1759" s="140"/>
      <c r="T1759" s="143"/>
      <c r="U1759" s="144"/>
      <c r="V1759" s="147"/>
      <c r="X1759" s="214"/>
    </row>
    <row r="1760" spans="2:24" ht="10.95" customHeight="1" x14ac:dyDescent="0.25">
      <c r="B1760" s="52"/>
      <c r="C1760" s="166"/>
      <c r="D1760" s="53"/>
      <c r="E1760" s="155"/>
      <c r="F1760" s="167" t="str">
        <f>_xlfn.IFNA(VLOOKUP(E1758,'Data Kyu'!$A$6:$I$471,2,0),"")</f>
        <v/>
      </c>
      <c r="G1760" s="168"/>
      <c r="H1760" s="168"/>
      <c r="I1760" s="168"/>
      <c r="J1760" s="168"/>
      <c r="K1760" s="169"/>
      <c r="L1760" s="146"/>
      <c r="M1760" s="147"/>
      <c r="N1760" s="173" t="s">
        <v>6</v>
      </c>
      <c r="O1760" s="159"/>
      <c r="P1760" s="57"/>
      <c r="Q1760" s="159" t="s">
        <v>7</v>
      </c>
      <c r="R1760" s="159"/>
      <c r="S1760" s="57"/>
      <c r="T1760" s="159" t="s">
        <v>8</v>
      </c>
      <c r="U1760" s="160"/>
      <c r="V1760" s="175"/>
      <c r="X1760" s="214"/>
    </row>
    <row r="1761" spans="2:24" ht="10.95" customHeight="1" x14ac:dyDescent="0.25">
      <c r="B1761" s="54"/>
      <c r="C1761" s="76"/>
      <c r="D1761" s="56"/>
      <c r="E1761" s="156"/>
      <c r="F1761" s="170"/>
      <c r="G1761" s="171"/>
      <c r="H1761" s="171"/>
      <c r="I1761" s="171"/>
      <c r="J1761" s="171"/>
      <c r="K1761" s="172"/>
      <c r="L1761" s="148"/>
      <c r="M1761" s="144"/>
      <c r="N1761" s="174"/>
      <c r="O1761" s="161"/>
      <c r="P1761" s="27"/>
      <c r="Q1761" s="161"/>
      <c r="R1761" s="161"/>
      <c r="S1761" s="27"/>
      <c r="T1761" s="161"/>
      <c r="U1761" s="162"/>
      <c r="V1761" s="176"/>
      <c r="X1761" s="214"/>
    </row>
    <row r="1762" spans="2:24" ht="10.95" customHeight="1" x14ac:dyDescent="0.25">
      <c r="B1762" s="41"/>
      <c r="C1762" s="77"/>
      <c r="D1762" s="42"/>
      <c r="E1762" s="154">
        <f t="shared" ref="E1762" si="101">E1758+1</f>
        <v>228</v>
      </c>
      <c r="F1762" s="145" t="str">
        <f>_xlfn.IFNA(VLOOKUP(E1762,'Data Kyu'!$A$6:$I$471,3,0),"")</f>
        <v/>
      </c>
      <c r="G1762" s="142"/>
      <c r="H1762" s="66"/>
      <c r="I1762" s="66"/>
      <c r="J1762" s="66"/>
      <c r="K1762" s="66"/>
      <c r="L1762" s="145" t="str">
        <f>_xlfn.IFNA(VLOOKUP(E1762,'Data Kyu'!$A$6:$I$471,9,0),"")</f>
        <v/>
      </c>
      <c r="M1762" s="142"/>
      <c r="N1762" s="145" t="str">
        <f>_xlfn.IFNA(VLOOKUP(E1762,'Data Kyu'!$A$6:$I$471,6,0),"")</f>
        <v/>
      </c>
      <c r="O1762" s="141"/>
      <c r="P1762" s="139" t="s">
        <v>5</v>
      </c>
      <c r="Q1762" s="141" t="str">
        <f>_xlfn.IFNA(VLOOKUP(E1762,'Data Kyu'!$A$6:$I$471,7,0),"")</f>
        <v/>
      </c>
      <c r="R1762" s="141"/>
      <c r="S1762" s="139" t="s">
        <v>5</v>
      </c>
      <c r="T1762" s="141" t="str">
        <f>_xlfn.IFNA(VLOOKUP(E1762,'Data Kyu'!$A$6:$I$471,8,0),"")</f>
        <v/>
      </c>
      <c r="U1762" s="142"/>
      <c r="V1762" s="142" t="str">
        <f>_xlfn.IFNA(VLOOKUP(E1762,'Data Kyu'!$A$6:$I$471,4,0),"")</f>
        <v/>
      </c>
      <c r="X1762" s="214" t="str">
        <f>_xlfn.IFNA(VLOOKUP(F1762,'Data Kyu'!$C$6:$N$997,12,0),"No Data")</f>
        <v>No Data</v>
      </c>
    </row>
    <row r="1763" spans="2:24" ht="10.95" customHeight="1" x14ac:dyDescent="0.25">
      <c r="B1763" s="52"/>
      <c r="C1763" s="165" t="str">
        <f>IF(X1762="LULUS","V","")</f>
        <v/>
      </c>
      <c r="D1763" s="53"/>
      <c r="E1763" s="155"/>
      <c r="F1763" s="148"/>
      <c r="G1763" s="144"/>
      <c r="H1763" s="67"/>
      <c r="I1763" s="67"/>
      <c r="J1763" s="67"/>
      <c r="K1763" s="67"/>
      <c r="L1763" s="146"/>
      <c r="M1763" s="147"/>
      <c r="N1763" s="148"/>
      <c r="O1763" s="143"/>
      <c r="P1763" s="140"/>
      <c r="Q1763" s="143"/>
      <c r="R1763" s="143"/>
      <c r="S1763" s="140"/>
      <c r="T1763" s="143"/>
      <c r="U1763" s="144"/>
      <c r="V1763" s="147"/>
      <c r="X1763" s="214"/>
    </row>
    <row r="1764" spans="2:24" ht="10.95" customHeight="1" x14ac:dyDescent="0.25">
      <c r="B1764" s="52"/>
      <c r="C1764" s="166"/>
      <c r="D1764" s="53"/>
      <c r="E1764" s="155"/>
      <c r="F1764" s="167" t="str">
        <f>_xlfn.IFNA(VLOOKUP(E1762,'Data Kyu'!$A$6:$I$471,2,0),"")</f>
        <v/>
      </c>
      <c r="G1764" s="168"/>
      <c r="H1764" s="168"/>
      <c r="I1764" s="168"/>
      <c r="J1764" s="168"/>
      <c r="K1764" s="169"/>
      <c r="L1764" s="146"/>
      <c r="M1764" s="147"/>
      <c r="N1764" s="173" t="s">
        <v>6</v>
      </c>
      <c r="O1764" s="159"/>
      <c r="P1764" s="57"/>
      <c r="Q1764" s="159" t="s">
        <v>7</v>
      </c>
      <c r="R1764" s="159"/>
      <c r="S1764" s="57"/>
      <c r="T1764" s="159" t="s">
        <v>8</v>
      </c>
      <c r="U1764" s="160"/>
      <c r="V1764" s="175"/>
      <c r="X1764" s="214"/>
    </row>
    <row r="1765" spans="2:24" ht="10.95" customHeight="1" x14ac:dyDescent="0.25">
      <c r="B1765" s="54"/>
      <c r="C1765" s="76"/>
      <c r="D1765" s="56"/>
      <c r="E1765" s="156"/>
      <c r="F1765" s="170"/>
      <c r="G1765" s="171"/>
      <c r="H1765" s="171"/>
      <c r="I1765" s="171"/>
      <c r="J1765" s="171"/>
      <c r="K1765" s="172"/>
      <c r="L1765" s="148"/>
      <c r="M1765" s="144"/>
      <c r="N1765" s="174"/>
      <c r="O1765" s="161"/>
      <c r="P1765" s="27"/>
      <c r="Q1765" s="161"/>
      <c r="R1765" s="161"/>
      <c r="S1765" s="27"/>
      <c r="T1765" s="161"/>
      <c r="U1765" s="162"/>
      <c r="V1765" s="176"/>
      <c r="X1765" s="214"/>
    </row>
    <row r="1766" spans="2:24" ht="10.95" customHeight="1" x14ac:dyDescent="0.25">
      <c r="B1766" s="41"/>
      <c r="C1766" s="77"/>
      <c r="D1766" s="42"/>
      <c r="E1766" s="154">
        <f t="shared" ref="E1766" si="102">E1762+1</f>
        <v>229</v>
      </c>
      <c r="F1766" s="145" t="str">
        <f>_xlfn.IFNA(VLOOKUP(E1766,'Data Kyu'!$A$6:$I$471,3,0),"")</f>
        <v/>
      </c>
      <c r="G1766" s="142"/>
      <c r="H1766" s="66"/>
      <c r="I1766" s="66"/>
      <c r="J1766" s="66"/>
      <c r="K1766" s="66"/>
      <c r="L1766" s="145" t="str">
        <f>_xlfn.IFNA(VLOOKUP(E1766,'Data Kyu'!$A$6:$I$471,9,0),"")</f>
        <v/>
      </c>
      <c r="M1766" s="142"/>
      <c r="N1766" s="145" t="str">
        <f>_xlfn.IFNA(VLOOKUP(E1766,'Data Kyu'!$A$6:$I$471,6,0),"")</f>
        <v/>
      </c>
      <c r="O1766" s="141"/>
      <c r="P1766" s="139" t="s">
        <v>5</v>
      </c>
      <c r="Q1766" s="141" t="str">
        <f>_xlfn.IFNA(VLOOKUP(E1766,'Data Kyu'!$A$6:$I$471,7,0),"")</f>
        <v/>
      </c>
      <c r="R1766" s="141"/>
      <c r="S1766" s="139" t="s">
        <v>5</v>
      </c>
      <c r="T1766" s="141" t="str">
        <f>_xlfn.IFNA(VLOOKUP(E1766,'Data Kyu'!$A$6:$I$471,8,0),"")</f>
        <v/>
      </c>
      <c r="U1766" s="142"/>
      <c r="V1766" s="142" t="str">
        <f>_xlfn.IFNA(VLOOKUP(E1766,'Data Kyu'!$A$6:$I$471,4,0),"")</f>
        <v/>
      </c>
      <c r="X1766" s="214" t="str">
        <f>_xlfn.IFNA(VLOOKUP(F1766,'Data Kyu'!$C$6:$N$997,12,0),"No Data")</f>
        <v>No Data</v>
      </c>
    </row>
    <row r="1767" spans="2:24" ht="10.95" customHeight="1" x14ac:dyDescent="0.25">
      <c r="B1767" s="52"/>
      <c r="C1767" s="165" t="str">
        <f>IF(X1766="LULUS","V","")</f>
        <v/>
      </c>
      <c r="D1767" s="53"/>
      <c r="E1767" s="155"/>
      <c r="F1767" s="148"/>
      <c r="G1767" s="144"/>
      <c r="H1767" s="67"/>
      <c r="I1767" s="67"/>
      <c r="J1767" s="67"/>
      <c r="K1767" s="67"/>
      <c r="L1767" s="146"/>
      <c r="M1767" s="147"/>
      <c r="N1767" s="148"/>
      <c r="O1767" s="143"/>
      <c r="P1767" s="140"/>
      <c r="Q1767" s="143"/>
      <c r="R1767" s="143"/>
      <c r="S1767" s="140"/>
      <c r="T1767" s="143"/>
      <c r="U1767" s="144"/>
      <c r="V1767" s="147"/>
      <c r="X1767" s="214"/>
    </row>
    <row r="1768" spans="2:24" ht="10.95" customHeight="1" x14ac:dyDescent="0.25">
      <c r="B1768" s="52"/>
      <c r="C1768" s="166"/>
      <c r="D1768" s="53"/>
      <c r="E1768" s="155"/>
      <c r="F1768" s="167" t="str">
        <f>_xlfn.IFNA(VLOOKUP(E1766,'Data Kyu'!$A$6:$I$471,2,0),"")</f>
        <v/>
      </c>
      <c r="G1768" s="168"/>
      <c r="H1768" s="168"/>
      <c r="I1768" s="168"/>
      <c r="J1768" s="168"/>
      <c r="K1768" s="169"/>
      <c r="L1768" s="146"/>
      <c r="M1768" s="147"/>
      <c r="N1768" s="173" t="s">
        <v>6</v>
      </c>
      <c r="O1768" s="159"/>
      <c r="P1768" s="57"/>
      <c r="Q1768" s="159" t="s">
        <v>7</v>
      </c>
      <c r="R1768" s="159"/>
      <c r="S1768" s="57"/>
      <c r="T1768" s="159" t="s">
        <v>8</v>
      </c>
      <c r="U1768" s="160"/>
      <c r="V1768" s="175"/>
      <c r="X1768" s="214"/>
    </row>
    <row r="1769" spans="2:24" ht="10.95" customHeight="1" x14ac:dyDescent="0.25">
      <c r="B1769" s="54"/>
      <c r="C1769" s="76"/>
      <c r="D1769" s="56"/>
      <c r="E1769" s="156"/>
      <c r="F1769" s="170"/>
      <c r="G1769" s="171"/>
      <c r="H1769" s="171"/>
      <c r="I1769" s="171"/>
      <c r="J1769" s="171"/>
      <c r="K1769" s="172"/>
      <c r="L1769" s="148"/>
      <c r="M1769" s="144"/>
      <c r="N1769" s="174"/>
      <c r="O1769" s="161"/>
      <c r="P1769" s="27"/>
      <c r="Q1769" s="161"/>
      <c r="R1769" s="161"/>
      <c r="S1769" s="27"/>
      <c r="T1769" s="161"/>
      <c r="U1769" s="162"/>
      <c r="V1769" s="176"/>
      <c r="X1769" s="214"/>
    </row>
    <row r="1770" spans="2:24" ht="10.95" customHeight="1" x14ac:dyDescent="0.25">
      <c r="B1770" s="41"/>
      <c r="C1770" s="77"/>
      <c r="D1770" s="42"/>
      <c r="E1770" s="154">
        <f t="shared" ref="E1770" si="103">E1766+1</f>
        <v>230</v>
      </c>
      <c r="F1770" s="145" t="str">
        <f>_xlfn.IFNA(VLOOKUP(E1770,'Data Kyu'!$A$6:$I$471,3,0),"")</f>
        <v/>
      </c>
      <c r="G1770" s="142"/>
      <c r="H1770" s="66"/>
      <c r="I1770" s="66"/>
      <c r="J1770" s="66"/>
      <c r="K1770" s="66"/>
      <c r="L1770" s="145" t="str">
        <f>_xlfn.IFNA(VLOOKUP(E1770,'Data Kyu'!$A$6:$I$471,9,0),"")</f>
        <v/>
      </c>
      <c r="M1770" s="142"/>
      <c r="N1770" s="145" t="str">
        <f>_xlfn.IFNA(VLOOKUP(E1770,'Data Kyu'!$A$6:$I$471,6,0),"")</f>
        <v/>
      </c>
      <c r="O1770" s="141"/>
      <c r="P1770" s="139" t="s">
        <v>5</v>
      </c>
      <c r="Q1770" s="141" t="str">
        <f>_xlfn.IFNA(VLOOKUP(E1770,'Data Kyu'!$A$6:$I$471,7,0),"")</f>
        <v/>
      </c>
      <c r="R1770" s="141"/>
      <c r="S1770" s="139" t="s">
        <v>5</v>
      </c>
      <c r="T1770" s="141" t="str">
        <f>_xlfn.IFNA(VLOOKUP(E1770,'Data Kyu'!$A$6:$I$471,8,0),"")</f>
        <v/>
      </c>
      <c r="U1770" s="142"/>
      <c r="V1770" s="142" t="str">
        <f>_xlfn.IFNA(VLOOKUP(E1770,'Data Kyu'!$A$6:$I$471,4,0),"")</f>
        <v/>
      </c>
      <c r="X1770" s="214" t="str">
        <f>_xlfn.IFNA(VLOOKUP(F1770,'Data Kyu'!$C$6:$N$997,12,0),"No Data")</f>
        <v>No Data</v>
      </c>
    </row>
    <row r="1771" spans="2:24" ht="10.95" customHeight="1" x14ac:dyDescent="0.25">
      <c r="B1771" s="52"/>
      <c r="C1771" s="165" t="str">
        <f>IF(X1770="LULUS","V","")</f>
        <v/>
      </c>
      <c r="D1771" s="53"/>
      <c r="E1771" s="155"/>
      <c r="F1771" s="148"/>
      <c r="G1771" s="144"/>
      <c r="H1771" s="67"/>
      <c r="I1771" s="67"/>
      <c r="J1771" s="67"/>
      <c r="K1771" s="67"/>
      <c r="L1771" s="146"/>
      <c r="M1771" s="147"/>
      <c r="N1771" s="148"/>
      <c r="O1771" s="143"/>
      <c r="P1771" s="140"/>
      <c r="Q1771" s="143"/>
      <c r="R1771" s="143"/>
      <c r="S1771" s="140"/>
      <c r="T1771" s="143"/>
      <c r="U1771" s="144"/>
      <c r="V1771" s="147"/>
      <c r="X1771" s="214"/>
    </row>
    <row r="1772" spans="2:24" ht="10.95" customHeight="1" x14ac:dyDescent="0.25">
      <c r="B1772" s="52"/>
      <c r="C1772" s="166"/>
      <c r="D1772" s="53"/>
      <c r="E1772" s="155"/>
      <c r="F1772" s="167" t="str">
        <f>_xlfn.IFNA(VLOOKUP(E1770,'Data Kyu'!$A$6:$I$471,2,0),"")</f>
        <v/>
      </c>
      <c r="G1772" s="168"/>
      <c r="H1772" s="168"/>
      <c r="I1772" s="168"/>
      <c r="J1772" s="168"/>
      <c r="K1772" s="169"/>
      <c r="L1772" s="146"/>
      <c r="M1772" s="147"/>
      <c r="N1772" s="173" t="s">
        <v>6</v>
      </c>
      <c r="O1772" s="159"/>
      <c r="P1772" s="57"/>
      <c r="Q1772" s="159" t="s">
        <v>7</v>
      </c>
      <c r="R1772" s="159"/>
      <c r="S1772" s="57"/>
      <c r="T1772" s="159" t="s">
        <v>8</v>
      </c>
      <c r="U1772" s="160"/>
      <c r="V1772" s="175"/>
      <c r="X1772" s="214"/>
    </row>
    <row r="1773" spans="2:24" ht="10.95" customHeight="1" x14ac:dyDescent="0.25">
      <c r="B1773" s="54"/>
      <c r="C1773" s="55"/>
      <c r="D1773" s="56"/>
      <c r="E1773" s="156"/>
      <c r="F1773" s="170"/>
      <c r="G1773" s="171"/>
      <c r="H1773" s="171"/>
      <c r="I1773" s="171"/>
      <c r="J1773" s="171"/>
      <c r="K1773" s="172"/>
      <c r="L1773" s="148"/>
      <c r="M1773" s="144"/>
      <c r="N1773" s="174"/>
      <c r="O1773" s="161"/>
      <c r="P1773" s="27"/>
      <c r="Q1773" s="161"/>
      <c r="R1773" s="161"/>
      <c r="S1773" s="27"/>
      <c r="T1773" s="161"/>
      <c r="U1773" s="162"/>
      <c r="V1773" s="176"/>
      <c r="X1773" s="214"/>
    </row>
    <row r="1774" spans="2:24" ht="7.5" customHeight="1" x14ac:dyDescent="0.25"/>
    <row r="1775" spans="2:24" s="34" customFormat="1" x14ac:dyDescent="0.25">
      <c r="E1775" s="35" t="s">
        <v>30</v>
      </c>
      <c r="K1775" s="35" t="s">
        <v>28</v>
      </c>
    </row>
    <row r="1776" spans="2:24" x14ac:dyDescent="0.25">
      <c r="E1776" s="33" t="s">
        <v>31</v>
      </c>
      <c r="F1776" s="149"/>
      <c r="G1776" s="149"/>
      <c r="H1776" s="149"/>
      <c r="I1776" s="149"/>
      <c r="J1776" s="149"/>
      <c r="K1776" s="33" t="s">
        <v>29</v>
      </c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</row>
    <row r="1777" spans="2:24" ht="6.75" customHeight="1" x14ac:dyDescent="0.25">
      <c r="F1777" s="34"/>
      <c r="G1777" s="34"/>
      <c r="H1777" s="34"/>
      <c r="I1777" s="34"/>
      <c r="J1777" s="34"/>
    </row>
    <row r="1778" spans="2:24" s="34" customFormat="1" x14ac:dyDescent="0.25">
      <c r="E1778" s="35" t="s">
        <v>32</v>
      </c>
      <c r="K1778" s="35" t="s">
        <v>36</v>
      </c>
    </row>
    <row r="1779" spans="2:24" x14ac:dyDescent="0.25">
      <c r="E1779" s="33" t="s">
        <v>33</v>
      </c>
      <c r="F1779" s="149"/>
      <c r="G1779" s="149"/>
      <c r="H1779" s="149"/>
      <c r="I1779" s="149"/>
      <c r="J1779" s="149"/>
      <c r="K1779" s="33" t="s">
        <v>29</v>
      </c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</row>
    <row r="1780" spans="2:24" ht="6.75" customHeight="1" x14ac:dyDescent="0.25">
      <c r="F1780" s="34"/>
      <c r="G1780" s="34"/>
      <c r="H1780" s="34"/>
      <c r="I1780" s="34"/>
      <c r="J1780" s="34"/>
    </row>
    <row r="1781" spans="2:24" s="34" customFormat="1" ht="13.8" x14ac:dyDescent="0.25">
      <c r="E1781" s="35" t="s">
        <v>34</v>
      </c>
      <c r="F1781" s="177" t="str">
        <f>IF(F1734&lt;&gt;"",$F$65,"")</f>
        <v/>
      </c>
      <c r="G1781" s="177"/>
      <c r="H1781" s="177"/>
      <c r="I1781" s="177"/>
      <c r="J1781" s="177"/>
      <c r="K1781" s="35" t="s">
        <v>28</v>
      </c>
      <c r="X1781" s="70" t="s">
        <v>107</v>
      </c>
    </row>
    <row r="1782" spans="2:24" ht="13.8" x14ac:dyDescent="0.25">
      <c r="E1782" s="33" t="s">
        <v>35</v>
      </c>
      <c r="F1782" s="178"/>
      <c r="G1782" s="178"/>
      <c r="H1782" s="178"/>
      <c r="I1782" s="178"/>
      <c r="J1782" s="178"/>
      <c r="K1782" s="33" t="s">
        <v>29</v>
      </c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X1782" s="70" t="s">
        <v>105</v>
      </c>
    </row>
    <row r="1783" spans="2:24" ht="12.75" customHeight="1" thickBot="1" x14ac:dyDescent="0.3"/>
    <row r="1784" spans="2:24" ht="13.8" thickTop="1" x14ac:dyDescent="0.25">
      <c r="B1784" s="34" t="s">
        <v>37</v>
      </c>
      <c r="C1784" s="34"/>
      <c r="D1784" s="34"/>
      <c r="H1784" s="150" t="s">
        <v>40</v>
      </c>
      <c r="I1784" s="151"/>
      <c r="J1784" s="151"/>
      <c r="K1784" s="151"/>
      <c r="L1784" s="151"/>
      <c r="M1784" s="151"/>
      <c r="N1784" s="151"/>
      <c r="O1784" s="151"/>
      <c r="P1784" s="151"/>
      <c r="Q1784" s="151"/>
      <c r="R1784" s="151"/>
      <c r="S1784" s="151"/>
      <c r="T1784" s="151"/>
      <c r="U1784" s="151"/>
      <c r="V1784" s="151"/>
    </row>
    <row r="1785" spans="2:24" x14ac:dyDescent="0.25">
      <c r="B1785" s="34" t="s">
        <v>38</v>
      </c>
      <c r="C1785" s="34"/>
      <c r="D1785" s="34"/>
      <c r="H1785" s="152"/>
      <c r="I1785" s="153"/>
      <c r="J1785" s="153"/>
      <c r="K1785" s="153"/>
      <c r="L1785" s="153"/>
      <c r="M1785" s="153"/>
      <c r="N1785" s="153"/>
      <c r="O1785" s="153"/>
      <c r="P1785" s="153"/>
      <c r="Q1785" s="153"/>
      <c r="R1785" s="153"/>
      <c r="S1785" s="153"/>
      <c r="T1785" s="153"/>
      <c r="U1785" s="153"/>
      <c r="V1785" s="153"/>
    </row>
    <row r="1786" spans="2:24" ht="12.75" customHeight="1" x14ac:dyDescent="0.25">
      <c r="B1786" s="163" t="s">
        <v>39</v>
      </c>
      <c r="C1786" s="163"/>
      <c r="D1786" s="163"/>
      <c r="E1786" s="163"/>
      <c r="F1786" s="163"/>
      <c r="H1786" s="37" t="s">
        <v>41</v>
      </c>
    </row>
    <row r="1787" spans="2:24" ht="13.8" x14ac:dyDescent="0.25">
      <c r="B1787" s="163"/>
      <c r="C1787" s="163"/>
      <c r="D1787" s="163"/>
      <c r="E1787" s="163"/>
      <c r="F1787" s="163"/>
      <c r="H1787" s="38" t="s">
        <v>42</v>
      </c>
    </row>
    <row r="1788" spans="2:24" x14ac:dyDescent="0.25">
      <c r="B1788" s="163"/>
      <c r="C1788" s="163"/>
      <c r="D1788" s="163"/>
      <c r="E1788" s="163"/>
      <c r="F1788" s="163"/>
      <c r="H1788" s="36"/>
    </row>
    <row r="1789" spans="2:24" x14ac:dyDescent="0.25">
      <c r="B1789" s="163"/>
      <c r="C1789" s="163"/>
      <c r="D1789" s="163"/>
      <c r="E1789" s="163"/>
      <c r="F1789" s="163"/>
      <c r="H1789" s="36"/>
    </row>
    <row r="1790" spans="2:24" x14ac:dyDescent="0.25">
      <c r="H1790" s="36"/>
    </row>
    <row r="1791" spans="2:24" x14ac:dyDescent="0.25">
      <c r="H1791" s="36"/>
    </row>
    <row r="1792" spans="2:24" x14ac:dyDescent="0.25">
      <c r="H1792" s="36"/>
    </row>
    <row r="1793" spans="2:24" x14ac:dyDescent="0.25">
      <c r="H1793" s="36"/>
    </row>
    <row r="1794" spans="2:24" ht="13.8" x14ac:dyDescent="0.25">
      <c r="H1794" s="157" t="str">
        <f>IF(F1734&lt;&gt;"",$H$78,"")</f>
        <v/>
      </c>
      <c r="I1794" s="158"/>
      <c r="J1794" s="158"/>
      <c r="K1794" s="158"/>
      <c r="L1794" s="158"/>
      <c r="M1794" s="158"/>
      <c r="N1794" s="158"/>
      <c r="O1794" s="158"/>
      <c r="P1794" s="158"/>
      <c r="Q1794" s="158"/>
      <c r="R1794" s="158"/>
      <c r="S1794" s="158"/>
      <c r="T1794" s="158"/>
      <c r="U1794" s="158"/>
      <c r="V1794" s="158"/>
    </row>
    <row r="1795" spans="2:24" x14ac:dyDescent="0.25">
      <c r="H1795" s="36"/>
    </row>
    <row r="1796" spans="2:24" ht="28.5" customHeight="1" x14ac:dyDescent="0.3">
      <c r="B1796" s="193" t="s">
        <v>43</v>
      </c>
      <c r="C1796" s="193"/>
      <c r="D1796" s="193"/>
      <c r="E1796" s="194"/>
      <c r="F1796" s="194"/>
      <c r="G1796" s="194"/>
      <c r="H1796" s="194"/>
      <c r="I1796" s="2"/>
      <c r="J1796" s="2"/>
      <c r="K1796" s="13" t="s">
        <v>25</v>
      </c>
      <c r="L1796" s="195" t="s">
        <v>14</v>
      </c>
      <c r="M1796" s="196"/>
      <c r="N1796" s="196"/>
      <c r="O1796" s="196"/>
      <c r="P1796" s="196"/>
      <c r="Q1796" s="196"/>
      <c r="R1796" s="196"/>
      <c r="S1796" s="196"/>
      <c r="T1796" s="196"/>
      <c r="U1796" s="196"/>
      <c r="V1796" s="197"/>
      <c r="X1796" s="1"/>
    </row>
    <row r="1797" spans="2:24" ht="26.25" customHeight="1" x14ac:dyDescent="0.4">
      <c r="B1797" s="39" t="s">
        <v>44</v>
      </c>
      <c r="C1797" s="39"/>
      <c r="D1797" s="39"/>
      <c r="E1797" s="2"/>
      <c r="F1797" s="2"/>
      <c r="G1797" s="2"/>
      <c r="H1797" s="2"/>
      <c r="I1797" s="2"/>
      <c r="J1797" s="2"/>
      <c r="K1797" s="29" t="s">
        <v>13</v>
      </c>
      <c r="L1797" s="15">
        <v>4</v>
      </c>
      <c r="M1797" s="16">
        <v>1</v>
      </c>
      <c r="N1797" s="15">
        <v>0</v>
      </c>
      <c r="O1797" s="198">
        <v>0</v>
      </c>
      <c r="P1797" s="199"/>
      <c r="Q1797" s="14">
        <v>0</v>
      </c>
      <c r="R1797" s="200">
        <v>1</v>
      </c>
      <c r="S1797" s="201"/>
      <c r="T1797" s="6"/>
      <c r="U1797" s="6"/>
      <c r="V1797" s="7"/>
      <c r="X1797" s="1"/>
    </row>
    <row r="1798" spans="2:24" ht="21" customHeight="1" x14ac:dyDescent="0.25">
      <c r="B1798" s="26" t="s">
        <v>45</v>
      </c>
      <c r="C1798" s="26"/>
      <c r="D1798" s="26"/>
      <c r="E1798" s="25"/>
      <c r="F1798" s="25"/>
      <c r="G1798" s="25"/>
      <c r="H1798" s="25"/>
      <c r="I1798" s="25"/>
      <c r="J1798" s="25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X1798" s="1"/>
    </row>
    <row r="1799" spans="2:24" ht="13.5" customHeight="1" x14ac:dyDescent="0.25">
      <c r="B1799" s="40" t="s">
        <v>24</v>
      </c>
      <c r="C1799" s="40"/>
      <c r="D1799" s="40"/>
      <c r="E1799" s="25"/>
      <c r="F1799" s="25"/>
      <c r="G1799" s="25"/>
      <c r="H1799" s="25"/>
      <c r="I1799" s="25"/>
      <c r="J1799" s="25"/>
      <c r="K1799" s="28" t="s">
        <v>6</v>
      </c>
      <c r="L1799" s="202" t="str">
        <f>IF(F1812&lt;&gt;"",$L$5,"")</f>
        <v/>
      </c>
      <c r="M1799" s="203"/>
      <c r="N1799" s="204" t="s">
        <v>15</v>
      </c>
      <c r="O1799" s="204"/>
      <c r="P1799" s="204"/>
      <c r="Q1799" s="205" t="str">
        <f>IF(F1812&lt;&gt;"",$Q$5,"")</f>
        <v/>
      </c>
      <c r="R1799" s="206"/>
      <c r="S1799" s="207" t="s">
        <v>16</v>
      </c>
      <c r="T1799" s="204"/>
      <c r="U1799" s="82" t="str">
        <f>IF(F1812&lt;&gt;"",$U$5,"")</f>
        <v/>
      </c>
      <c r="V1799" s="63"/>
      <c r="X1799" s="1"/>
    </row>
    <row r="1800" spans="2:24" ht="8.25" customHeight="1" x14ac:dyDescent="0.25"/>
    <row r="1801" spans="2:24" ht="11.25" customHeight="1" x14ac:dyDescent="0.25">
      <c r="B1801" s="24" t="s">
        <v>17</v>
      </c>
      <c r="C1801" s="24"/>
      <c r="D1801" s="24"/>
    </row>
    <row r="1802" spans="2:24" ht="11.25" customHeight="1" x14ac:dyDescent="0.25">
      <c r="B1802" s="8" t="s">
        <v>18</v>
      </c>
      <c r="C1802" s="8"/>
      <c r="D1802" s="8"/>
    </row>
    <row r="1803" spans="2:24" ht="5.25" customHeight="1" x14ac:dyDescent="0.25">
      <c r="B1803" s="8"/>
      <c r="C1803" s="8"/>
      <c r="D1803" s="8"/>
    </row>
    <row r="1804" spans="2:24" x14ac:dyDescent="0.25">
      <c r="B1804" s="179" t="s">
        <v>19</v>
      </c>
      <c r="C1804" s="179"/>
      <c r="D1804" s="179"/>
      <c r="E1804" s="179"/>
      <c r="F1804" s="179"/>
      <c r="G1804" s="18" t="s">
        <v>6</v>
      </c>
      <c r="H1804" s="64" t="str">
        <f>IF(F1812&lt;&gt;"",$H$10,"")</f>
        <v/>
      </c>
      <c r="I1804" s="9" t="s">
        <v>15</v>
      </c>
      <c r="J1804" s="83" t="str">
        <f>IF(F1812&lt;&gt;"",$J$10,"")</f>
        <v/>
      </c>
      <c r="K1804" s="9" t="s">
        <v>16</v>
      </c>
      <c r="L1804" s="180" t="str">
        <f>IF(F1812&lt;&gt;"",$L$10,"")</f>
        <v/>
      </c>
      <c r="M1804" s="181"/>
      <c r="X1804" s="32"/>
    </row>
    <row r="1805" spans="2:24" ht="5.25" customHeight="1" x14ac:dyDescent="0.25">
      <c r="B1805" s="8"/>
      <c r="C1805" s="8"/>
      <c r="D1805" s="8"/>
      <c r="E1805" s="8"/>
      <c r="F1805" s="8"/>
      <c r="G1805" s="19"/>
      <c r="H1805" s="20"/>
      <c r="I1805" s="21"/>
      <c r="J1805" s="20"/>
      <c r="K1805" s="10"/>
      <c r="L1805" s="22"/>
      <c r="X1805" s="32"/>
    </row>
    <row r="1806" spans="2:24" s="73" customFormat="1" ht="14.4" customHeight="1" x14ac:dyDescent="0.25">
      <c r="B1806" s="72" t="s">
        <v>20</v>
      </c>
      <c r="C1806" s="72"/>
      <c r="D1806" s="72"/>
      <c r="X1806" s="74"/>
    </row>
    <row r="1807" spans="2:24" s="73" customFormat="1" ht="14.4" customHeight="1" x14ac:dyDescent="0.25">
      <c r="B1807" s="75" t="s">
        <v>21</v>
      </c>
      <c r="C1807" s="10"/>
      <c r="D1807" s="10"/>
      <c r="E1807" s="22" t="s">
        <v>22</v>
      </c>
      <c r="X1807" s="74"/>
    </row>
    <row r="1808" spans="2:24" s="73" customFormat="1" ht="14.4" customHeight="1" x14ac:dyDescent="0.25">
      <c r="B1808" s="22"/>
      <c r="C1808" s="22"/>
      <c r="D1808" s="22"/>
      <c r="E1808" s="22" t="s">
        <v>23</v>
      </c>
      <c r="X1808" s="164" t="s">
        <v>102</v>
      </c>
    </row>
    <row r="1809" spans="2:24" ht="7.5" customHeight="1" x14ac:dyDescent="0.25">
      <c r="B1809" s="8"/>
      <c r="C1809" s="8"/>
      <c r="D1809" s="8"/>
      <c r="X1809" s="164"/>
    </row>
    <row r="1810" spans="2:24" ht="17.25" customHeight="1" x14ac:dyDescent="0.25">
      <c r="B1810" s="182"/>
      <c r="C1810" s="59"/>
      <c r="D1810" s="60"/>
      <c r="E1810" s="184" t="s">
        <v>0</v>
      </c>
      <c r="F1810" s="186" t="s">
        <v>1</v>
      </c>
      <c r="G1810" s="187"/>
      <c r="H1810" s="4"/>
      <c r="I1810" s="4"/>
      <c r="J1810" s="4"/>
      <c r="K1810" s="5"/>
      <c r="L1810" s="145" t="s">
        <v>3</v>
      </c>
      <c r="M1810" s="142"/>
      <c r="N1810" s="188" t="s">
        <v>10</v>
      </c>
      <c r="O1810" s="188"/>
      <c r="P1810" s="188"/>
      <c r="Q1810" s="188"/>
      <c r="R1810" s="188"/>
      <c r="S1810" s="188"/>
      <c r="T1810" s="188"/>
      <c r="U1810" s="189"/>
      <c r="V1810" s="3" t="s">
        <v>12</v>
      </c>
      <c r="X1810" s="68" t="s">
        <v>200</v>
      </c>
    </row>
    <row r="1811" spans="2:24" ht="17.25" customHeight="1" x14ac:dyDescent="0.25">
      <c r="B1811" s="183"/>
      <c r="C1811" s="61"/>
      <c r="D1811" s="62"/>
      <c r="E1811" s="185"/>
      <c r="F1811" s="30" t="s">
        <v>2</v>
      </c>
      <c r="G1811" s="17"/>
      <c r="H1811" s="6"/>
      <c r="I1811" s="6"/>
      <c r="J1811" s="6"/>
      <c r="K1811" s="7"/>
      <c r="L1811" s="190" t="s">
        <v>4</v>
      </c>
      <c r="M1811" s="191"/>
      <c r="N1811" s="192" t="s">
        <v>9</v>
      </c>
      <c r="O1811" s="192"/>
      <c r="P1811" s="192"/>
      <c r="Q1811" s="192"/>
      <c r="R1811" s="192"/>
      <c r="S1811" s="192"/>
      <c r="T1811" s="192"/>
      <c r="U1811" s="191"/>
      <c r="V1811" s="31" t="s">
        <v>11</v>
      </c>
      <c r="X1811" s="69"/>
    </row>
    <row r="1812" spans="2:24" ht="10.95" customHeight="1" x14ac:dyDescent="0.25">
      <c r="B1812" s="41"/>
      <c r="C1812" s="51"/>
      <c r="D1812" s="42"/>
      <c r="E1812" s="154">
        <v>231</v>
      </c>
      <c r="F1812" s="145" t="str">
        <f>_xlfn.IFNA(VLOOKUP(E1812,'Data Kyu'!$A$6:$I$471,3,0),"")</f>
        <v/>
      </c>
      <c r="G1812" s="142"/>
      <c r="H1812" s="66"/>
      <c r="I1812" s="66"/>
      <c r="J1812" s="66"/>
      <c r="K1812" s="66"/>
      <c r="L1812" s="145" t="str">
        <f>_xlfn.IFNA(VLOOKUP(E1812,'Data Kyu'!$A$6:$I$471,9,0),"")</f>
        <v/>
      </c>
      <c r="M1812" s="142"/>
      <c r="N1812" s="145" t="str">
        <f>_xlfn.IFNA(VLOOKUP(E1812,'Data Kyu'!$A$6:$I$471,6,0),"")</f>
        <v/>
      </c>
      <c r="O1812" s="141"/>
      <c r="P1812" s="139" t="s">
        <v>5</v>
      </c>
      <c r="Q1812" s="141" t="str">
        <f>_xlfn.IFNA(VLOOKUP(E1812,'Data Kyu'!$A$6:$I$471,7,0),"")</f>
        <v/>
      </c>
      <c r="R1812" s="141"/>
      <c r="S1812" s="139" t="s">
        <v>5</v>
      </c>
      <c r="T1812" s="141" t="str">
        <f>_xlfn.IFNA(VLOOKUP(E1812,'Data Kyu'!$A$6:$I$471,8,0),"")</f>
        <v/>
      </c>
      <c r="U1812" s="142"/>
      <c r="V1812" s="142" t="str">
        <f>_xlfn.IFNA(VLOOKUP(E1812,'Data Kyu'!$A$6:$I$471,4,0),"")</f>
        <v/>
      </c>
      <c r="X1812" s="214" t="str">
        <f>_xlfn.IFNA(VLOOKUP(F1812,'Data Kyu'!$C$6:$N$997,12,0),"No Data")</f>
        <v>No Data</v>
      </c>
    </row>
    <row r="1813" spans="2:24" ht="10.95" customHeight="1" x14ac:dyDescent="0.25">
      <c r="B1813" s="52"/>
      <c r="C1813" s="165" t="str">
        <f>IF(X1812="LULUS","V","")</f>
        <v/>
      </c>
      <c r="D1813" s="53"/>
      <c r="E1813" s="155"/>
      <c r="F1813" s="148"/>
      <c r="G1813" s="144"/>
      <c r="H1813" s="67"/>
      <c r="I1813" s="67"/>
      <c r="J1813" s="67"/>
      <c r="K1813" s="67"/>
      <c r="L1813" s="146"/>
      <c r="M1813" s="147"/>
      <c r="N1813" s="148"/>
      <c r="O1813" s="143"/>
      <c r="P1813" s="140"/>
      <c r="Q1813" s="143"/>
      <c r="R1813" s="143"/>
      <c r="S1813" s="140"/>
      <c r="T1813" s="143"/>
      <c r="U1813" s="144"/>
      <c r="V1813" s="147"/>
      <c r="X1813" s="214"/>
    </row>
    <row r="1814" spans="2:24" ht="10.95" customHeight="1" x14ac:dyDescent="0.25">
      <c r="B1814" s="52"/>
      <c r="C1814" s="166"/>
      <c r="D1814" s="53"/>
      <c r="E1814" s="155"/>
      <c r="F1814" s="167" t="str">
        <f>_xlfn.IFNA(VLOOKUP(E1812,'Data Kyu'!$A$6:$I$471,2,0),"")</f>
        <v/>
      </c>
      <c r="G1814" s="168"/>
      <c r="H1814" s="168"/>
      <c r="I1814" s="168"/>
      <c r="J1814" s="168"/>
      <c r="K1814" s="169"/>
      <c r="L1814" s="146"/>
      <c r="M1814" s="147"/>
      <c r="N1814" s="173" t="s">
        <v>6</v>
      </c>
      <c r="O1814" s="159"/>
      <c r="P1814" s="57"/>
      <c r="Q1814" s="159" t="s">
        <v>7</v>
      </c>
      <c r="R1814" s="159"/>
      <c r="S1814" s="57"/>
      <c r="T1814" s="159" t="s">
        <v>8</v>
      </c>
      <c r="U1814" s="160"/>
      <c r="V1814" s="175"/>
      <c r="X1814" s="214"/>
    </row>
    <row r="1815" spans="2:24" ht="10.95" customHeight="1" x14ac:dyDescent="0.25">
      <c r="B1815" s="54"/>
      <c r="C1815" s="76"/>
      <c r="D1815" s="56"/>
      <c r="E1815" s="156"/>
      <c r="F1815" s="170"/>
      <c r="G1815" s="171"/>
      <c r="H1815" s="171"/>
      <c r="I1815" s="171"/>
      <c r="J1815" s="171"/>
      <c r="K1815" s="172"/>
      <c r="L1815" s="148"/>
      <c r="M1815" s="144"/>
      <c r="N1815" s="174"/>
      <c r="O1815" s="161"/>
      <c r="P1815" s="27"/>
      <c r="Q1815" s="161"/>
      <c r="R1815" s="161"/>
      <c r="S1815" s="27"/>
      <c r="T1815" s="161"/>
      <c r="U1815" s="162"/>
      <c r="V1815" s="176"/>
      <c r="X1815" s="214"/>
    </row>
    <row r="1816" spans="2:24" ht="10.95" customHeight="1" x14ac:dyDescent="0.25">
      <c r="B1816" s="41"/>
      <c r="C1816" s="77"/>
      <c r="D1816" s="42"/>
      <c r="E1816" s="154">
        <f>E1812+1</f>
        <v>232</v>
      </c>
      <c r="F1816" s="145" t="str">
        <f>_xlfn.IFNA(VLOOKUP(E1816,'Data Kyu'!$A$6:$I$471,3,0),"")</f>
        <v/>
      </c>
      <c r="G1816" s="142"/>
      <c r="H1816" s="66"/>
      <c r="I1816" s="66"/>
      <c r="J1816" s="66"/>
      <c r="K1816" s="66"/>
      <c r="L1816" s="145" t="str">
        <f>_xlfn.IFNA(VLOOKUP(E1816,'Data Kyu'!$A$6:$I$471,9,0),"")</f>
        <v/>
      </c>
      <c r="M1816" s="142"/>
      <c r="N1816" s="145" t="str">
        <f>_xlfn.IFNA(VLOOKUP(E1816,'Data Kyu'!$A$6:$I$471,6,0),"")</f>
        <v/>
      </c>
      <c r="O1816" s="141"/>
      <c r="P1816" s="139" t="s">
        <v>5</v>
      </c>
      <c r="Q1816" s="141" t="str">
        <f>_xlfn.IFNA(VLOOKUP(E1816,'Data Kyu'!$A$6:$I$471,7,0),"")</f>
        <v/>
      </c>
      <c r="R1816" s="141"/>
      <c r="S1816" s="139" t="s">
        <v>5</v>
      </c>
      <c r="T1816" s="141" t="str">
        <f>_xlfn.IFNA(VLOOKUP(E1816,'Data Kyu'!$A$6:$I$471,8,0),"")</f>
        <v/>
      </c>
      <c r="U1816" s="142"/>
      <c r="V1816" s="142" t="str">
        <f>_xlfn.IFNA(VLOOKUP(E1816,'Data Kyu'!$A$6:$I$471,4,0),"")</f>
        <v/>
      </c>
      <c r="X1816" s="214" t="str">
        <f>_xlfn.IFNA(VLOOKUP(F1816,'Data Kyu'!$C$6:$N$997,12,0),"No Data")</f>
        <v>No Data</v>
      </c>
    </row>
    <row r="1817" spans="2:24" ht="10.95" customHeight="1" x14ac:dyDescent="0.25">
      <c r="B1817" s="52"/>
      <c r="C1817" s="165" t="str">
        <f>IF(X1816="LULUS","V","")</f>
        <v/>
      </c>
      <c r="D1817" s="53"/>
      <c r="E1817" s="155"/>
      <c r="F1817" s="148"/>
      <c r="G1817" s="144"/>
      <c r="H1817" s="67"/>
      <c r="I1817" s="67"/>
      <c r="J1817" s="67"/>
      <c r="K1817" s="67"/>
      <c r="L1817" s="146"/>
      <c r="M1817" s="147"/>
      <c r="N1817" s="148"/>
      <c r="O1817" s="143"/>
      <c r="P1817" s="140"/>
      <c r="Q1817" s="143"/>
      <c r="R1817" s="143"/>
      <c r="S1817" s="140"/>
      <c r="T1817" s="143"/>
      <c r="U1817" s="144"/>
      <c r="V1817" s="147"/>
      <c r="X1817" s="214"/>
    </row>
    <row r="1818" spans="2:24" ht="10.95" customHeight="1" x14ac:dyDescent="0.25">
      <c r="B1818" s="52"/>
      <c r="C1818" s="166"/>
      <c r="D1818" s="53"/>
      <c r="E1818" s="155"/>
      <c r="F1818" s="167" t="str">
        <f>_xlfn.IFNA(VLOOKUP(E1816,'Data Kyu'!$A$6:$I$471,2,0),"")</f>
        <v/>
      </c>
      <c r="G1818" s="168"/>
      <c r="H1818" s="168"/>
      <c r="I1818" s="168"/>
      <c r="J1818" s="168"/>
      <c r="K1818" s="169"/>
      <c r="L1818" s="146"/>
      <c r="M1818" s="147"/>
      <c r="N1818" s="173" t="s">
        <v>6</v>
      </c>
      <c r="O1818" s="159"/>
      <c r="P1818" s="57"/>
      <c r="Q1818" s="159" t="s">
        <v>7</v>
      </c>
      <c r="R1818" s="159"/>
      <c r="S1818" s="57"/>
      <c r="T1818" s="159" t="s">
        <v>8</v>
      </c>
      <c r="U1818" s="160"/>
      <c r="V1818" s="175"/>
      <c r="X1818" s="214"/>
    </row>
    <row r="1819" spans="2:24" ht="10.95" customHeight="1" x14ac:dyDescent="0.25">
      <c r="B1819" s="54"/>
      <c r="C1819" s="76"/>
      <c r="D1819" s="56"/>
      <c r="E1819" s="156"/>
      <c r="F1819" s="170"/>
      <c r="G1819" s="171"/>
      <c r="H1819" s="171"/>
      <c r="I1819" s="171"/>
      <c r="J1819" s="171"/>
      <c r="K1819" s="172"/>
      <c r="L1819" s="148"/>
      <c r="M1819" s="144"/>
      <c r="N1819" s="174"/>
      <c r="O1819" s="161"/>
      <c r="P1819" s="27"/>
      <c r="Q1819" s="161"/>
      <c r="R1819" s="161"/>
      <c r="S1819" s="27"/>
      <c r="T1819" s="161"/>
      <c r="U1819" s="162"/>
      <c r="V1819" s="176"/>
      <c r="X1819" s="214"/>
    </row>
    <row r="1820" spans="2:24" ht="10.95" customHeight="1" x14ac:dyDescent="0.25">
      <c r="B1820" s="41"/>
      <c r="C1820" s="77"/>
      <c r="D1820" s="42"/>
      <c r="E1820" s="154">
        <f t="shared" ref="E1820" si="104">E1816+1</f>
        <v>233</v>
      </c>
      <c r="F1820" s="145" t="str">
        <f>_xlfn.IFNA(VLOOKUP(E1820,'Data Kyu'!$A$6:$I$471,3,0),"")</f>
        <v/>
      </c>
      <c r="G1820" s="142"/>
      <c r="H1820" s="66"/>
      <c r="I1820" s="66"/>
      <c r="J1820" s="66"/>
      <c r="K1820" s="66"/>
      <c r="L1820" s="145" t="str">
        <f>_xlfn.IFNA(VLOOKUP(E1820,'Data Kyu'!$A$6:$I$471,9,0),"")</f>
        <v/>
      </c>
      <c r="M1820" s="142"/>
      <c r="N1820" s="145" t="str">
        <f>_xlfn.IFNA(VLOOKUP(E1820,'Data Kyu'!$A$6:$I$471,6,0),"")</f>
        <v/>
      </c>
      <c r="O1820" s="141"/>
      <c r="P1820" s="139" t="s">
        <v>5</v>
      </c>
      <c r="Q1820" s="141" t="str">
        <f>_xlfn.IFNA(VLOOKUP(E1820,'Data Kyu'!$A$6:$I$471,7,0),"")</f>
        <v/>
      </c>
      <c r="R1820" s="141"/>
      <c r="S1820" s="139" t="s">
        <v>5</v>
      </c>
      <c r="T1820" s="141" t="str">
        <f>_xlfn.IFNA(VLOOKUP(E1820,'Data Kyu'!$A$6:$I$471,8,0),"")</f>
        <v/>
      </c>
      <c r="U1820" s="142"/>
      <c r="V1820" s="142" t="str">
        <f>_xlfn.IFNA(VLOOKUP(E1820,'Data Kyu'!$A$6:$I$471,4,0),"")</f>
        <v/>
      </c>
      <c r="X1820" s="214" t="str">
        <f>_xlfn.IFNA(VLOOKUP(F1820,'Data Kyu'!$C$6:$N$997,12,0),"No Data")</f>
        <v>No Data</v>
      </c>
    </row>
    <row r="1821" spans="2:24" ht="10.95" customHeight="1" x14ac:dyDescent="0.25">
      <c r="B1821" s="52"/>
      <c r="C1821" s="165" t="str">
        <f>IF(X1820="LULUS","V","")</f>
        <v/>
      </c>
      <c r="D1821" s="53"/>
      <c r="E1821" s="155"/>
      <c r="F1821" s="148"/>
      <c r="G1821" s="144"/>
      <c r="H1821" s="67"/>
      <c r="I1821" s="67"/>
      <c r="J1821" s="67"/>
      <c r="K1821" s="67"/>
      <c r="L1821" s="146"/>
      <c r="M1821" s="147"/>
      <c r="N1821" s="148"/>
      <c r="O1821" s="143"/>
      <c r="P1821" s="140"/>
      <c r="Q1821" s="143"/>
      <c r="R1821" s="143"/>
      <c r="S1821" s="140"/>
      <c r="T1821" s="143"/>
      <c r="U1821" s="144"/>
      <c r="V1821" s="147"/>
      <c r="X1821" s="214"/>
    </row>
    <row r="1822" spans="2:24" ht="10.95" customHeight="1" x14ac:dyDescent="0.25">
      <c r="B1822" s="52"/>
      <c r="C1822" s="166"/>
      <c r="D1822" s="53"/>
      <c r="E1822" s="155"/>
      <c r="F1822" s="167" t="str">
        <f>_xlfn.IFNA(VLOOKUP(E1820,'Data Kyu'!$A$6:$I$471,2,0),"")</f>
        <v/>
      </c>
      <c r="G1822" s="168"/>
      <c r="H1822" s="168"/>
      <c r="I1822" s="168"/>
      <c r="J1822" s="168"/>
      <c r="K1822" s="169"/>
      <c r="L1822" s="146"/>
      <c r="M1822" s="147"/>
      <c r="N1822" s="173" t="s">
        <v>6</v>
      </c>
      <c r="O1822" s="159"/>
      <c r="P1822" s="57"/>
      <c r="Q1822" s="159" t="s">
        <v>7</v>
      </c>
      <c r="R1822" s="159"/>
      <c r="S1822" s="57"/>
      <c r="T1822" s="159" t="s">
        <v>8</v>
      </c>
      <c r="U1822" s="160"/>
      <c r="V1822" s="175"/>
      <c r="X1822" s="214"/>
    </row>
    <row r="1823" spans="2:24" ht="10.95" customHeight="1" x14ac:dyDescent="0.25">
      <c r="B1823" s="54"/>
      <c r="C1823" s="76"/>
      <c r="D1823" s="56"/>
      <c r="E1823" s="156"/>
      <c r="F1823" s="170"/>
      <c r="G1823" s="171"/>
      <c r="H1823" s="171"/>
      <c r="I1823" s="171"/>
      <c r="J1823" s="171"/>
      <c r="K1823" s="172"/>
      <c r="L1823" s="148"/>
      <c r="M1823" s="144"/>
      <c r="N1823" s="174"/>
      <c r="O1823" s="161"/>
      <c r="P1823" s="27"/>
      <c r="Q1823" s="161"/>
      <c r="R1823" s="161"/>
      <c r="S1823" s="27"/>
      <c r="T1823" s="161"/>
      <c r="U1823" s="162"/>
      <c r="V1823" s="176"/>
      <c r="X1823" s="214"/>
    </row>
    <row r="1824" spans="2:24" ht="10.95" customHeight="1" x14ac:dyDescent="0.25">
      <c r="B1824" s="41"/>
      <c r="C1824" s="77"/>
      <c r="D1824" s="42"/>
      <c r="E1824" s="154">
        <f t="shared" ref="E1824" si="105">E1820+1</f>
        <v>234</v>
      </c>
      <c r="F1824" s="145" t="str">
        <f>_xlfn.IFNA(VLOOKUP(E1824,'Data Kyu'!$A$6:$I$471,3,0),"")</f>
        <v/>
      </c>
      <c r="G1824" s="142"/>
      <c r="H1824" s="66"/>
      <c r="I1824" s="66"/>
      <c r="J1824" s="66"/>
      <c r="K1824" s="66"/>
      <c r="L1824" s="145" t="str">
        <f>_xlfn.IFNA(VLOOKUP(E1824,'Data Kyu'!$A$6:$I$471,9,0),"")</f>
        <v/>
      </c>
      <c r="M1824" s="142"/>
      <c r="N1824" s="145" t="str">
        <f>_xlfn.IFNA(VLOOKUP(E1824,'Data Kyu'!$A$6:$I$471,6,0),"")</f>
        <v/>
      </c>
      <c r="O1824" s="141"/>
      <c r="P1824" s="139" t="s">
        <v>5</v>
      </c>
      <c r="Q1824" s="141" t="str">
        <f>_xlfn.IFNA(VLOOKUP(E1824,'Data Kyu'!$A$6:$I$471,7,0),"")</f>
        <v/>
      </c>
      <c r="R1824" s="141"/>
      <c r="S1824" s="139" t="s">
        <v>5</v>
      </c>
      <c r="T1824" s="141" t="str">
        <f>_xlfn.IFNA(VLOOKUP(E1824,'Data Kyu'!$A$6:$I$471,8,0),"")</f>
        <v/>
      </c>
      <c r="U1824" s="142"/>
      <c r="V1824" s="142" t="str">
        <f>_xlfn.IFNA(VLOOKUP(E1824,'Data Kyu'!$A$6:$I$471,4,0),"")</f>
        <v/>
      </c>
      <c r="X1824" s="214" t="str">
        <f>_xlfn.IFNA(VLOOKUP(F1824,'Data Kyu'!$C$6:$N$997,12,0),"No Data")</f>
        <v>No Data</v>
      </c>
    </row>
    <row r="1825" spans="2:24" ht="10.95" customHeight="1" x14ac:dyDescent="0.25">
      <c r="B1825" s="52"/>
      <c r="C1825" s="165" t="str">
        <f>IF(X1824="LULUS","V","")</f>
        <v/>
      </c>
      <c r="D1825" s="53"/>
      <c r="E1825" s="155"/>
      <c r="F1825" s="148"/>
      <c r="G1825" s="144"/>
      <c r="H1825" s="67"/>
      <c r="I1825" s="67"/>
      <c r="J1825" s="67"/>
      <c r="K1825" s="67"/>
      <c r="L1825" s="146"/>
      <c r="M1825" s="147"/>
      <c r="N1825" s="148"/>
      <c r="O1825" s="143"/>
      <c r="P1825" s="140"/>
      <c r="Q1825" s="143"/>
      <c r="R1825" s="143"/>
      <c r="S1825" s="140"/>
      <c r="T1825" s="143"/>
      <c r="U1825" s="144"/>
      <c r="V1825" s="147"/>
      <c r="X1825" s="214"/>
    </row>
    <row r="1826" spans="2:24" ht="10.95" customHeight="1" x14ac:dyDescent="0.25">
      <c r="B1826" s="52"/>
      <c r="C1826" s="166"/>
      <c r="D1826" s="53"/>
      <c r="E1826" s="155"/>
      <c r="F1826" s="167" t="str">
        <f>_xlfn.IFNA(VLOOKUP(E1824,'Data Kyu'!$A$6:$I$471,2,0),"")</f>
        <v/>
      </c>
      <c r="G1826" s="168"/>
      <c r="H1826" s="168"/>
      <c r="I1826" s="168"/>
      <c r="J1826" s="168"/>
      <c r="K1826" s="169"/>
      <c r="L1826" s="146"/>
      <c r="M1826" s="147"/>
      <c r="N1826" s="173" t="s">
        <v>6</v>
      </c>
      <c r="O1826" s="159"/>
      <c r="P1826" s="57"/>
      <c r="Q1826" s="159" t="s">
        <v>7</v>
      </c>
      <c r="R1826" s="159"/>
      <c r="S1826" s="57"/>
      <c r="T1826" s="159" t="s">
        <v>8</v>
      </c>
      <c r="U1826" s="160"/>
      <c r="V1826" s="175"/>
      <c r="X1826" s="214"/>
    </row>
    <row r="1827" spans="2:24" ht="10.95" customHeight="1" x14ac:dyDescent="0.25">
      <c r="B1827" s="54"/>
      <c r="C1827" s="76"/>
      <c r="D1827" s="56"/>
      <c r="E1827" s="156"/>
      <c r="F1827" s="170"/>
      <c r="G1827" s="171"/>
      <c r="H1827" s="171"/>
      <c r="I1827" s="171"/>
      <c r="J1827" s="171"/>
      <c r="K1827" s="172"/>
      <c r="L1827" s="148"/>
      <c r="M1827" s="144"/>
      <c r="N1827" s="174"/>
      <c r="O1827" s="161"/>
      <c r="P1827" s="27"/>
      <c r="Q1827" s="161"/>
      <c r="R1827" s="161"/>
      <c r="S1827" s="27"/>
      <c r="T1827" s="161"/>
      <c r="U1827" s="162"/>
      <c r="V1827" s="176"/>
      <c r="X1827" s="214"/>
    </row>
    <row r="1828" spans="2:24" ht="10.95" customHeight="1" x14ac:dyDescent="0.25">
      <c r="B1828" s="41"/>
      <c r="C1828" s="77"/>
      <c r="D1828" s="42"/>
      <c r="E1828" s="154">
        <f t="shared" ref="E1828" si="106">E1824+1</f>
        <v>235</v>
      </c>
      <c r="F1828" s="145" t="str">
        <f>_xlfn.IFNA(VLOOKUP(E1828,'Data Kyu'!$A$6:$I$471,3,0),"")</f>
        <v/>
      </c>
      <c r="G1828" s="142"/>
      <c r="H1828" s="66"/>
      <c r="I1828" s="66"/>
      <c r="J1828" s="66"/>
      <c r="K1828" s="66"/>
      <c r="L1828" s="145" t="str">
        <f>_xlfn.IFNA(VLOOKUP(E1828,'Data Kyu'!$A$6:$I$471,9,0),"")</f>
        <v/>
      </c>
      <c r="M1828" s="142"/>
      <c r="N1828" s="145" t="str">
        <f>_xlfn.IFNA(VLOOKUP(E1828,'Data Kyu'!$A$6:$I$471,6,0),"")</f>
        <v/>
      </c>
      <c r="O1828" s="141"/>
      <c r="P1828" s="139" t="s">
        <v>5</v>
      </c>
      <c r="Q1828" s="141" t="str">
        <f>_xlfn.IFNA(VLOOKUP(E1828,'Data Kyu'!$A$6:$I$471,7,0),"")</f>
        <v/>
      </c>
      <c r="R1828" s="141"/>
      <c r="S1828" s="139" t="s">
        <v>5</v>
      </c>
      <c r="T1828" s="141" t="str">
        <f>_xlfn.IFNA(VLOOKUP(E1828,'Data Kyu'!$A$6:$I$471,8,0),"")</f>
        <v/>
      </c>
      <c r="U1828" s="142"/>
      <c r="V1828" s="142" t="str">
        <f>_xlfn.IFNA(VLOOKUP(E1828,'Data Kyu'!$A$6:$I$471,4,0),"")</f>
        <v/>
      </c>
      <c r="X1828" s="214" t="str">
        <f>_xlfn.IFNA(VLOOKUP(F1828,'Data Kyu'!$C$6:$N$997,12,0),"No Data")</f>
        <v>No Data</v>
      </c>
    </row>
    <row r="1829" spans="2:24" ht="10.95" customHeight="1" x14ac:dyDescent="0.25">
      <c r="B1829" s="52"/>
      <c r="C1829" s="165" t="str">
        <f>IF(X1828="LULUS","V","")</f>
        <v/>
      </c>
      <c r="D1829" s="53"/>
      <c r="E1829" s="155"/>
      <c r="F1829" s="148"/>
      <c r="G1829" s="144"/>
      <c r="H1829" s="67"/>
      <c r="I1829" s="67"/>
      <c r="J1829" s="67"/>
      <c r="K1829" s="67"/>
      <c r="L1829" s="146"/>
      <c r="M1829" s="147"/>
      <c r="N1829" s="148"/>
      <c r="O1829" s="143"/>
      <c r="P1829" s="140"/>
      <c r="Q1829" s="143"/>
      <c r="R1829" s="143"/>
      <c r="S1829" s="140"/>
      <c r="T1829" s="143"/>
      <c r="U1829" s="144"/>
      <c r="V1829" s="147"/>
      <c r="X1829" s="214"/>
    </row>
    <row r="1830" spans="2:24" ht="10.95" customHeight="1" x14ac:dyDescent="0.25">
      <c r="B1830" s="52"/>
      <c r="C1830" s="166"/>
      <c r="D1830" s="53"/>
      <c r="E1830" s="155"/>
      <c r="F1830" s="167" t="str">
        <f>_xlfn.IFNA(VLOOKUP(E1828,'Data Kyu'!$A$6:$I$471,2,0),"")</f>
        <v/>
      </c>
      <c r="G1830" s="168"/>
      <c r="H1830" s="168"/>
      <c r="I1830" s="168"/>
      <c r="J1830" s="168"/>
      <c r="K1830" s="169"/>
      <c r="L1830" s="146"/>
      <c r="M1830" s="147"/>
      <c r="N1830" s="173" t="s">
        <v>6</v>
      </c>
      <c r="O1830" s="159"/>
      <c r="P1830" s="57"/>
      <c r="Q1830" s="159" t="s">
        <v>7</v>
      </c>
      <c r="R1830" s="159"/>
      <c r="S1830" s="57"/>
      <c r="T1830" s="159" t="s">
        <v>8</v>
      </c>
      <c r="U1830" s="160"/>
      <c r="V1830" s="175"/>
      <c r="X1830" s="214"/>
    </row>
    <row r="1831" spans="2:24" ht="10.95" customHeight="1" x14ac:dyDescent="0.25">
      <c r="B1831" s="54"/>
      <c r="C1831" s="76"/>
      <c r="D1831" s="56"/>
      <c r="E1831" s="156"/>
      <c r="F1831" s="170"/>
      <c r="G1831" s="171"/>
      <c r="H1831" s="171"/>
      <c r="I1831" s="171"/>
      <c r="J1831" s="171"/>
      <c r="K1831" s="172"/>
      <c r="L1831" s="148"/>
      <c r="M1831" s="144"/>
      <c r="N1831" s="174"/>
      <c r="O1831" s="161"/>
      <c r="P1831" s="27"/>
      <c r="Q1831" s="161"/>
      <c r="R1831" s="161"/>
      <c r="S1831" s="27"/>
      <c r="T1831" s="161"/>
      <c r="U1831" s="162"/>
      <c r="V1831" s="176"/>
      <c r="X1831" s="214"/>
    </row>
    <row r="1832" spans="2:24" ht="10.95" customHeight="1" x14ac:dyDescent="0.25">
      <c r="B1832" s="41"/>
      <c r="C1832" s="77"/>
      <c r="D1832" s="42"/>
      <c r="E1832" s="154">
        <f t="shared" ref="E1832" si="107">E1828+1</f>
        <v>236</v>
      </c>
      <c r="F1832" s="145" t="str">
        <f>_xlfn.IFNA(VLOOKUP(E1832,'Data Kyu'!$A$6:$I$471,3,0),"")</f>
        <v/>
      </c>
      <c r="G1832" s="142"/>
      <c r="H1832" s="66"/>
      <c r="I1832" s="66"/>
      <c r="J1832" s="66"/>
      <c r="K1832" s="66"/>
      <c r="L1832" s="145" t="str">
        <f>_xlfn.IFNA(VLOOKUP(E1832,'Data Kyu'!$A$6:$I$471,9,0),"")</f>
        <v/>
      </c>
      <c r="M1832" s="142"/>
      <c r="N1832" s="145" t="str">
        <f>_xlfn.IFNA(VLOOKUP(E1832,'Data Kyu'!$A$6:$I$471,6,0),"")</f>
        <v/>
      </c>
      <c r="O1832" s="141"/>
      <c r="P1832" s="139" t="s">
        <v>5</v>
      </c>
      <c r="Q1832" s="141" t="str">
        <f>_xlfn.IFNA(VLOOKUP(E1832,'Data Kyu'!$A$6:$I$471,7,0),"")</f>
        <v/>
      </c>
      <c r="R1832" s="141"/>
      <c r="S1832" s="139" t="s">
        <v>5</v>
      </c>
      <c r="T1832" s="141" t="str">
        <f>_xlfn.IFNA(VLOOKUP(E1832,'Data Kyu'!$A$6:$I$471,8,0),"")</f>
        <v/>
      </c>
      <c r="U1832" s="142"/>
      <c r="V1832" s="142" t="str">
        <f>_xlfn.IFNA(VLOOKUP(E1832,'Data Kyu'!$A$6:$I$471,4,0),"")</f>
        <v/>
      </c>
      <c r="X1832" s="214" t="str">
        <f>_xlfn.IFNA(VLOOKUP(F1832,'Data Kyu'!$C$6:$N$997,12,0),"No Data")</f>
        <v>No Data</v>
      </c>
    </row>
    <row r="1833" spans="2:24" ht="10.95" customHeight="1" x14ac:dyDescent="0.25">
      <c r="B1833" s="52"/>
      <c r="C1833" s="165" t="str">
        <f>IF(X1832="LULUS","V","")</f>
        <v/>
      </c>
      <c r="D1833" s="53"/>
      <c r="E1833" s="155"/>
      <c r="F1833" s="148"/>
      <c r="G1833" s="144"/>
      <c r="H1833" s="67"/>
      <c r="I1833" s="67"/>
      <c r="J1833" s="67"/>
      <c r="K1833" s="67"/>
      <c r="L1833" s="146"/>
      <c r="M1833" s="147"/>
      <c r="N1833" s="148"/>
      <c r="O1833" s="143"/>
      <c r="P1833" s="140"/>
      <c r="Q1833" s="143"/>
      <c r="R1833" s="143"/>
      <c r="S1833" s="140"/>
      <c r="T1833" s="143"/>
      <c r="U1833" s="144"/>
      <c r="V1833" s="147"/>
      <c r="X1833" s="214"/>
    </row>
    <row r="1834" spans="2:24" ht="10.95" customHeight="1" x14ac:dyDescent="0.25">
      <c r="B1834" s="52"/>
      <c r="C1834" s="166"/>
      <c r="D1834" s="53"/>
      <c r="E1834" s="155"/>
      <c r="F1834" s="167" t="str">
        <f>_xlfn.IFNA(VLOOKUP(E1832,'Data Kyu'!$A$6:$I$471,2,0),"")</f>
        <v/>
      </c>
      <c r="G1834" s="168"/>
      <c r="H1834" s="168"/>
      <c r="I1834" s="168"/>
      <c r="J1834" s="168"/>
      <c r="K1834" s="169"/>
      <c r="L1834" s="146"/>
      <c r="M1834" s="147"/>
      <c r="N1834" s="173" t="s">
        <v>6</v>
      </c>
      <c r="O1834" s="159"/>
      <c r="P1834" s="57"/>
      <c r="Q1834" s="159" t="s">
        <v>7</v>
      </c>
      <c r="R1834" s="159"/>
      <c r="S1834" s="57"/>
      <c r="T1834" s="159" t="s">
        <v>8</v>
      </c>
      <c r="U1834" s="160"/>
      <c r="V1834" s="175"/>
      <c r="X1834" s="214"/>
    </row>
    <row r="1835" spans="2:24" ht="10.95" customHeight="1" x14ac:dyDescent="0.25">
      <c r="B1835" s="54"/>
      <c r="C1835" s="76"/>
      <c r="D1835" s="56"/>
      <c r="E1835" s="156"/>
      <c r="F1835" s="170"/>
      <c r="G1835" s="171"/>
      <c r="H1835" s="171"/>
      <c r="I1835" s="171"/>
      <c r="J1835" s="171"/>
      <c r="K1835" s="172"/>
      <c r="L1835" s="148"/>
      <c r="M1835" s="144"/>
      <c r="N1835" s="174"/>
      <c r="O1835" s="161"/>
      <c r="P1835" s="27"/>
      <c r="Q1835" s="161"/>
      <c r="R1835" s="161"/>
      <c r="S1835" s="27"/>
      <c r="T1835" s="161"/>
      <c r="U1835" s="162"/>
      <c r="V1835" s="176"/>
      <c r="X1835" s="214"/>
    </row>
    <row r="1836" spans="2:24" ht="10.95" customHeight="1" x14ac:dyDescent="0.25">
      <c r="B1836" s="41"/>
      <c r="C1836" s="77"/>
      <c r="D1836" s="42"/>
      <c r="E1836" s="154">
        <f t="shared" ref="E1836" si="108">E1832+1</f>
        <v>237</v>
      </c>
      <c r="F1836" s="145" t="str">
        <f>_xlfn.IFNA(VLOOKUP(E1836,'Data Kyu'!$A$6:$I$471,3,0),"")</f>
        <v/>
      </c>
      <c r="G1836" s="142"/>
      <c r="H1836" s="66"/>
      <c r="I1836" s="66"/>
      <c r="J1836" s="66"/>
      <c r="K1836" s="66"/>
      <c r="L1836" s="145" t="str">
        <f>_xlfn.IFNA(VLOOKUP(E1836,'Data Kyu'!$A$6:$I$471,9,0),"")</f>
        <v/>
      </c>
      <c r="M1836" s="142"/>
      <c r="N1836" s="145" t="str">
        <f>_xlfn.IFNA(VLOOKUP(E1836,'Data Kyu'!$A$6:$I$471,6,0),"")</f>
        <v/>
      </c>
      <c r="O1836" s="141"/>
      <c r="P1836" s="139" t="s">
        <v>5</v>
      </c>
      <c r="Q1836" s="141" t="str">
        <f>_xlfn.IFNA(VLOOKUP(E1836,'Data Kyu'!$A$6:$I$471,7,0),"")</f>
        <v/>
      </c>
      <c r="R1836" s="141"/>
      <c r="S1836" s="139" t="s">
        <v>5</v>
      </c>
      <c r="T1836" s="141" t="str">
        <f>_xlfn.IFNA(VLOOKUP(E1836,'Data Kyu'!$A$6:$I$471,8,0),"")</f>
        <v/>
      </c>
      <c r="U1836" s="142"/>
      <c r="V1836" s="142" t="str">
        <f>_xlfn.IFNA(VLOOKUP(E1836,'Data Kyu'!$A$6:$I$471,4,0),"")</f>
        <v/>
      </c>
      <c r="X1836" s="214" t="str">
        <f>_xlfn.IFNA(VLOOKUP(F1836,'Data Kyu'!$C$6:$N$997,12,0),"No Data")</f>
        <v>No Data</v>
      </c>
    </row>
    <row r="1837" spans="2:24" ht="10.95" customHeight="1" x14ac:dyDescent="0.25">
      <c r="B1837" s="52"/>
      <c r="C1837" s="165" t="str">
        <f>IF(X1836="LULUS","V","")</f>
        <v/>
      </c>
      <c r="D1837" s="53"/>
      <c r="E1837" s="155"/>
      <c r="F1837" s="148"/>
      <c r="G1837" s="144"/>
      <c r="H1837" s="67"/>
      <c r="I1837" s="67"/>
      <c r="J1837" s="67"/>
      <c r="K1837" s="67"/>
      <c r="L1837" s="146"/>
      <c r="M1837" s="147"/>
      <c r="N1837" s="148"/>
      <c r="O1837" s="143"/>
      <c r="P1837" s="140"/>
      <c r="Q1837" s="143"/>
      <c r="R1837" s="143"/>
      <c r="S1837" s="140"/>
      <c r="T1837" s="143"/>
      <c r="U1837" s="144"/>
      <c r="V1837" s="147"/>
      <c r="X1837" s="214"/>
    </row>
    <row r="1838" spans="2:24" ht="10.95" customHeight="1" x14ac:dyDescent="0.25">
      <c r="B1838" s="52"/>
      <c r="C1838" s="166"/>
      <c r="D1838" s="53"/>
      <c r="E1838" s="155"/>
      <c r="F1838" s="167" t="str">
        <f>_xlfn.IFNA(VLOOKUP(E1836,'Data Kyu'!$A$6:$I$471,2,0),"")</f>
        <v/>
      </c>
      <c r="G1838" s="168"/>
      <c r="H1838" s="168"/>
      <c r="I1838" s="168"/>
      <c r="J1838" s="168"/>
      <c r="K1838" s="169"/>
      <c r="L1838" s="146"/>
      <c r="M1838" s="147"/>
      <c r="N1838" s="173" t="s">
        <v>6</v>
      </c>
      <c r="O1838" s="159"/>
      <c r="P1838" s="57"/>
      <c r="Q1838" s="159" t="s">
        <v>7</v>
      </c>
      <c r="R1838" s="159"/>
      <c r="S1838" s="57"/>
      <c r="T1838" s="159" t="s">
        <v>8</v>
      </c>
      <c r="U1838" s="160"/>
      <c r="V1838" s="175"/>
      <c r="X1838" s="214"/>
    </row>
    <row r="1839" spans="2:24" ht="10.95" customHeight="1" x14ac:dyDescent="0.25">
      <c r="B1839" s="54"/>
      <c r="C1839" s="76"/>
      <c r="D1839" s="56"/>
      <c r="E1839" s="156"/>
      <c r="F1839" s="170"/>
      <c r="G1839" s="171"/>
      <c r="H1839" s="171"/>
      <c r="I1839" s="171"/>
      <c r="J1839" s="171"/>
      <c r="K1839" s="172"/>
      <c r="L1839" s="148"/>
      <c r="M1839" s="144"/>
      <c r="N1839" s="174"/>
      <c r="O1839" s="161"/>
      <c r="P1839" s="27"/>
      <c r="Q1839" s="161"/>
      <c r="R1839" s="161"/>
      <c r="S1839" s="27"/>
      <c r="T1839" s="161"/>
      <c r="U1839" s="162"/>
      <c r="V1839" s="176"/>
      <c r="X1839" s="214"/>
    </row>
    <row r="1840" spans="2:24" ht="10.95" customHeight="1" x14ac:dyDescent="0.25">
      <c r="B1840" s="41"/>
      <c r="C1840" s="77"/>
      <c r="D1840" s="42"/>
      <c r="E1840" s="154">
        <f t="shared" ref="E1840" si="109">E1836+1</f>
        <v>238</v>
      </c>
      <c r="F1840" s="145" t="str">
        <f>_xlfn.IFNA(VLOOKUP(E1840,'Data Kyu'!$A$6:$I$471,3,0),"")</f>
        <v/>
      </c>
      <c r="G1840" s="142"/>
      <c r="H1840" s="66"/>
      <c r="I1840" s="66"/>
      <c r="J1840" s="66"/>
      <c r="K1840" s="66"/>
      <c r="L1840" s="145" t="str">
        <f>_xlfn.IFNA(VLOOKUP(E1840,'Data Kyu'!$A$6:$I$471,9,0),"")</f>
        <v/>
      </c>
      <c r="M1840" s="142"/>
      <c r="N1840" s="145" t="str">
        <f>_xlfn.IFNA(VLOOKUP(E1840,'Data Kyu'!$A$6:$I$471,6,0),"")</f>
        <v/>
      </c>
      <c r="O1840" s="141"/>
      <c r="P1840" s="139" t="s">
        <v>5</v>
      </c>
      <c r="Q1840" s="141" t="str">
        <f>_xlfn.IFNA(VLOOKUP(E1840,'Data Kyu'!$A$6:$I$471,7,0),"")</f>
        <v/>
      </c>
      <c r="R1840" s="141"/>
      <c r="S1840" s="139" t="s">
        <v>5</v>
      </c>
      <c r="T1840" s="141" t="str">
        <f>_xlfn.IFNA(VLOOKUP(E1840,'Data Kyu'!$A$6:$I$471,8,0),"")</f>
        <v/>
      </c>
      <c r="U1840" s="142"/>
      <c r="V1840" s="142" t="str">
        <f>_xlfn.IFNA(VLOOKUP(E1840,'Data Kyu'!$A$6:$I$471,4,0),"")</f>
        <v/>
      </c>
      <c r="X1840" s="214" t="str">
        <f>_xlfn.IFNA(VLOOKUP(F1840,'Data Kyu'!$C$6:$N$997,12,0),"No Data")</f>
        <v>No Data</v>
      </c>
    </row>
    <row r="1841" spans="2:24" ht="10.95" customHeight="1" x14ac:dyDescent="0.25">
      <c r="B1841" s="52"/>
      <c r="C1841" s="165" t="str">
        <f>IF(X1840="LULUS","V","")</f>
        <v/>
      </c>
      <c r="D1841" s="53"/>
      <c r="E1841" s="155"/>
      <c r="F1841" s="148"/>
      <c r="G1841" s="144"/>
      <c r="H1841" s="67"/>
      <c r="I1841" s="67"/>
      <c r="J1841" s="67"/>
      <c r="K1841" s="67"/>
      <c r="L1841" s="146"/>
      <c r="M1841" s="147"/>
      <c r="N1841" s="148"/>
      <c r="O1841" s="143"/>
      <c r="P1841" s="140"/>
      <c r="Q1841" s="143"/>
      <c r="R1841" s="143"/>
      <c r="S1841" s="140"/>
      <c r="T1841" s="143"/>
      <c r="U1841" s="144"/>
      <c r="V1841" s="147"/>
      <c r="X1841" s="214"/>
    </row>
    <row r="1842" spans="2:24" ht="10.95" customHeight="1" x14ac:dyDescent="0.25">
      <c r="B1842" s="52"/>
      <c r="C1842" s="166"/>
      <c r="D1842" s="53"/>
      <c r="E1842" s="155"/>
      <c r="F1842" s="167" t="str">
        <f>_xlfn.IFNA(VLOOKUP(E1840,'Data Kyu'!$A$6:$I$471,2,0),"")</f>
        <v/>
      </c>
      <c r="G1842" s="168"/>
      <c r="H1842" s="168"/>
      <c r="I1842" s="168"/>
      <c r="J1842" s="168"/>
      <c r="K1842" s="169"/>
      <c r="L1842" s="146"/>
      <c r="M1842" s="147"/>
      <c r="N1842" s="173" t="s">
        <v>6</v>
      </c>
      <c r="O1842" s="159"/>
      <c r="P1842" s="57"/>
      <c r="Q1842" s="159" t="s">
        <v>7</v>
      </c>
      <c r="R1842" s="159"/>
      <c r="S1842" s="57"/>
      <c r="T1842" s="159" t="s">
        <v>8</v>
      </c>
      <c r="U1842" s="160"/>
      <c r="V1842" s="175"/>
      <c r="X1842" s="214"/>
    </row>
    <row r="1843" spans="2:24" ht="10.95" customHeight="1" x14ac:dyDescent="0.25">
      <c r="B1843" s="54"/>
      <c r="C1843" s="76"/>
      <c r="D1843" s="56"/>
      <c r="E1843" s="156"/>
      <c r="F1843" s="170"/>
      <c r="G1843" s="171"/>
      <c r="H1843" s="171"/>
      <c r="I1843" s="171"/>
      <c r="J1843" s="171"/>
      <c r="K1843" s="172"/>
      <c r="L1843" s="148"/>
      <c r="M1843" s="144"/>
      <c r="N1843" s="174"/>
      <c r="O1843" s="161"/>
      <c r="P1843" s="27"/>
      <c r="Q1843" s="161"/>
      <c r="R1843" s="161"/>
      <c r="S1843" s="27"/>
      <c r="T1843" s="161"/>
      <c r="U1843" s="162"/>
      <c r="V1843" s="176"/>
      <c r="X1843" s="214"/>
    </row>
    <row r="1844" spans="2:24" ht="10.95" customHeight="1" x14ac:dyDescent="0.25">
      <c r="B1844" s="41"/>
      <c r="C1844" s="77"/>
      <c r="D1844" s="42"/>
      <c r="E1844" s="154">
        <f t="shared" ref="E1844" si="110">E1840+1</f>
        <v>239</v>
      </c>
      <c r="F1844" s="145" t="str">
        <f>_xlfn.IFNA(VLOOKUP(E1844,'Data Kyu'!$A$6:$I$471,3,0),"")</f>
        <v/>
      </c>
      <c r="G1844" s="142"/>
      <c r="H1844" s="66"/>
      <c r="I1844" s="66"/>
      <c r="J1844" s="66"/>
      <c r="K1844" s="66"/>
      <c r="L1844" s="145" t="str">
        <f>_xlfn.IFNA(VLOOKUP(E1844,'Data Kyu'!$A$6:$I$471,9,0),"")</f>
        <v/>
      </c>
      <c r="M1844" s="142"/>
      <c r="N1844" s="145" t="str">
        <f>_xlfn.IFNA(VLOOKUP(E1844,'Data Kyu'!$A$6:$I$471,6,0),"")</f>
        <v/>
      </c>
      <c r="O1844" s="141"/>
      <c r="P1844" s="139" t="s">
        <v>5</v>
      </c>
      <c r="Q1844" s="141" t="str">
        <f>_xlfn.IFNA(VLOOKUP(E1844,'Data Kyu'!$A$6:$I$471,7,0),"")</f>
        <v/>
      </c>
      <c r="R1844" s="141"/>
      <c r="S1844" s="139" t="s">
        <v>5</v>
      </c>
      <c r="T1844" s="141" t="str">
        <f>_xlfn.IFNA(VLOOKUP(E1844,'Data Kyu'!$A$6:$I$471,8,0),"")</f>
        <v/>
      </c>
      <c r="U1844" s="142"/>
      <c r="V1844" s="142" t="str">
        <f>_xlfn.IFNA(VLOOKUP(E1844,'Data Kyu'!$A$6:$I$471,4,0),"")</f>
        <v/>
      </c>
      <c r="X1844" s="214" t="str">
        <f>_xlfn.IFNA(VLOOKUP(F1844,'Data Kyu'!$C$6:$N$997,12,0),"No Data")</f>
        <v>No Data</v>
      </c>
    </row>
    <row r="1845" spans="2:24" ht="10.95" customHeight="1" x14ac:dyDescent="0.25">
      <c r="B1845" s="52"/>
      <c r="C1845" s="165" t="str">
        <f>IF(X1844="LULUS","V","")</f>
        <v/>
      </c>
      <c r="D1845" s="53"/>
      <c r="E1845" s="155"/>
      <c r="F1845" s="148"/>
      <c r="G1845" s="144"/>
      <c r="H1845" s="67"/>
      <c r="I1845" s="67"/>
      <c r="J1845" s="67"/>
      <c r="K1845" s="67"/>
      <c r="L1845" s="146"/>
      <c r="M1845" s="147"/>
      <c r="N1845" s="148"/>
      <c r="O1845" s="143"/>
      <c r="P1845" s="140"/>
      <c r="Q1845" s="143"/>
      <c r="R1845" s="143"/>
      <c r="S1845" s="140"/>
      <c r="T1845" s="143"/>
      <c r="U1845" s="144"/>
      <c r="V1845" s="147"/>
      <c r="X1845" s="214"/>
    </row>
    <row r="1846" spans="2:24" ht="10.95" customHeight="1" x14ac:dyDescent="0.25">
      <c r="B1846" s="52"/>
      <c r="C1846" s="166"/>
      <c r="D1846" s="53"/>
      <c r="E1846" s="155"/>
      <c r="F1846" s="167" t="str">
        <f>_xlfn.IFNA(VLOOKUP(E1844,'Data Kyu'!$A$6:$I$471,2,0),"")</f>
        <v/>
      </c>
      <c r="G1846" s="168"/>
      <c r="H1846" s="168"/>
      <c r="I1846" s="168"/>
      <c r="J1846" s="168"/>
      <c r="K1846" s="169"/>
      <c r="L1846" s="146"/>
      <c r="M1846" s="147"/>
      <c r="N1846" s="173" t="s">
        <v>6</v>
      </c>
      <c r="O1846" s="159"/>
      <c r="P1846" s="57"/>
      <c r="Q1846" s="159" t="s">
        <v>7</v>
      </c>
      <c r="R1846" s="159"/>
      <c r="S1846" s="57"/>
      <c r="T1846" s="159" t="s">
        <v>8</v>
      </c>
      <c r="U1846" s="160"/>
      <c r="V1846" s="175"/>
      <c r="X1846" s="214"/>
    </row>
    <row r="1847" spans="2:24" ht="10.95" customHeight="1" x14ac:dyDescent="0.25">
      <c r="B1847" s="54"/>
      <c r="C1847" s="76"/>
      <c r="D1847" s="56"/>
      <c r="E1847" s="156"/>
      <c r="F1847" s="170"/>
      <c r="G1847" s="171"/>
      <c r="H1847" s="171"/>
      <c r="I1847" s="171"/>
      <c r="J1847" s="171"/>
      <c r="K1847" s="172"/>
      <c r="L1847" s="148"/>
      <c r="M1847" s="144"/>
      <c r="N1847" s="174"/>
      <c r="O1847" s="161"/>
      <c r="P1847" s="27"/>
      <c r="Q1847" s="161"/>
      <c r="R1847" s="161"/>
      <c r="S1847" s="27"/>
      <c r="T1847" s="161"/>
      <c r="U1847" s="162"/>
      <c r="V1847" s="176"/>
      <c r="X1847" s="214"/>
    </row>
    <row r="1848" spans="2:24" ht="10.95" customHeight="1" x14ac:dyDescent="0.25">
      <c r="B1848" s="41"/>
      <c r="C1848" s="77"/>
      <c r="D1848" s="42"/>
      <c r="E1848" s="154">
        <f t="shared" ref="E1848" si="111">E1844+1</f>
        <v>240</v>
      </c>
      <c r="F1848" s="145" t="str">
        <f>_xlfn.IFNA(VLOOKUP(E1848,'Data Kyu'!$A$6:$I$471,3,0),"")</f>
        <v/>
      </c>
      <c r="G1848" s="142"/>
      <c r="H1848" s="66"/>
      <c r="I1848" s="66"/>
      <c r="J1848" s="66"/>
      <c r="K1848" s="66"/>
      <c r="L1848" s="145" t="str">
        <f>_xlfn.IFNA(VLOOKUP(E1848,'Data Kyu'!$A$6:$I$471,9,0),"")</f>
        <v/>
      </c>
      <c r="M1848" s="142"/>
      <c r="N1848" s="145" t="str">
        <f>_xlfn.IFNA(VLOOKUP(E1848,'Data Kyu'!$A$6:$I$471,6,0),"")</f>
        <v/>
      </c>
      <c r="O1848" s="141"/>
      <c r="P1848" s="139" t="s">
        <v>5</v>
      </c>
      <c r="Q1848" s="141" t="str">
        <f>_xlfn.IFNA(VLOOKUP(E1848,'Data Kyu'!$A$6:$I$471,7,0),"")</f>
        <v/>
      </c>
      <c r="R1848" s="141"/>
      <c r="S1848" s="139" t="s">
        <v>5</v>
      </c>
      <c r="T1848" s="141" t="str">
        <f>_xlfn.IFNA(VLOOKUP(E1848,'Data Kyu'!$A$6:$I$471,8,0),"")</f>
        <v/>
      </c>
      <c r="U1848" s="142"/>
      <c r="V1848" s="142" t="str">
        <f>_xlfn.IFNA(VLOOKUP(E1848,'Data Kyu'!$A$6:$I$471,4,0),"")</f>
        <v/>
      </c>
      <c r="X1848" s="214" t="str">
        <f>_xlfn.IFNA(VLOOKUP(F1848,'Data Kyu'!$C$6:$N$997,12,0),"No Data")</f>
        <v>No Data</v>
      </c>
    </row>
    <row r="1849" spans="2:24" ht="10.95" customHeight="1" x14ac:dyDescent="0.25">
      <c r="B1849" s="52"/>
      <c r="C1849" s="165" t="str">
        <f>IF(X1848="LULUS","V","")</f>
        <v/>
      </c>
      <c r="D1849" s="53"/>
      <c r="E1849" s="155"/>
      <c r="F1849" s="148"/>
      <c r="G1849" s="144"/>
      <c r="H1849" s="67"/>
      <c r="I1849" s="67"/>
      <c r="J1849" s="67"/>
      <c r="K1849" s="67"/>
      <c r="L1849" s="146"/>
      <c r="M1849" s="147"/>
      <c r="N1849" s="148"/>
      <c r="O1849" s="143"/>
      <c r="P1849" s="140"/>
      <c r="Q1849" s="143"/>
      <c r="R1849" s="143"/>
      <c r="S1849" s="140"/>
      <c r="T1849" s="143"/>
      <c r="U1849" s="144"/>
      <c r="V1849" s="147"/>
      <c r="X1849" s="214"/>
    </row>
    <row r="1850" spans="2:24" ht="10.95" customHeight="1" x14ac:dyDescent="0.25">
      <c r="B1850" s="52"/>
      <c r="C1850" s="166"/>
      <c r="D1850" s="53"/>
      <c r="E1850" s="155"/>
      <c r="F1850" s="167" t="str">
        <f>_xlfn.IFNA(VLOOKUP(E1848,'Data Kyu'!$A$6:$I$471,2,0),"")</f>
        <v/>
      </c>
      <c r="G1850" s="168"/>
      <c r="H1850" s="168"/>
      <c r="I1850" s="168"/>
      <c r="J1850" s="168"/>
      <c r="K1850" s="169"/>
      <c r="L1850" s="146"/>
      <c r="M1850" s="147"/>
      <c r="N1850" s="173" t="s">
        <v>6</v>
      </c>
      <c r="O1850" s="159"/>
      <c r="P1850" s="57"/>
      <c r="Q1850" s="159" t="s">
        <v>7</v>
      </c>
      <c r="R1850" s="159"/>
      <c r="S1850" s="57"/>
      <c r="T1850" s="159" t="s">
        <v>8</v>
      </c>
      <c r="U1850" s="160"/>
      <c r="V1850" s="175"/>
      <c r="X1850" s="214"/>
    </row>
    <row r="1851" spans="2:24" ht="10.95" customHeight="1" x14ac:dyDescent="0.25">
      <c r="B1851" s="54"/>
      <c r="C1851" s="55"/>
      <c r="D1851" s="56"/>
      <c r="E1851" s="156"/>
      <c r="F1851" s="170"/>
      <c r="G1851" s="171"/>
      <c r="H1851" s="171"/>
      <c r="I1851" s="171"/>
      <c r="J1851" s="171"/>
      <c r="K1851" s="172"/>
      <c r="L1851" s="148"/>
      <c r="M1851" s="144"/>
      <c r="N1851" s="174"/>
      <c r="O1851" s="161"/>
      <c r="P1851" s="27"/>
      <c r="Q1851" s="161"/>
      <c r="R1851" s="161"/>
      <c r="S1851" s="27"/>
      <c r="T1851" s="161"/>
      <c r="U1851" s="162"/>
      <c r="V1851" s="176"/>
      <c r="X1851" s="214"/>
    </row>
    <row r="1852" spans="2:24" ht="7.5" customHeight="1" x14ac:dyDescent="0.25"/>
    <row r="1853" spans="2:24" s="34" customFormat="1" x14ac:dyDescent="0.25">
      <c r="E1853" s="35" t="s">
        <v>30</v>
      </c>
      <c r="K1853" s="35" t="s">
        <v>28</v>
      </c>
    </row>
    <row r="1854" spans="2:24" x14ac:dyDescent="0.25">
      <c r="E1854" s="33" t="s">
        <v>31</v>
      </c>
      <c r="F1854" s="149"/>
      <c r="G1854" s="149"/>
      <c r="H1854" s="149"/>
      <c r="I1854" s="149"/>
      <c r="J1854" s="149"/>
      <c r="K1854" s="33" t="s">
        <v>29</v>
      </c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</row>
    <row r="1855" spans="2:24" ht="6.75" customHeight="1" x14ac:dyDescent="0.25">
      <c r="F1855" s="34"/>
      <c r="G1855" s="34"/>
      <c r="H1855" s="34"/>
      <c r="I1855" s="34"/>
      <c r="J1855" s="34"/>
    </row>
    <row r="1856" spans="2:24" s="34" customFormat="1" x14ac:dyDescent="0.25">
      <c r="E1856" s="35" t="s">
        <v>32</v>
      </c>
      <c r="K1856" s="35" t="s">
        <v>36</v>
      </c>
    </row>
    <row r="1857" spans="2:24" x14ac:dyDescent="0.25">
      <c r="E1857" s="33" t="s">
        <v>33</v>
      </c>
      <c r="F1857" s="149"/>
      <c r="G1857" s="149"/>
      <c r="H1857" s="149"/>
      <c r="I1857" s="149"/>
      <c r="J1857" s="149"/>
      <c r="K1857" s="33" t="s">
        <v>29</v>
      </c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</row>
    <row r="1858" spans="2:24" ht="6.75" customHeight="1" x14ac:dyDescent="0.25">
      <c r="F1858" s="34"/>
      <c r="G1858" s="34"/>
      <c r="H1858" s="34"/>
      <c r="I1858" s="34"/>
      <c r="J1858" s="34"/>
    </row>
    <row r="1859" spans="2:24" s="34" customFormat="1" ht="13.8" x14ac:dyDescent="0.25">
      <c r="E1859" s="35" t="s">
        <v>34</v>
      </c>
      <c r="F1859" s="177" t="str">
        <f>IF(F1812&lt;&gt;"",$F$65,"")</f>
        <v/>
      </c>
      <c r="G1859" s="177"/>
      <c r="H1859" s="177"/>
      <c r="I1859" s="177"/>
      <c r="J1859" s="177"/>
      <c r="K1859" s="35" t="s">
        <v>28</v>
      </c>
      <c r="X1859" s="70" t="s">
        <v>107</v>
      </c>
    </row>
    <row r="1860" spans="2:24" ht="13.8" x14ac:dyDescent="0.25">
      <c r="E1860" s="33" t="s">
        <v>35</v>
      </c>
      <c r="F1860" s="178"/>
      <c r="G1860" s="178"/>
      <c r="H1860" s="178"/>
      <c r="I1860" s="178"/>
      <c r="J1860" s="178"/>
      <c r="K1860" s="33" t="s">
        <v>29</v>
      </c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X1860" s="70" t="s">
        <v>105</v>
      </c>
    </row>
    <row r="1861" spans="2:24" ht="12.75" customHeight="1" thickBot="1" x14ac:dyDescent="0.3"/>
    <row r="1862" spans="2:24" ht="13.8" thickTop="1" x14ac:dyDescent="0.25">
      <c r="B1862" s="34" t="s">
        <v>37</v>
      </c>
      <c r="C1862" s="34"/>
      <c r="D1862" s="34"/>
      <c r="H1862" s="150" t="s">
        <v>40</v>
      </c>
      <c r="I1862" s="151"/>
      <c r="J1862" s="151"/>
      <c r="K1862" s="151"/>
      <c r="L1862" s="151"/>
      <c r="M1862" s="151"/>
      <c r="N1862" s="151"/>
      <c r="O1862" s="151"/>
      <c r="P1862" s="151"/>
      <c r="Q1862" s="151"/>
      <c r="R1862" s="151"/>
      <c r="S1862" s="151"/>
      <c r="T1862" s="151"/>
      <c r="U1862" s="151"/>
      <c r="V1862" s="151"/>
    </row>
    <row r="1863" spans="2:24" x14ac:dyDescent="0.25">
      <c r="B1863" s="34" t="s">
        <v>38</v>
      </c>
      <c r="C1863" s="34"/>
      <c r="D1863" s="34"/>
      <c r="H1863" s="152"/>
      <c r="I1863" s="153"/>
      <c r="J1863" s="153"/>
      <c r="K1863" s="153"/>
      <c r="L1863" s="153"/>
      <c r="M1863" s="153"/>
      <c r="N1863" s="153"/>
      <c r="O1863" s="153"/>
      <c r="P1863" s="153"/>
      <c r="Q1863" s="153"/>
      <c r="R1863" s="153"/>
      <c r="S1863" s="153"/>
      <c r="T1863" s="153"/>
      <c r="U1863" s="153"/>
      <c r="V1863" s="153"/>
    </row>
    <row r="1864" spans="2:24" ht="12.75" customHeight="1" x14ac:dyDescent="0.25">
      <c r="B1864" s="163" t="s">
        <v>39</v>
      </c>
      <c r="C1864" s="163"/>
      <c r="D1864" s="163"/>
      <c r="E1864" s="163"/>
      <c r="F1864" s="163"/>
      <c r="H1864" s="37" t="s">
        <v>41</v>
      </c>
    </row>
    <row r="1865" spans="2:24" ht="13.8" x14ac:dyDescent="0.25">
      <c r="B1865" s="163"/>
      <c r="C1865" s="163"/>
      <c r="D1865" s="163"/>
      <c r="E1865" s="163"/>
      <c r="F1865" s="163"/>
      <c r="H1865" s="38" t="s">
        <v>42</v>
      </c>
    </row>
    <row r="1866" spans="2:24" x14ac:dyDescent="0.25">
      <c r="B1866" s="163"/>
      <c r="C1866" s="163"/>
      <c r="D1866" s="163"/>
      <c r="E1866" s="163"/>
      <c r="F1866" s="163"/>
      <c r="H1866" s="36"/>
    </row>
    <row r="1867" spans="2:24" x14ac:dyDescent="0.25">
      <c r="B1867" s="163"/>
      <c r="C1867" s="163"/>
      <c r="D1867" s="163"/>
      <c r="E1867" s="163"/>
      <c r="F1867" s="163"/>
      <c r="H1867" s="36"/>
    </row>
    <row r="1868" spans="2:24" x14ac:dyDescent="0.25">
      <c r="H1868" s="36"/>
    </row>
    <row r="1869" spans="2:24" x14ac:dyDescent="0.25">
      <c r="H1869" s="36"/>
    </row>
    <row r="1870" spans="2:24" x14ac:dyDescent="0.25">
      <c r="H1870" s="36"/>
    </row>
    <row r="1871" spans="2:24" x14ac:dyDescent="0.25">
      <c r="H1871" s="36"/>
    </row>
    <row r="1872" spans="2:24" ht="13.8" x14ac:dyDescent="0.25">
      <c r="H1872" s="157" t="str">
        <f>IF(F1812&lt;&gt;"",$H$78,"")</f>
        <v/>
      </c>
      <c r="I1872" s="158"/>
      <c r="J1872" s="158"/>
      <c r="K1872" s="158"/>
      <c r="L1872" s="158"/>
      <c r="M1872" s="158"/>
      <c r="N1872" s="158"/>
      <c r="O1872" s="158"/>
      <c r="P1872" s="158"/>
      <c r="Q1872" s="158"/>
      <c r="R1872" s="158"/>
      <c r="S1872" s="158"/>
      <c r="T1872" s="158"/>
      <c r="U1872" s="158"/>
      <c r="V1872" s="158"/>
    </row>
    <row r="1873" spans="2:24" x14ac:dyDescent="0.25">
      <c r="H1873" s="36"/>
    </row>
    <row r="1874" spans="2:24" ht="28.5" customHeight="1" x14ac:dyDescent="0.3">
      <c r="B1874" s="193" t="s">
        <v>43</v>
      </c>
      <c r="C1874" s="193"/>
      <c r="D1874" s="193"/>
      <c r="E1874" s="194"/>
      <c r="F1874" s="194"/>
      <c r="G1874" s="194"/>
      <c r="H1874" s="194"/>
      <c r="I1874" s="2"/>
      <c r="J1874" s="2"/>
      <c r="K1874" s="13" t="s">
        <v>25</v>
      </c>
      <c r="L1874" s="195" t="s">
        <v>14</v>
      </c>
      <c r="M1874" s="196"/>
      <c r="N1874" s="196"/>
      <c r="O1874" s="196"/>
      <c r="P1874" s="196"/>
      <c r="Q1874" s="196"/>
      <c r="R1874" s="196"/>
      <c r="S1874" s="196"/>
      <c r="T1874" s="196"/>
      <c r="U1874" s="196"/>
      <c r="V1874" s="197"/>
      <c r="X1874" s="1"/>
    </row>
    <row r="1875" spans="2:24" ht="26.25" customHeight="1" x14ac:dyDescent="0.4">
      <c r="B1875" s="39" t="s">
        <v>44</v>
      </c>
      <c r="C1875" s="39"/>
      <c r="D1875" s="39"/>
      <c r="E1875" s="2"/>
      <c r="F1875" s="2"/>
      <c r="G1875" s="2"/>
      <c r="H1875" s="2"/>
      <c r="I1875" s="2"/>
      <c r="J1875" s="2"/>
      <c r="K1875" s="29" t="s">
        <v>13</v>
      </c>
      <c r="L1875" s="15">
        <v>4</v>
      </c>
      <c r="M1875" s="16">
        <v>1</v>
      </c>
      <c r="N1875" s="15">
        <v>0</v>
      </c>
      <c r="O1875" s="198">
        <v>0</v>
      </c>
      <c r="P1875" s="199"/>
      <c r="Q1875" s="14">
        <v>0</v>
      </c>
      <c r="R1875" s="200">
        <v>1</v>
      </c>
      <c r="S1875" s="201"/>
      <c r="T1875" s="6"/>
      <c r="U1875" s="6"/>
      <c r="V1875" s="7"/>
      <c r="X1875" s="1"/>
    </row>
    <row r="1876" spans="2:24" ht="21" customHeight="1" x14ac:dyDescent="0.25">
      <c r="B1876" s="26" t="s">
        <v>45</v>
      </c>
      <c r="C1876" s="26"/>
      <c r="D1876" s="26"/>
      <c r="E1876" s="25"/>
      <c r="F1876" s="25"/>
      <c r="G1876" s="25"/>
      <c r="H1876" s="25"/>
      <c r="I1876" s="25"/>
      <c r="J1876" s="25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X1876" s="1"/>
    </row>
    <row r="1877" spans="2:24" ht="13.5" customHeight="1" x14ac:dyDescent="0.25">
      <c r="B1877" s="40" t="s">
        <v>24</v>
      </c>
      <c r="C1877" s="40"/>
      <c r="D1877" s="40"/>
      <c r="E1877" s="25"/>
      <c r="F1877" s="25"/>
      <c r="G1877" s="25"/>
      <c r="H1877" s="25"/>
      <c r="I1877" s="25"/>
      <c r="J1877" s="25"/>
      <c r="K1877" s="28" t="s">
        <v>6</v>
      </c>
      <c r="L1877" s="202" t="str">
        <f>IF(F1890&lt;&gt;"",$L$5,"")</f>
        <v/>
      </c>
      <c r="M1877" s="203"/>
      <c r="N1877" s="204" t="s">
        <v>15</v>
      </c>
      <c r="O1877" s="204"/>
      <c r="P1877" s="204"/>
      <c r="Q1877" s="205" t="str">
        <f>IF(F1890&lt;&gt;"",$Q$5,"")</f>
        <v/>
      </c>
      <c r="R1877" s="206"/>
      <c r="S1877" s="207" t="s">
        <v>16</v>
      </c>
      <c r="T1877" s="204"/>
      <c r="U1877" s="82" t="str">
        <f>IF(F1890&lt;&gt;"",$U$5,"")</f>
        <v/>
      </c>
      <c r="V1877" s="63"/>
      <c r="X1877" s="1"/>
    </row>
    <row r="1878" spans="2:24" ht="8.25" customHeight="1" x14ac:dyDescent="0.25"/>
    <row r="1879" spans="2:24" ht="11.25" customHeight="1" x14ac:dyDescent="0.25">
      <c r="B1879" s="24" t="s">
        <v>17</v>
      </c>
      <c r="C1879" s="24"/>
      <c r="D1879" s="24"/>
    </row>
    <row r="1880" spans="2:24" ht="11.25" customHeight="1" x14ac:dyDescent="0.25">
      <c r="B1880" s="8" t="s">
        <v>18</v>
      </c>
      <c r="C1880" s="8"/>
      <c r="D1880" s="8"/>
    </row>
    <row r="1881" spans="2:24" ht="5.25" customHeight="1" x14ac:dyDescent="0.25">
      <c r="B1881" s="8"/>
      <c r="C1881" s="8"/>
      <c r="D1881" s="8"/>
    </row>
    <row r="1882" spans="2:24" x14ac:dyDescent="0.25">
      <c r="B1882" s="179" t="s">
        <v>19</v>
      </c>
      <c r="C1882" s="179"/>
      <c r="D1882" s="179"/>
      <c r="E1882" s="179"/>
      <c r="F1882" s="179"/>
      <c r="G1882" s="18" t="s">
        <v>6</v>
      </c>
      <c r="H1882" s="64" t="str">
        <f>IF(F1890&lt;&gt;"",$H$10,"")</f>
        <v/>
      </c>
      <c r="I1882" s="9" t="s">
        <v>15</v>
      </c>
      <c r="J1882" s="83" t="str">
        <f>IF(F1890&lt;&gt;"",$J$10,"")</f>
        <v/>
      </c>
      <c r="K1882" s="9" t="s">
        <v>16</v>
      </c>
      <c r="L1882" s="180" t="str">
        <f>IF(F1890&lt;&gt;"",$L$10,"")</f>
        <v/>
      </c>
      <c r="M1882" s="181"/>
      <c r="X1882" s="32"/>
    </row>
    <row r="1883" spans="2:24" ht="5.25" customHeight="1" x14ac:dyDescent="0.25">
      <c r="B1883" s="8"/>
      <c r="C1883" s="8"/>
      <c r="D1883" s="8"/>
      <c r="E1883" s="8"/>
      <c r="F1883" s="8"/>
      <c r="G1883" s="19"/>
      <c r="H1883" s="20"/>
      <c r="I1883" s="21"/>
      <c r="J1883" s="20"/>
      <c r="K1883" s="10"/>
      <c r="L1883" s="22"/>
      <c r="X1883" s="32"/>
    </row>
    <row r="1884" spans="2:24" s="73" customFormat="1" ht="14.4" customHeight="1" x14ac:dyDescent="0.25">
      <c r="B1884" s="72" t="s">
        <v>20</v>
      </c>
      <c r="C1884" s="72"/>
      <c r="D1884" s="72"/>
      <c r="X1884" s="74"/>
    </row>
    <row r="1885" spans="2:24" s="73" customFormat="1" ht="14.4" customHeight="1" x14ac:dyDescent="0.25">
      <c r="B1885" s="75" t="s">
        <v>21</v>
      </c>
      <c r="C1885" s="10"/>
      <c r="D1885" s="10"/>
      <c r="E1885" s="22" t="s">
        <v>22</v>
      </c>
      <c r="X1885" s="74"/>
    </row>
    <row r="1886" spans="2:24" s="73" customFormat="1" ht="14.4" customHeight="1" x14ac:dyDescent="0.25">
      <c r="B1886" s="22"/>
      <c r="C1886" s="22"/>
      <c r="D1886" s="22"/>
      <c r="E1886" s="22" t="s">
        <v>23</v>
      </c>
      <c r="X1886" s="164" t="s">
        <v>102</v>
      </c>
    </row>
    <row r="1887" spans="2:24" ht="7.5" customHeight="1" x14ac:dyDescent="0.25">
      <c r="B1887" s="8"/>
      <c r="C1887" s="8"/>
      <c r="D1887" s="8"/>
      <c r="X1887" s="164"/>
    </row>
    <row r="1888" spans="2:24" ht="17.25" customHeight="1" x14ac:dyDescent="0.25">
      <c r="B1888" s="182"/>
      <c r="C1888" s="59"/>
      <c r="D1888" s="60"/>
      <c r="E1888" s="184" t="s">
        <v>0</v>
      </c>
      <c r="F1888" s="186" t="s">
        <v>1</v>
      </c>
      <c r="G1888" s="187"/>
      <c r="H1888" s="4"/>
      <c r="I1888" s="4"/>
      <c r="J1888" s="4"/>
      <c r="K1888" s="5"/>
      <c r="L1888" s="145" t="s">
        <v>3</v>
      </c>
      <c r="M1888" s="142"/>
      <c r="N1888" s="188" t="s">
        <v>10</v>
      </c>
      <c r="O1888" s="188"/>
      <c r="P1888" s="188"/>
      <c r="Q1888" s="188"/>
      <c r="R1888" s="188"/>
      <c r="S1888" s="188"/>
      <c r="T1888" s="188"/>
      <c r="U1888" s="189"/>
      <c r="V1888" s="3" t="s">
        <v>12</v>
      </c>
      <c r="X1888" s="68" t="s">
        <v>200</v>
      </c>
    </row>
    <row r="1889" spans="2:24" ht="17.25" customHeight="1" x14ac:dyDescent="0.25">
      <c r="B1889" s="183"/>
      <c r="C1889" s="61"/>
      <c r="D1889" s="62"/>
      <c r="E1889" s="185"/>
      <c r="F1889" s="30" t="s">
        <v>2</v>
      </c>
      <c r="G1889" s="17"/>
      <c r="H1889" s="6"/>
      <c r="I1889" s="6"/>
      <c r="J1889" s="6"/>
      <c r="K1889" s="7"/>
      <c r="L1889" s="190" t="s">
        <v>4</v>
      </c>
      <c r="M1889" s="191"/>
      <c r="N1889" s="192" t="s">
        <v>9</v>
      </c>
      <c r="O1889" s="192"/>
      <c r="P1889" s="192"/>
      <c r="Q1889" s="192"/>
      <c r="R1889" s="192"/>
      <c r="S1889" s="192"/>
      <c r="T1889" s="192"/>
      <c r="U1889" s="191"/>
      <c r="V1889" s="31" t="s">
        <v>11</v>
      </c>
      <c r="X1889" s="69"/>
    </row>
    <row r="1890" spans="2:24" ht="10.95" customHeight="1" x14ac:dyDescent="0.25">
      <c r="B1890" s="41"/>
      <c r="C1890" s="51"/>
      <c r="D1890" s="42"/>
      <c r="E1890" s="154">
        <v>241</v>
      </c>
      <c r="F1890" s="145" t="str">
        <f>_xlfn.IFNA(VLOOKUP(E1890,'Data Kyu'!$A$6:$I$471,3,0),"")</f>
        <v/>
      </c>
      <c r="G1890" s="142"/>
      <c r="H1890" s="66"/>
      <c r="I1890" s="66"/>
      <c r="J1890" s="66"/>
      <c r="K1890" s="66"/>
      <c r="L1890" s="145" t="str">
        <f>_xlfn.IFNA(VLOOKUP(E1890,'Data Kyu'!$A$6:$I$471,9,0),"")</f>
        <v/>
      </c>
      <c r="M1890" s="142"/>
      <c r="N1890" s="145" t="str">
        <f>_xlfn.IFNA(VLOOKUP(E1890,'Data Kyu'!$A$6:$I$471,6,0),"")</f>
        <v/>
      </c>
      <c r="O1890" s="141"/>
      <c r="P1890" s="139" t="s">
        <v>5</v>
      </c>
      <c r="Q1890" s="141" t="str">
        <f>_xlfn.IFNA(VLOOKUP(E1890,'Data Kyu'!$A$6:$I$471,7,0),"")</f>
        <v/>
      </c>
      <c r="R1890" s="141"/>
      <c r="S1890" s="139" t="s">
        <v>5</v>
      </c>
      <c r="T1890" s="141" t="str">
        <f>_xlfn.IFNA(VLOOKUP(E1890,'Data Kyu'!$A$6:$I$471,8,0),"")</f>
        <v/>
      </c>
      <c r="U1890" s="142"/>
      <c r="V1890" s="142" t="str">
        <f>_xlfn.IFNA(VLOOKUP(E1890,'Data Kyu'!$A$6:$I$471,4,0),"")</f>
        <v/>
      </c>
      <c r="X1890" s="214" t="str">
        <f>_xlfn.IFNA(VLOOKUP(F1890,'Data Kyu'!$C$6:$N$997,12,0),"No Data")</f>
        <v>No Data</v>
      </c>
    </row>
    <row r="1891" spans="2:24" ht="10.95" customHeight="1" x14ac:dyDescent="0.25">
      <c r="B1891" s="52"/>
      <c r="C1891" s="165" t="str">
        <f>IF(X1890="LULUS","V","")</f>
        <v/>
      </c>
      <c r="D1891" s="53"/>
      <c r="E1891" s="155"/>
      <c r="F1891" s="148"/>
      <c r="G1891" s="144"/>
      <c r="H1891" s="67"/>
      <c r="I1891" s="67"/>
      <c r="J1891" s="67"/>
      <c r="K1891" s="67"/>
      <c r="L1891" s="146"/>
      <c r="M1891" s="147"/>
      <c r="N1891" s="148"/>
      <c r="O1891" s="143"/>
      <c r="P1891" s="140"/>
      <c r="Q1891" s="143"/>
      <c r="R1891" s="143"/>
      <c r="S1891" s="140"/>
      <c r="T1891" s="143"/>
      <c r="U1891" s="144"/>
      <c r="V1891" s="147"/>
      <c r="X1891" s="214"/>
    </row>
    <row r="1892" spans="2:24" ht="10.95" customHeight="1" x14ac:dyDescent="0.25">
      <c r="B1892" s="52"/>
      <c r="C1892" s="166"/>
      <c r="D1892" s="53"/>
      <c r="E1892" s="155"/>
      <c r="F1892" s="167" t="str">
        <f>_xlfn.IFNA(VLOOKUP(E1890,'Data Kyu'!$A$6:$I$471,2,0),"")</f>
        <v/>
      </c>
      <c r="G1892" s="168"/>
      <c r="H1892" s="168"/>
      <c r="I1892" s="168"/>
      <c r="J1892" s="168"/>
      <c r="K1892" s="169"/>
      <c r="L1892" s="146"/>
      <c r="M1892" s="147"/>
      <c r="N1892" s="173" t="s">
        <v>6</v>
      </c>
      <c r="O1892" s="159"/>
      <c r="P1892" s="57"/>
      <c r="Q1892" s="159" t="s">
        <v>7</v>
      </c>
      <c r="R1892" s="159"/>
      <c r="S1892" s="57"/>
      <c r="T1892" s="159" t="s">
        <v>8</v>
      </c>
      <c r="U1892" s="160"/>
      <c r="V1892" s="175"/>
      <c r="X1892" s="214"/>
    </row>
    <row r="1893" spans="2:24" ht="10.95" customHeight="1" x14ac:dyDescent="0.25">
      <c r="B1893" s="54"/>
      <c r="C1893" s="76"/>
      <c r="D1893" s="56"/>
      <c r="E1893" s="156"/>
      <c r="F1893" s="170"/>
      <c r="G1893" s="171"/>
      <c r="H1893" s="171"/>
      <c r="I1893" s="171"/>
      <c r="J1893" s="171"/>
      <c r="K1893" s="172"/>
      <c r="L1893" s="148"/>
      <c r="M1893" s="144"/>
      <c r="N1893" s="174"/>
      <c r="O1893" s="161"/>
      <c r="P1893" s="27"/>
      <c r="Q1893" s="161"/>
      <c r="R1893" s="161"/>
      <c r="S1893" s="27"/>
      <c r="T1893" s="161"/>
      <c r="U1893" s="162"/>
      <c r="V1893" s="176"/>
      <c r="X1893" s="214"/>
    </row>
    <row r="1894" spans="2:24" ht="10.95" customHeight="1" x14ac:dyDescent="0.25">
      <c r="B1894" s="41"/>
      <c r="C1894" s="77"/>
      <c r="D1894" s="42"/>
      <c r="E1894" s="154">
        <f>E1890+1</f>
        <v>242</v>
      </c>
      <c r="F1894" s="145" t="str">
        <f>_xlfn.IFNA(VLOOKUP(E1894,'Data Kyu'!$A$6:$I$471,3,0),"")</f>
        <v/>
      </c>
      <c r="G1894" s="142"/>
      <c r="H1894" s="66"/>
      <c r="I1894" s="66"/>
      <c r="J1894" s="66"/>
      <c r="K1894" s="66"/>
      <c r="L1894" s="145" t="str">
        <f>_xlfn.IFNA(VLOOKUP(E1894,'Data Kyu'!$A$6:$I$471,9,0),"")</f>
        <v/>
      </c>
      <c r="M1894" s="142"/>
      <c r="N1894" s="145" t="str">
        <f>_xlfn.IFNA(VLOOKUP(E1894,'Data Kyu'!$A$6:$I$471,6,0),"")</f>
        <v/>
      </c>
      <c r="O1894" s="141"/>
      <c r="P1894" s="139" t="s">
        <v>5</v>
      </c>
      <c r="Q1894" s="141" t="str">
        <f>_xlfn.IFNA(VLOOKUP(E1894,'Data Kyu'!$A$6:$I$471,7,0),"")</f>
        <v/>
      </c>
      <c r="R1894" s="141"/>
      <c r="S1894" s="139" t="s">
        <v>5</v>
      </c>
      <c r="T1894" s="141" t="str">
        <f>_xlfn.IFNA(VLOOKUP(E1894,'Data Kyu'!$A$6:$I$471,8,0),"")</f>
        <v/>
      </c>
      <c r="U1894" s="142"/>
      <c r="V1894" s="142" t="str">
        <f>_xlfn.IFNA(VLOOKUP(E1894,'Data Kyu'!$A$6:$I$471,4,0),"")</f>
        <v/>
      </c>
      <c r="X1894" s="214" t="str">
        <f>_xlfn.IFNA(VLOOKUP(F1894,'Data Kyu'!$C$6:$N$997,12,0),"No Data")</f>
        <v>No Data</v>
      </c>
    </row>
    <row r="1895" spans="2:24" ht="10.95" customHeight="1" x14ac:dyDescent="0.25">
      <c r="B1895" s="52"/>
      <c r="C1895" s="165" t="str">
        <f>IF(X1894="LULUS","V","")</f>
        <v/>
      </c>
      <c r="D1895" s="53"/>
      <c r="E1895" s="155"/>
      <c r="F1895" s="148"/>
      <c r="G1895" s="144"/>
      <c r="H1895" s="67"/>
      <c r="I1895" s="67"/>
      <c r="J1895" s="67"/>
      <c r="K1895" s="67"/>
      <c r="L1895" s="146"/>
      <c r="M1895" s="147"/>
      <c r="N1895" s="148"/>
      <c r="O1895" s="143"/>
      <c r="P1895" s="140"/>
      <c r="Q1895" s="143"/>
      <c r="R1895" s="143"/>
      <c r="S1895" s="140"/>
      <c r="T1895" s="143"/>
      <c r="U1895" s="144"/>
      <c r="V1895" s="147"/>
      <c r="X1895" s="214"/>
    </row>
    <row r="1896" spans="2:24" ht="10.95" customHeight="1" x14ac:dyDescent="0.25">
      <c r="B1896" s="52"/>
      <c r="C1896" s="166"/>
      <c r="D1896" s="53"/>
      <c r="E1896" s="155"/>
      <c r="F1896" s="167" t="str">
        <f>_xlfn.IFNA(VLOOKUP(E1894,'Data Kyu'!$A$6:$I$471,2,0),"")</f>
        <v/>
      </c>
      <c r="G1896" s="168"/>
      <c r="H1896" s="168"/>
      <c r="I1896" s="168"/>
      <c r="J1896" s="168"/>
      <c r="K1896" s="169"/>
      <c r="L1896" s="146"/>
      <c r="M1896" s="147"/>
      <c r="N1896" s="173" t="s">
        <v>6</v>
      </c>
      <c r="O1896" s="159"/>
      <c r="P1896" s="57"/>
      <c r="Q1896" s="159" t="s">
        <v>7</v>
      </c>
      <c r="R1896" s="159"/>
      <c r="S1896" s="57"/>
      <c r="T1896" s="159" t="s">
        <v>8</v>
      </c>
      <c r="U1896" s="160"/>
      <c r="V1896" s="175"/>
      <c r="X1896" s="214"/>
    </row>
    <row r="1897" spans="2:24" ht="10.95" customHeight="1" x14ac:dyDescent="0.25">
      <c r="B1897" s="54"/>
      <c r="C1897" s="76"/>
      <c r="D1897" s="56"/>
      <c r="E1897" s="156"/>
      <c r="F1897" s="170"/>
      <c r="G1897" s="171"/>
      <c r="H1897" s="171"/>
      <c r="I1897" s="171"/>
      <c r="J1897" s="171"/>
      <c r="K1897" s="172"/>
      <c r="L1897" s="148"/>
      <c r="M1897" s="144"/>
      <c r="N1897" s="174"/>
      <c r="O1897" s="161"/>
      <c r="P1897" s="27"/>
      <c r="Q1897" s="161"/>
      <c r="R1897" s="161"/>
      <c r="S1897" s="27"/>
      <c r="T1897" s="161"/>
      <c r="U1897" s="162"/>
      <c r="V1897" s="176"/>
      <c r="X1897" s="214"/>
    </row>
    <row r="1898" spans="2:24" ht="10.95" customHeight="1" x14ac:dyDescent="0.25">
      <c r="B1898" s="41"/>
      <c r="C1898" s="77"/>
      <c r="D1898" s="42"/>
      <c r="E1898" s="154">
        <f t="shared" ref="E1898" si="112">E1894+1</f>
        <v>243</v>
      </c>
      <c r="F1898" s="145" t="str">
        <f>_xlfn.IFNA(VLOOKUP(E1898,'Data Kyu'!$A$6:$I$471,3,0),"")</f>
        <v/>
      </c>
      <c r="G1898" s="142"/>
      <c r="H1898" s="66"/>
      <c r="I1898" s="66"/>
      <c r="J1898" s="66"/>
      <c r="K1898" s="66"/>
      <c r="L1898" s="145" t="str">
        <f>_xlfn.IFNA(VLOOKUP(E1898,'Data Kyu'!$A$6:$I$471,9,0),"")</f>
        <v/>
      </c>
      <c r="M1898" s="142"/>
      <c r="N1898" s="145" t="str">
        <f>_xlfn.IFNA(VLOOKUP(E1898,'Data Kyu'!$A$6:$I$471,6,0),"")</f>
        <v/>
      </c>
      <c r="O1898" s="141"/>
      <c r="P1898" s="139" t="s">
        <v>5</v>
      </c>
      <c r="Q1898" s="141" t="str">
        <f>_xlfn.IFNA(VLOOKUP(E1898,'Data Kyu'!$A$6:$I$471,7,0),"")</f>
        <v/>
      </c>
      <c r="R1898" s="141"/>
      <c r="S1898" s="139" t="s">
        <v>5</v>
      </c>
      <c r="T1898" s="141" t="str">
        <f>_xlfn.IFNA(VLOOKUP(E1898,'Data Kyu'!$A$6:$I$471,8,0),"")</f>
        <v/>
      </c>
      <c r="U1898" s="142"/>
      <c r="V1898" s="142" t="str">
        <f>_xlfn.IFNA(VLOOKUP(E1898,'Data Kyu'!$A$6:$I$471,4,0),"")</f>
        <v/>
      </c>
      <c r="X1898" s="214" t="str">
        <f>_xlfn.IFNA(VLOOKUP(F1898,'Data Kyu'!$C$6:$N$997,12,0),"No Data")</f>
        <v>No Data</v>
      </c>
    </row>
    <row r="1899" spans="2:24" ht="10.95" customHeight="1" x14ac:dyDescent="0.25">
      <c r="B1899" s="52"/>
      <c r="C1899" s="165" t="str">
        <f>IF(X1898="LULUS","V","")</f>
        <v/>
      </c>
      <c r="D1899" s="53"/>
      <c r="E1899" s="155"/>
      <c r="F1899" s="148"/>
      <c r="G1899" s="144"/>
      <c r="H1899" s="67"/>
      <c r="I1899" s="67"/>
      <c r="J1899" s="67"/>
      <c r="K1899" s="67"/>
      <c r="L1899" s="146"/>
      <c r="M1899" s="147"/>
      <c r="N1899" s="148"/>
      <c r="O1899" s="143"/>
      <c r="P1899" s="140"/>
      <c r="Q1899" s="143"/>
      <c r="R1899" s="143"/>
      <c r="S1899" s="140"/>
      <c r="T1899" s="143"/>
      <c r="U1899" s="144"/>
      <c r="V1899" s="147"/>
      <c r="X1899" s="214"/>
    </row>
    <row r="1900" spans="2:24" ht="10.95" customHeight="1" x14ac:dyDescent="0.25">
      <c r="B1900" s="52"/>
      <c r="C1900" s="166"/>
      <c r="D1900" s="53"/>
      <c r="E1900" s="155"/>
      <c r="F1900" s="167" t="str">
        <f>_xlfn.IFNA(VLOOKUP(E1898,'Data Kyu'!$A$6:$I$471,2,0),"")</f>
        <v/>
      </c>
      <c r="G1900" s="168"/>
      <c r="H1900" s="168"/>
      <c r="I1900" s="168"/>
      <c r="J1900" s="168"/>
      <c r="K1900" s="169"/>
      <c r="L1900" s="146"/>
      <c r="M1900" s="147"/>
      <c r="N1900" s="173" t="s">
        <v>6</v>
      </c>
      <c r="O1900" s="159"/>
      <c r="P1900" s="57"/>
      <c r="Q1900" s="159" t="s">
        <v>7</v>
      </c>
      <c r="R1900" s="159"/>
      <c r="S1900" s="57"/>
      <c r="T1900" s="159" t="s">
        <v>8</v>
      </c>
      <c r="U1900" s="160"/>
      <c r="V1900" s="175"/>
      <c r="X1900" s="214"/>
    </row>
    <row r="1901" spans="2:24" ht="10.95" customHeight="1" x14ac:dyDescent="0.25">
      <c r="B1901" s="54"/>
      <c r="C1901" s="76"/>
      <c r="D1901" s="56"/>
      <c r="E1901" s="156"/>
      <c r="F1901" s="170"/>
      <c r="G1901" s="171"/>
      <c r="H1901" s="171"/>
      <c r="I1901" s="171"/>
      <c r="J1901" s="171"/>
      <c r="K1901" s="172"/>
      <c r="L1901" s="148"/>
      <c r="M1901" s="144"/>
      <c r="N1901" s="174"/>
      <c r="O1901" s="161"/>
      <c r="P1901" s="27"/>
      <c r="Q1901" s="161"/>
      <c r="R1901" s="161"/>
      <c r="S1901" s="27"/>
      <c r="T1901" s="161"/>
      <c r="U1901" s="162"/>
      <c r="V1901" s="176"/>
      <c r="X1901" s="214"/>
    </row>
    <row r="1902" spans="2:24" ht="10.95" customHeight="1" x14ac:dyDescent="0.25">
      <c r="B1902" s="41"/>
      <c r="C1902" s="77"/>
      <c r="D1902" s="42"/>
      <c r="E1902" s="154">
        <f t="shared" ref="E1902" si="113">E1898+1</f>
        <v>244</v>
      </c>
      <c r="F1902" s="145" t="str">
        <f>_xlfn.IFNA(VLOOKUP(E1902,'Data Kyu'!$A$6:$I$471,3,0),"")</f>
        <v/>
      </c>
      <c r="G1902" s="142"/>
      <c r="H1902" s="66"/>
      <c r="I1902" s="66"/>
      <c r="J1902" s="66"/>
      <c r="K1902" s="66"/>
      <c r="L1902" s="145" t="str">
        <f>_xlfn.IFNA(VLOOKUP(E1902,'Data Kyu'!$A$6:$I$471,9,0),"")</f>
        <v/>
      </c>
      <c r="M1902" s="142"/>
      <c r="N1902" s="145" t="str">
        <f>_xlfn.IFNA(VLOOKUP(E1902,'Data Kyu'!$A$6:$I$471,6,0),"")</f>
        <v/>
      </c>
      <c r="O1902" s="141"/>
      <c r="P1902" s="139" t="s">
        <v>5</v>
      </c>
      <c r="Q1902" s="141" t="str">
        <f>_xlfn.IFNA(VLOOKUP(E1902,'Data Kyu'!$A$6:$I$471,7,0),"")</f>
        <v/>
      </c>
      <c r="R1902" s="141"/>
      <c r="S1902" s="139" t="s">
        <v>5</v>
      </c>
      <c r="T1902" s="141" t="str">
        <f>_xlfn.IFNA(VLOOKUP(E1902,'Data Kyu'!$A$6:$I$471,8,0),"")</f>
        <v/>
      </c>
      <c r="U1902" s="142"/>
      <c r="V1902" s="142" t="str">
        <f>_xlfn.IFNA(VLOOKUP(E1902,'Data Kyu'!$A$6:$I$471,4,0),"")</f>
        <v/>
      </c>
      <c r="X1902" s="214" t="str">
        <f>_xlfn.IFNA(VLOOKUP(F1902,'Data Kyu'!$C$6:$N$997,12,0),"No Data")</f>
        <v>No Data</v>
      </c>
    </row>
    <row r="1903" spans="2:24" ht="10.95" customHeight="1" x14ac:dyDescent="0.25">
      <c r="B1903" s="52"/>
      <c r="C1903" s="165" t="str">
        <f>IF(X1902="LULUS","V","")</f>
        <v/>
      </c>
      <c r="D1903" s="53"/>
      <c r="E1903" s="155"/>
      <c r="F1903" s="148"/>
      <c r="G1903" s="144"/>
      <c r="H1903" s="67"/>
      <c r="I1903" s="67"/>
      <c r="J1903" s="67"/>
      <c r="K1903" s="67"/>
      <c r="L1903" s="146"/>
      <c r="M1903" s="147"/>
      <c r="N1903" s="148"/>
      <c r="O1903" s="143"/>
      <c r="P1903" s="140"/>
      <c r="Q1903" s="143"/>
      <c r="R1903" s="143"/>
      <c r="S1903" s="140"/>
      <c r="T1903" s="143"/>
      <c r="U1903" s="144"/>
      <c r="V1903" s="147"/>
      <c r="X1903" s="214"/>
    </row>
    <row r="1904" spans="2:24" ht="10.95" customHeight="1" x14ac:dyDescent="0.25">
      <c r="B1904" s="52"/>
      <c r="C1904" s="166"/>
      <c r="D1904" s="53"/>
      <c r="E1904" s="155"/>
      <c r="F1904" s="167" t="str">
        <f>_xlfn.IFNA(VLOOKUP(E1902,'Data Kyu'!$A$6:$I$471,2,0),"")</f>
        <v/>
      </c>
      <c r="G1904" s="168"/>
      <c r="H1904" s="168"/>
      <c r="I1904" s="168"/>
      <c r="J1904" s="168"/>
      <c r="K1904" s="169"/>
      <c r="L1904" s="146"/>
      <c r="M1904" s="147"/>
      <c r="N1904" s="173" t="s">
        <v>6</v>
      </c>
      <c r="O1904" s="159"/>
      <c r="P1904" s="57"/>
      <c r="Q1904" s="159" t="s">
        <v>7</v>
      </c>
      <c r="R1904" s="159"/>
      <c r="S1904" s="57"/>
      <c r="T1904" s="159" t="s">
        <v>8</v>
      </c>
      <c r="U1904" s="160"/>
      <c r="V1904" s="175"/>
      <c r="X1904" s="214"/>
    </row>
    <row r="1905" spans="2:24" ht="10.95" customHeight="1" x14ac:dyDescent="0.25">
      <c r="B1905" s="54"/>
      <c r="C1905" s="76"/>
      <c r="D1905" s="56"/>
      <c r="E1905" s="156"/>
      <c r="F1905" s="170"/>
      <c r="G1905" s="171"/>
      <c r="H1905" s="171"/>
      <c r="I1905" s="171"/>
      <c r="J1905" s="171"/>
      <c r="K1905" s="172"/>
      <c r="L1905" s="148"/>
      <c r="M1905" s="144"/>
      <c r="N1905" s="174"/>
      <c r="O1905" s="161"/>
      <c r="P1905" s="27"/>
      <c r="Q1905" s="161"/>
      <c r="R1905" s="161"/>
      <c r="S1905" s="27"/>
      <c r="T1905" s="161"/>
      <c r="U1905" s="162"/>
      <c r="V1905" s="176"/>
      <c r="X1905" s="214"/>
    </row>
    <row r="1906" spans="2:24" ht="10.95" customHeight="1" x14ac:dyDescent="0.25">
      <c r="B1906" s="41"/>
      <c r="C1906" s="77"/>
      <c r="D1906" s="42"/>
      <c r="E1906" s="154">
        <f t="shared" ref="E1906" si="114">E1902+1</f>
        <v>245</v>
      </c>
      <c r="F1906" s="145" t="str">
        <f>_xlfn.IFNA(VLOOKUP(E1906,'Data Kyu'!$A$6:$I$471,3,0),"")</f>
        <v/>
      </c>
      <c r="G1906" s="142"/>
      <c r="H1906" s="66"/>
      <c r="I1906" s="66"/>
      <c r="J1906" s="66"/>
      <c r="K1906" s="66"/>
      <c r="L1906" s="145" t="str">
        <f>_xlfn.IFNA(VLOOKUP(E1906,'Data Kyu'!$A$6:$I$471,9,0),"")</f>
        <v/>
      </c>
      <c r="M1906" s="142"/>
      <c r="N1906" s="145" t="str">
        <f>_xlfn.IFNA(VLOOKUP(E1906,'Data Kyu'!$A$6:$I$471,6,0),"")</f>
        <v/>
      </c>
      <c r="O1906" s="141"/>
      <c r="P1906" s="139" t="s">
        <v>5</v>
      </c>
      <c r="Q1906" s="141" t="str">
        <f>_xlfn.IFNA(VLOOKUP(E1906,'Data Kyu'!$A$6:$I$471,7,0),"")</f>
        <v/>
      </c>
      <c r="R1906" s="141"/>
      <c r="S1906" s="139" t="s">
        <v>5</v>
      </c>
      <c r="T1906" s="141" t="str">
        <f>_xlfn.IFNA(VLOOKUP(E1906,'Data Kyu'!$A$6:$I$471,8,0),"")</f>
        <v/>
      </c>
      <c r="U1906" s="142"/>
      <c r="V1906" s="142" t="str">
        <f>_xlfn.IFNA(VLOOKUP(E1906,'Data Kyu'!$A$6:$I$471,4,0),"")</f>
        <v/>
      </c>
      <c r="X1906" s="214" t="str">
        <f>_xlfn.IFNA(VLOOKUP(F1906,'Data Kyu'!$C$6:$N$997,12,0),"No Data")</f>
        <v>No Data</v>
      </c>
    </row>
    <row r="1907" spans="2:24" ht="10.95" customHeight="1" x14ac:dyDescent="0.25">
      <c r="B1907" s="52"/>
      <c r="C1907" s="165" t="str">
        <f>IF(X1906="LULUS","V","")</f>
        <v/>
      </c>
      <c r="D1907" s="53"/>
      <c r="E1907" s="155"/>
      <c r="F1907" s="148"/>
      <c r="G1907" s="144"/>
      <c r="H1907" s="67"/>
      <c r="I1907" s="67"/>
      <c r="J1907" s="67"/>
      <c r="K1907" s="67"/>
      <c r="L1907" s="146"/>
      <c r="M1907" s="147"/>
      <c r="N1907" s="148"/>
      <c r="O1907" s="143"/>
      <c r="P1907" s="140"/>
      <c r="Q1907" s="143"/>
      <c r="R1907" s="143"/>
      <c r="S1907" s="140"/>
      <c r="T1907" s="143"/>
      <c r="U1907" s="144"/>
      <c r="V1907" s="147"/>
      <c r="X1907" s="214"/>
    </row>
    <row r="1908" spans="2:24" ht="10.95" customHeight="1" x14ac:dyDescent="0.25">
      <c r="B1908" s="52"/>
      <c r="C1908" s="166"/>
      <c r="D1908" s="53"/>
      <c r="E1908" s="155"/>
      <c r="F1908" s="167" t="str">
        <f>_xlfn.IFNA(VLOOKUP(E1906,'Data Kyu'!$A$6:$I$471,2,0),"")</f>
        <v/>
      </c>
      <c r="G1908" s="168"/>
      <c r="H1908" s="168"/>
      <c r="I1908" s="168"/>
      <c r="J1908" s="168"/>
      <c r="K1908" s="169"/>
      <c r="L1908" s="146"/>
      <c r="M1908" s="147"/>
      <c r="N1908" s="173" t="s">
        <v>6</v>
      </c>
      <c r="O1908" s="159"/>
      <c r="P1908" s="57"/>
      <c r="Q1908" s="159" t="s">
        <v>7</v>
      </c>
      <c r="R1908" s="159"/>
      <c r="S1908" s="57"/>
      <c r="T1908" s="159" t="s">
        <v>8</v>
      </c>
      <c r="U1908" s="160"/>
      <c r="V1908" s="175"/>
      <c r="X1908" s="214"/>
    </row>
    <row r="1909" spans="2:24" ht="10.95" customHeight="1" x14ac:dyDescent="0.25">
      <c r="B1909" s="54"/>
      <c r="C1909" s="76"/>
      <c r="D1909" s="56"/>
      <c r="E1909" s="156"/>
      <c r="F1909" s="170"/>
      <c r="G1909" s="171"/>
      <c r="H1909" s="171"/>
      <c r="I1909" s="171"/>
      <c r="J1909" s="171"/>
      <c r="K1909" s="172"/>
      <c r="L1909" s="148"/>
      <c r="M1909" s="144"/>
      <c r="N1909" s="174"/>
      <c r="O1909" s="161"/>
      <c r="P1909" s="27"/>
      <c r="Q1909" s="161"/>
      <c r="R1909" s="161"/>
      <c r="S1909" s="27"/>
      <c r="T1909" s="161"/>
      <c r="U1909" s="162"/>
      <c r="V1909" s="176"/>
      <c r="X1909" s="214"/>
    </row>
    <row r="1910" spans="2:24" ht="10.95" customHeight="1" x14ac:dyDescent="0.25">
      <c r="B1910" s="41"/>
      <c r="C1910" s="77"/>
      <c r="D1910" s="42"/>
      <c r="E1910" s="154">
        <f t="shared" ref="E1910" si="115">E1906+1</f>
        <v>246</v>
      </c>
      <c r="F1910" s="145" t="str">
        <f>_xlfn.IFNA(VLOOKUP(E1910,'Data Kyu'!$A$6:$I$471,3,0),"")</f>
        <v/>
      </c>
      <c r="G1910" s="142"/>
      <c r="H1910" s="66"/>
      <c r="I1910" s="66"/>
      <c r="J1910" s="66"/>
      <c r="K1910" s="66"/>
      <c r="L1910" s="145" t="str">
        <f>_xlfn.IFNA(VLOOKUP(E1910,'Data Kyu'!$A$6:$I$471,9,0),"")</f>
        <v/>
      </c>
      <c r="M1910" s="142"/>
      <c r="N1910" s="145" t="str">
        <f>_xlfn.IFNA(VLOOKUP(E1910,'Data Kyu'!$A$6:$I$471,6,0),"")</f>
        <v/>
      </c>
      <c r="O1910" s="141"/>
      <c r="P1910" s="139" t="s">
        <v>5</v>
      </c>
      <c r="Q1910" s="141" t="str">
        <f>_xlfn.IFNA(VLOOKUP(E1910,'Data Kyu'!$A$6:$I$471,7,0),"")</f>
        <v/>
      </c>
      <c r="R1910" s="141"/>
      <c r="S1910" s="139" t="s">
        <v>5</v>
      </c>
      <c r="T1910" s="141" t="str">
        <f>_xlfn.IFNA(VLOOKUP(E1910,'Data Kyu'!$A$6:$I$471,8,0),"")</f>
        <v/>
      </c>
      <c r="U1910" s="142"/>
      <c r="V1910" s="142" t="str">
        <f>_xlfn.IFNA(VLOOKUP(E1910,'Data Kyu'!$A$6:$I$471,4,0),"")</f>
        <v/>
      </c>
      <c r="X1910" s="214" t="str">
        <f>_xlfn.IFNA(VLOOKUP(F1910,'Data Kyu'!$C$6:$N$997,12,0),"No Data")</f>
        <v>No Data</v>
      </c>
    </row>
    <row r="1911" spans="2:24" ht="10.95" customHeight="1" x14ac:dyDescent="0.25">
      <c r="B1911" s="52"/>
      <c r="C1911" s="165" t="str">
        <f>IF(X1910="LULUS","V","")</f>
        <v/>
      </c>
      <c r="D1911" s="53"/>
      <c r="E1911" s="155"/>
      <c r="F1911" s="148"/>
      <c r="G1911" s="144"/>
      <c r="H1911" s="67"/>
      <c r="I1911" s="67"/>
      <c r="J1911" s="67"/>
      <c r="K1911" s="67"/>
      <c r="L1911" s="146"/>
      <c r="M1911" s="147"/>
      <c r="N1911" s="148"/>
      <c r="O1911" s="143"/>
      <c r="P1911" s="140"/>
      <c r="Q1911" s="143"/>
      <c r="R1911" s="143"/>
      <c r="S1911" s="140"/>
      <c r="T1911" s="143"/>
      <c r="U1911" s="144"/>
      <c r="V1911" s="147"/>
      <c r="X1911" s="214"/>
    </row>
    <row r="1912" spans="2:24" ht="10.95" customHeight="1" x14ac:dyDescent="0.25">
      <c r="B1912" s="52"/>
      <c r="C1912" s="166"/>
      <c r="D1912" s="53"/>
      <c r="E1912" s="155"/>
      <c r="F1912" s="167" t="str">
        <f>_xlfn.IFNA(VLOOKUP(E1910,'Data Kyu'!$A$6:$I$471,2,0),"")</f>
        <v/>
      </c>
      <c r="G1912" s="168"/>
      <c r="H1912" s="168"/>
      <c r="I1912" s="168"/>
      <c r="J1912" s="168"/>
      <c r="K1912" s="169"/>
      <c r="L1912" s="146"/>
      <c r="M1912" s="147"/>
      <c r="N1912" s="173" t="s">
        <v>6</v>
      </c>
      <c r="O1912" s="159"/>
      <c r="P1912" s="57"/>
      <c r="Q1912" s="159" t="s">
        <v>7</v>
      </c>
      <c r="R1912" s="159"/>
      <c r="S1912" s="57"/>
      <c r="T1912" s="159" t="s">
        <v>8</v>
      </c>
      <c r="U1912" s="160"/>
      <c r="V1912" s="175"/>
      <c r="X1912" s="214"/>
    </row>
    <row r="1913" spans="2:24" ht="10.95" customHeight="1" x14ac:dyDescent="0.25">
      <c r="B1913" s="54"/>
      <c r="C1913" s="76"/>
      <c r="D1913" s="56"/>
      <c r="E1913" s="156"/>
      <c r="F1913" s="170"/>
      <c r="G1913" s="171"/>
      <c r="H1913" s="171"/>
      <c r="I1913" s="171"/>
      <c r="J1913" s="171"/>
      <c r="K1913" s="172"/>
      <c r="L1913" s="148"/>
      <c r="M1913" s="144"/>
      <c r="N1913" s="174"/>
      <c r="O1913" s="161"/>
      <c r="P1913" s="27"/>
      <c r="Q1913" s="161"/>
      <c r="R1913" s="161"/>
      <c r="S1913" s="27"/>
      <c r="T1913" s="161"/>
      <c r="U1913" s="162"/>
      <c r="V1913" s="176"/>
      <c r="X1913" s="214"/>
    </row>
    <row r="1914" spans="2:24" ht="10.95" customHeight="1" x14ac:dyDescent="0.25">
      <c r="B1914" s="41"/>
      <c r="C1914" s="77"/>
      <c r="D1914" s="42"/>
      <c r="E1914" s="154">
        <f t="shared" ref="E1914" si="116">E1910+1</f>
        <v>247</v>
      </c>
      <c r="F1914" s="145" t="str">
        <f>_xlfn.IFNA(VLOOKUP(E1914,'Data Kyu'!$A$6:$I$471,3,0),"")</f>
        <v/>
      </c>
      <c r="G1914" s="142"/>
      <c r="H1914" s="66"/>
      <c r="I1914" s="66"/>
      <c r="J1914" s="66"/>
      <c r="K1914" s="66"/>
      <c r="L1914" s="145" t="str">
        <f>_xlfn.IFNA(VLOOKUP(E1914,'Data Kyu'!$A$6:$I$471,9,0),"")</f>
        <v/>
      </c>
      <c r="M1914" s="142"/>
      <c r="N1914" s="145" t="str">
        <f>_xlfn.IFNA(VLOOKUP(E1914,'Data Kyu'!$A$6:$I$471,6,0),"")</f>
        <v/>
      </c>
      <c r="O1914" s="141"/>
      <c r="P1914" s="139" t="s">
        <v>5</v>
      </c>
      <c r="Q1914" s="141" t="str">
        <f>_xlfn.IFNA(VLOOKUP(E1914,'Data Kyu'!$A$6:$I$471,7,0),"")</f>
        <v/>
      </c>
      <c r="R1914" s="141"/>
      <c r="S1914" s="139" t="s">
        <v>5</v>
      </c>
      <c r="T1914" s="141" t="str">
        <f>_xlfn.IFNA(VLOOKUP(E1914,'Data Kyu'!$A$6:$I$471,8,0),"")</f>
        <v/>
      </c>
      <c r="U1914" s="142"/>
      <c r="V1914" s="142" t="str">
        <f>_xlfn.IFNA(VLOOKUP(E1914,'Data Kyu'!$A$6:$I$471,4,0),"")</f>
        <v/>
      </c>
      <c r="X1914" s="214" t="str">
        <f>_xlfn.IFNA(VLOOKUP(F1914,'Data Kyu'!$C$6:$N$997,12,0),"No Data")</f>
        <v>No Data</v>
      </c>
    </row>
    <row r="1915" spans="2:24" ht="10.95" customHeight="1" x14ac:dyDescent="0.25">
      <c r="B1915" s="52"/>
      <c r="C1915" s="165" t="str">
        <f>IF(X1914="LULUS","V","")</f>
        <v/>
      </c>
      <c r="D1915" s="53"/>
      <c r="E1915" s="155"/>
      <c r="F1915" s="148"/>
      <c r="G1915" s="144"/>
      <c r="H1915" s="67"/>
      <c r="I1915" s="67"/>
      <c r="J1915" s="67"/>
      <c r="K1915" s="67"/>
      <c r="L1915" s="146"/>
      <c r="M1915" s="147"/>
      <c r="N1915" s="148"/>
      <c r="O1915" s="143"/>
      <c r="P1915" s="140"/>
      <c r="Q1915" s="143"/>
      <c r="R1915" s="143"/>
      <c r="S1915" s="140"/>
      <c r="T1915" s="143"/>
      <c r="U1915" s="144"/>
      <c r="V1915" s="147"/>
      <c r="X1915" s="214"/>
    </row>
    <row r="1916" spans="2:24" ht="10.95" customHeight="1" x14ac:dyDescent="0.25">
      <c r="B1916" s="52"/>
      <c r="C1916" s="166"/>
      <c r="D1916" s="53"/>
      <c r="E1916" s="155"/>
      <c r="F1916" s="167" t="str">
        <f>_xlfn.IFNA(VLOOKUP(E1914,'Data Kyu'!$A$6:$I$471,2,0),"")</f>
        <v/>
      </c>
      <c r="G1916" s="168"/>
      <c r="H1916" s="168"/>
      <c r="I1916" s="168"/>
      <c r="J1916" s="168"/>
      <c r="K1916" s="169"/>
      <c r="L1916" s="146"/>
      <c r="M1916" s="147"/>
      <c r="N1916" s="173" t="s">
        <v>6</v>
      </c>
      <c r="O1916" s="159"/>
      <c r="P1916" s="57"/>
      <c r="Q1916" s="159" t="s">
        <v>7</v>
      </c>
      <c r="R1916" s="159"/>
      <c r="S1916" s="57"/>
      <c r="T1916" s="159" t="s">
        <v>8</v>
      </c>
      <c r="U1916" s="160"/>
      <c r="V1916" s="175"/>
      <c r="X1916" s="214"/>
    </row>
    <row r="1917" spans="2:24" ht="10.95" customHeight="1" x14ac:dyDescent="0.25">
      <c r="B1917" s="54"/>
      <c r="C1917" s="76"/>
      <c r="D1917" s="56"/>
      <c r="E1917" s="156"/>
      <c r="F1917" s="170"/>
      <c r="G1917" s="171"/>
      <c r="H1917" s="171"/>
      <c r="I1917" s="171"/>
      <c r="J1917" s="171"/>
      <c r="K1917" s="172"/>
      <c r="L1917" s="148"/>
      <c r="M1917" s="144"/>
      <c r="N1917" s="174"/>
      <c r="O1917" s="161"/>
      <c r="P1917" s="27"/>
      <c r="Q1917" s="161"/>
      <c r="R1917" s="161"/>
      <c r="S1917" s="27"/>
      <c r="T1917" s="161"/>
      <c r="U1917" s="162"/>
      <c r="V1917" s="176"/>
      <c r="X1917" s="214"/>
    </row>
    <row r="1918" spans="2:24" ht="10.95" customHeight="1" x14ac:dyDescent="0.25">
      <c r="B1918" s="41"/>
      <c r="C1918" s="77"/>
      <c r="D1918" s="42"/>
      <c r="E1918" s="154">
        <f t="shared" ref="E1918" si="117">E1914+1</f>
        <v>248</v>
      </c>
      <c r="F1918" s="145" t="str">
        <f>_xlfn.IFNA(VLOOKUP(E1918,'Data Kyu'!$A$6:$I$471,3,0),"")</f>
        <v/>
      </c>
      <c r="G1918" s="142"/>
      <c r="H1918" s="66"/>
      <c r="I1918" s="66"/>
      <c r="J1918" s="66"/>
      <c r="K1918" s="66"/>
      <c r="L1918" s="145" t="str">
        <f>_xlfn.IFNA(VLOOKUP(E1918,'Data Kyu'!$A$6:$I$471,9,0),"")</f>
        <v/>
      </c>
      <c r="M1918" s="142"/>
      <c r="N1918" s="145" t="str">
        <f>_xlfn.IFNA(VLOOKUP(E1918,'Data Kyu'!$A$6:$I$471,6,0),"")</f>
        <v/>
      </c>
      <c r="O1918" s="141"/>
      <c r="P1918" s="139" t="s">
        <v>5</v>
      </c>
      <c r="Q1918" s="141" t="str">
        <f>_xlfn.IFNA(VLOOKUP(E1918,'Data Kyu'!$A$6:$I$471,7,0),"")</f>
        <v/>
      </c>
      <c r="R1918" s="141"/>
      <c r="S1918" s="139" t="s">
        <v>5</v>
      </c>
      <c r="T1918" s="141" t="str">
        <f>_xlfn.IFNA(VLOOKUP(E1918,'Data Kyu'!$A$6:$I$471,8,0),"")</f>
        <v/>
      </c>
      <c r="U1918" s="142"/>
      <c r="V1918" s="142" t="str">
        <f>_xlfn.IFNA(VLOOKUP(E1918,'Data Kyu'!$A$6:$I$471,4,0),"")</f>
        <v/>
      </c>
      <c r="X1918" s="214" t="str">
        <f>_xlfn.IFNA(VLOOKUP(F1918,'Data Kyu'!$C$6:$N$997,12,0),"No Data")</f>
        <v>No Data</v>
      </c>
    </row>
    <row r="1919" spans="2:24" ht="10.95" customHeight="1" x14ac:dyDescent="0.25">
      <c r="B1919" s="52"/>
      <c r="C1919" s="165" t="str">
        <f>IF(X1918="LULUS","V","")</f>
        <v/>
      </c>
      <c r="D1919" s="53"/>
      <c r="E1919" s="155"/>
      <c r="F1919" s="148"/>
      <c r="G1919" s="144"/>
      <c r="H1919" s="67"/>
      <c r="I1919" s="67"/>
      <c r="J1919" s="67"/>
      <c r="K1919" s="67"/>
      <c r="L1919" s="146"/>
      <c r="M1919" s="147"/>
      <c r="N1919" s="148"/>
      <c r="O1919" s="143"/>
      <c r="P1919" s="140"/>
      <c r="Q1919" s="143"/>
      <c r="R1919" s="143"/>
      <c r="S1919" s="140"/>
      <c r="T1919" s="143"/>
      <c r="U1919" s="144"/>
      <c r="V1919" s="147"/>
      <c r="X1919" s="214"/>
    </row>
    <row r="1920" spans="2:24" ht="10.95" customHeight="1" x14ac:dyDescent="0.25">
      <c r="B1920" s="52"/>
      <c r="C1920" s="166"/>
      <c r="D1920" s="53"/>
      <c r="E1920" s="155"/>
      <c r="F1920" s="167" t="str">
        <f>_xlfn.IFNA(VLOOKUP(E1918,'Data Kyu'!$A$6:$I$471,2,0),"")</f>
        <v/>
      </c>
      <c r="G1920" s="168"/>
      <c r="H1920" s="168"/>
      <c r="I1920" s="168"/>
      <c r="J1920" s="168"/>
      <c r="K1920" s="169"/>
      <c r="L1920" s="146"/>
      <c r="M1920" s="147"/>
      <c r="N1920" s="173" t="s">
        <v>6</v>
      </c>
      <c r="O1920" s="159"/>
      <c r="P1920" s="57"/>
      <c r="Q1920" s="159" t="s">
        <v>7</v>
      </c>
      <c r="R1920" s="159"/>
      <c r="S1920" s="57"/>
      <c r="T1920" s="159" t="s">
        <v>8</v>
      </c>
      <c r="U1920" s="160"/>
      <c r="V1920" s="175"/>
      <c r="X1920" s="214"/>
    </row>
    <row r="1921" spans="2:24" ht="10.95" customHeight="1" x14ac:dyDescent="0.25">
      <c r="B1921" s="54"/>
      <c r="C1921" s="76"/>
      <c r="D1921" s="56"/>
      <c r="E1921" s="156"/>
      <c r="F1921" s="170"/>
      <c r="G1921" s="171"/>
      <c r="H1921" s="171"/>
      <c r="I1921" s="171"/>
      <c r="J1921" s="171"/>
      <c r="K1921" s="172"/>
      <c r="L1921" s="148"/>
      <c r="M1921" s="144"/>
      <c r="N1921" s="174"/>
      <c r="O1921" s="161"/>
      <c r="P1921" s="27"/>
      <c r="Q1921" s="161"/>
      <c r="R1921" s="161"/>
      <c r="S1921" s="27"/>
      <c r="T1921" s="161"/>
      <c r="U1921" s="162"/>
      <c r="V1921" s="176"/>
      <c r="X1921" s="214"/>
    </row>
    <row r="1922" spans="2:24" ht="10.95" customHeight="1" x14ac:dyDescent="0.25">
      <c r="B1922" s="41"/>
      <c r="C1922" s="77"/>
      <c r="D1922" s="42"/>
      <c r="E1922" s="154">
        <f t="shared" ref="E1922" si="118">E1918+1</f>
        <v>249</v>
      </c>
      <c r="F1922" s="145" t="str">
        <f>_xlfn.IFNA(VLOOKUP(E1922,'Data Kyu'!$A$6:$I$471,3,0),"")</f>
        <v/>
      </c>
      <c r="G1922" s="142"/>
      <c r="H1922" s="66"/>
      <c r="I1922" s="66"/>
      <c r="J1922" s="66"/>
      <c r="K1922" s="66"/>
      <c r="L1922" s="145" t="str">
        <f>_xlfn.IFNA(VLOOKUP(E1922,'Data Kyu'!$A$6:$I$471,9,0),"")</f>
        <v/>
      </c>
      <c r="M1922" s="142"/>
      <c r="N1922" s="145" t="str">
        <f>_xlfn.IFNA(VLOOKUP(E1922,'Data Kyu'!$A$6:$I$471,6,0),"")</f>
        <v/>
      </c>
      <c r="O1922" s="141"/>
      <c r="P1922" s="139" t="s">
        <v>5</v>
      </c>
      <c r="Q1922" s="141" t="str">
        <f>_xlfn.IFNA(VLOOKUP(E1922,'Data Kyu'!$A$6:$I$471,7,0),"")</f>
        <v/>
      </c>
      <c r="R1922" s="141"/>
      <c r="S1922" s="139" t="s">
        <v>5</v>
      </c>
      <c r="T1922" s="141" t="str">
        <f>_xlfn.IFNA(VLOOKUP(E1922,'Data Kyu'!$A$6:$I$471,8,0),"")</f>
        <v/>
      </c>
      <c r="U1922" s="142"/>
      <c r="V1922" s="142" t="str">
        <f>_xlfn.IFNA(VLOOKUP(E1922,'Data Kyu'!$A$6:$I$471,4,0),"")</f>
        <v/>
      </c>
      <c r="X1922" s="214" t="str">
        <f>_xlfn.IFNA(VLOOKUP(F1922,'Data Kyu'!$C$6:$N$997,12,0),"No Data")</f>
        <v>No Data</v>
      </c>
    </row>
    <row r="1923" spans="2:24" ht="10.95" customHeight="1" x14ac:dyDescent="0.25">
      <c r="B1923" s="52"/>
      <c r="C1923" s="165" t="str">
        <f>IF(X1922="LULUS","V","")</f>
        <v/>
      </c>
      <c r="D1923" s="53"/>
      <c r="E1923" s="155"/>
      <c r="F1923" s="148"/>
      <c r="G1923" s="144"/>
      <c r="H1923" s="67"/>
      <c r="I1923" s="67"/>
      <c r="J1923" s="67"/>
      <c r="K1923" s="67"/>
      <c r="L1923" s="146"/>
      <c r="M1923" s="147"/>
      <c r="N1923" s="148"/>
      <c r="O1923" s="143"/>
      <c r="P1923" s="140"/>
      <c r="Q1923" s="143"/>
      <c r="R1923" s="143"/>
      <c r="S1923" s="140"/>
      <c r="T1923" s="143"/>
      <c r="U1923" s="144"/>
      <c r="V1923" s="147"/>
      <c r="X1923" s="214"/>
    </row>
    <row r="1924" spans="2:24" ht="10.95" customHeight="1" x14ac:dyDescent="0.25">
      <c r="B1924" s="52"/>
      <c r="C1924" s="166"/>
      <c r="D1924" s="53"/>
      <c r="E1924" s="155"/>
      <c r="F1924" s="167" t="str">
        <f>_xlfn.IFNA(VLOOKUP(E1922,'Data Kyu'!$A$6:$I$471,2,0),"")</f>
        <v/>
      </c>
      <c r="G1924" s="168"/>
      <c r="H1924" s="168"/>
      <c r="I1924" s="168"/>
      <c r="J1924" s="168"/>
      <c r="K1924" s="169"/>
      <c r="L1924" s="146"/>
      <c r="M1924" s="147"/>
      <c r="N1924" s="173" t="s">
        <v>6</v>
      </c>
      <c r="O1924" s="159"/>
      <c r="P1924" s="57"/>
      <c r="Q1924" s="159" t="s">
        <v>7</v>
      </c>
      <c r="R1924" s="159"/>
      <c r="S1924" s="57"/>
      <c r="T1924" s="159" t="s">
        <v>8</v>
      </c>
      <c r="U1924" s="160"/>
      <c r="V1924" s="175"/>
      <c r="X1924" s="214"/>
    </row>
    <row r="1925" spans="2:24" ht="10.95" customHeight="1" x14ac:dyDescent="0.25">
      <c r="B1925" s="54"/>
      <c r="C1925" s="76"/>
      <c r="D1925" s="56"/>
      <c r="E1925" s="156"/>
      <c r="F1925" s="170"/>
      <c r="G1925" s="171"/>
      <c r="H1925" s="171"/>
      <c r="I1925" s="171"/>
      <c r="J1925" s="171"/>
      <c r="K1925" s="172"/>
      <c r="L1925" s="148"/>
      <c r="M1925" s="144"/>
      <c r="N1925" s="174"/>
      <c r="O1925" s="161"/>
      <c r="P1925" s="27"/>
      <c r="Q1925" s="161"/>
      <c r="R1925" s="161"/>
      <c r="S1925" s="27"/>
      <c r="T1925" s="161"/>
      <c r="U1925" s="162"/>
      <c r="V1925" s="176"/>
      <c r="X1925" s="214"/>
    </row>
    <row r="1926" spans="2:24" ht="10.95" customHeight="1" x14ac:dyDescent="0.25">
      <c r="B1926" s="41"/>
      <c r="C1926" s="77"/>
      <c r="D1926" s="42"/>
      <c r="E1926" s="154">
        <f t="shared" ref="E1926" si="119">E1922+1</f>
        <v>250</v>
      </c>
      <c r="F1926" s="145" t="str">
        <f>_xlfn.IFNA(VLOOKUP(E1926,'Data Kyu'!$A$6:$I$471,3,0),"")</f>
        <v/>
      </c>
      <c r="G1926" s="142"/>
      <c r="H1926" s="66"/>
      <c r="I1926" s="66"/>
      <c r="J1926" s="66"/>
      <c r="K1926" s="66"/>
      <c r="L1926" s="145" t="str">
        <f>_xlfn.IFNA(VLOOKUP(E1926,'Data Kyu'!$A$6:$I$471,9,0),"")</f>
        <v/>
      </c>
      <c r="M1926" s="142"/>
      <c r="N1926" s="145" t="str">
        <f>_xlfn.IFNA(VLOOKUP(E1926,'Data Kyu'!$A$6:$I$471,6,0),"")</f>
        <v/>
      </c>
      <c r="O1926" s="141"/>
      <c r="P1926" s="139" t="s">
        <v>5</v>
      </c>
      <c r="Q1926" s="141" t="str">
        <f>_xlfn.IFNA(VLOOKUP(E1926,'Data Kyu'!$A$6:$I$471,7,0),"")</f>
        <v/>
      </c>
      <c r="R1926" s="141"/>
      <c r="S1926" s="139" t="s">
        <v>5</v>
      </c>
      <c r="T1926" s="141" t="str">
        <f>_xlfn.IFNA(VLOOKUP(E1926,'Data Kyu'!$A$6:$I$471,8,0),"")</f>
        <v/>
      </c>
      <c r="U1926" s="142"/>
      <c r="V1926" s="142" t="str">
        <f>_xlfn.IFNA(VLOOKUP(E1926,'Data Kyu'!$A$6:$I$471,4,0),"")</f>
        <v/>
      </c>
      <c r="X1926" s="214" t="str">
        <f>_xlfn.IFNA(VLOOKUP(F1926,'Data Kyu'!$C$6:$N$997,12,0),"No Data")</f>
        <v>No Data</v>
      </c>
    </row>
    <row r="1927" spans="2:24" ht="10.95" customHeight="1" x14ac:dyDescent="0.25">
      <c r="B1927" s="52"/>
      <c r="C1927" s="165" t="str">
        <f>IF(X1926="LULUS","V","")</f>
        <v/>
      </c>
      <c r="D1927" s="53"/>
      <c r="E1927" s="155"/>
      <c r="F1927" s="148"/>
      <c r="G1927" s="144"/>
      <c r="H1927" s="67"/>
      <c r="I1927" s="67"/>
      <c r="J1927" s="67"/>
      <c r="K1927" s="67"/>
      <c r="L1927" s="146"/>
      <c r="M1927" s="147"/>
      <c r="N1927" s="148"/>
      <c r="O1927" s="143"/>
      <c r="P1927" s="140"/>
      <c r="Q1927" s="143"/>
      <c r="R1927" s="143"/>
      <c r="S1927" s="140"/>
      <c r="T1927" s="143"/>
      <c r="U1927" s="144"/>
      <c r="V1927" s="147"/>
      <c r="X1927" s="214"/>
    </row>
    <row r="1928" spans="2:24" ht="10.95" customHeight="1" x14ac:dyDescent="0.25">
      <c r="B1928" s="52"/>
      <c r="C1928" s="166"/>
      <c r="D1928" s="53"/>
      <c r="E1928" s="155"/>
      <c r="F1928" s="167" t="str">
        <f>_xlfn.IFNA(VLOOKUP(E1926,'Data Kyu'!$A$6:$I$471,2,0),"")</f>
        <v/>
      </c>
      <c r="G1928" s="168"/>
      <c r="H1928" s="168"/>
      <c r="I1928" s="168"/>
      <c r="J1928" s="168"/>
      <c r="K1928" s="169"/>
      <c r="L1928" s="146"/>
      <c r="M1928" s="147"/>
      <c r="N1928" s="173" t="s">
        <v>6</v>
      </c>
      <c r="O1928" s="159"/>
      <c r="P1928" s="57"/>
      <c r="Q1928" s="159" t="s">
        <v>7</v>
      </c>
      <c r="R1928" s="159"/>
      <c r="S1928" s="57"/>
      <c r="T1928" s="159" t="s">
        <v>8</v>
      </c>
      <c r="U1928" s="160"/>
      <c r="V1928" s="175"/>
      <c r="X1928" s="214"/>
    </row>
    <row r="1929" spans="2:24" ht="10.95" customHeight="1" x14ac:dyDescent="0.25">
      <c r="B1929" s="54"/>
      <c r="C1929" s="55"/>
      <c r="D1929" s="56"/>
      <c r="E1929" s="156"/>
      <c r="F1929" s="170"/>
      <c r="G1929" s="171"/>
      <c r="H1929" s="171"/>
      <c r="I1929" s="171"/>
      <c r="J1929" s="171"/>
      <c r="K1929" s="172"/>
      <c r="L1929" s="148"/>
      <c r="M1929" s="144"/>
      <c r="N1929" s="174"/>
      <c r="O1929" s="161"/>
      <c r="P1929" s="27"/>
      <c r="Q1929" s="161"/>
      <c r="R1929" s="161"/>
      <c r="S1929" s="27"/>
      <c r="T1929" s="161"/>
      <c r="U1929" s="162"/>
      <c r="V1929" s="176"/>
      <c r="X1929" s="214"/>
    </row>
    <row r="1930" spans="2:24" ht="7.5" customHeight="1" x14ac:dyDescent="0.25"/>
    <row r="1931" spans="2:24" s="34" customFormat="1" x14ac:dyDescent="0.25">
      <c r="E1931" s="35" t="s">
        <v>30</v>
      </c>
      <c r="K1931" s="35" t="s">
        <v>28</v>
      </c>
    </row>
    <row r="1932" spans="2:24" x14ac:dyDescent="0.25">
      <c r="E1932" s="33" t="s">
        <v>31</v>
      </c>
      <c r="F1932" s="149"/>
      <c r="G1932" s="149"/>
      <c r="H1932" s="149"/>
      <c r="I1932" s="149"/>
      <c r="J1932" s="149"/>
      <c r="K1932" s="33" t="s">
        <v>29</v>
      </c>
      <c r="L1932" s="12"/>
      <c r="M1932" s="12"/>
      <c r="N1932" s="12"/>
      <c r="O1932" s="12"/>
      <c r="P1932" s="12"/>
      <c r="Q1932" s="12"/>
      <c r="R1932" s="12"/>
      <c r="S1932" s="12"/>
      <c r="T1932" s="12"/>
      <c r="U1932" s="12"/>
      <c r="V1932" s="12"/>
    </row>
    <row r="1933" spans="2:24" ht="6.75" customHeight="1" x14ac:dyDescent="0.25">
      <c r="F1933" s="34"/>
      <c r="G1933" s="34"/>
      <c r="H1933" s="34"/>
      <c r="I1933" s="34"/>
      <c r="J1933" s="34"/>
    </row>
    <row r="1934" spans="2:24" s="34" customFormat="1" x14ac:dyDescent="0.25">
      <c r="E1934" s="35" t="s">
        <v>32</v>
      </c>
      <c r="K1934" s="35" t="s">
        <v>36</v>
      </c>
    </row>
    <row r="1935" spans="2:24" x14ac:dyDescent="0.25">
      <c r="E1935" s="33" t="s">
        <v>33</v>
      </c>
      <c r="F1935" s="149"/>
      <c r="G1935" s="149"/>
      <c r="H1935" s="149"/>
      <c r="I1935" s="149"/>
      <c r="J1935" s="149"/>
      <c r="K1935" s="33" t="s">
        <v>29</v>
      </c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</row>
    <row r="1936" spans="2:24" ht="6.75" customHeight="1" x14ac:dyDescent="0.25">
      <c r="F1936" s="34"/>
      <c r="G1936" s="34"/>
      <c r="H1936" s="34"/>
      <c r="I1936" s="34"/>
      <c r="J1936" s="34"/>
    </row>
    <row r="1937" spans="2:24" s="34" customFormat="1" ht="13.8" x14ac:dyDescent="0.25">
      <c r="E1937" s="35" t="s">
        <v>34</v>
      </c>
      <c r="F1937" s="177" t="str">
        <f>IF(F1890&lt;&gt;"",$F$65,"")</f>
        <v/>
      </c>
      <c r="G1937" s="177"/>
      <c r="H1937" s="177"/>
      <c r="I1937" s="177"/>
      <c r="J1937" s="177"/>
      <c r="K1937" s="35" t="s">
        <v>28</v>
      </c>
      <c r="X1937" s="70" t="s">
        <v>107</v>
      </c>
    </row>
    <row r="1938" spans="2:24" ht="13.8" x14ac:dyDescent="0.25">
      <c r="E1938" s="33" t="s">
        <v>35</v>
      </c>
      <c r="F1938" s="178"/>
      <c r="G1938" s="178"/>
      <c r="H1938" s="178"/>
      <c r="I1938" s="178"/>
      <c r="J1938" s="178"/>
      <c r="K1938" s="33" t="s">
        <v>29</v>
      </c>
      <c r="L1938" s="12"/>
      <c r="M1938" s="12"/>
      <c r="N1938" s="12"/>
      <c r="O1938" s="12"/>
      <c r="P1938" s="12"/>
      <c r="Q1938" s="12"/>
      <c r="R1938" s="12"/>
      <c r="S1938" s="12"/>
      <c r="T1938" s="12"/>
      <c r="U1938" s="12"/>
      <c r="V1938" s="12"/>
      <c r="X1938" s="70" t="s">
        <v>105</v>
      </c>
    </row>
    <row r="1939" spans="2:24" ht="12.75" customHeight="1" thickBot="1" x14ac:dyDescent="0.3"/>
    <row r="1940" spans="2:24" ht="13.8" thickTop="1" x14ac:dyDescent="0.25">
      <c r="B1940" s="34" t="s">
        <v>37</v>
      </c>
      <c r="C1940" s="34"/>
      <c r="D1940" s="34"/>
      <c r="H1940" s="150" t="s">
        <v>40</v>
      </c>
      <c r="I1940" s="151"/>
      <c r="J1940" s="151"/>
      <c r="K1940" s="151"/>
      <c r="L1940" s="151"/>
      <c r="M1940" s="151"/>
      <c r="N1940" s="151"/>
      <c r="O1940" s="151"/>
      <c r="P1940" s="151"/>
      <c r="Q1940" s="151"/>
      <c r="R1940" s="151"/>
      <c r="S1940" s="151"/>
      <c r="T1940" s="151"/>
      <c r="U1940" s="151"/>
      <c r="V1940" s="151"/>
    </row>
    <row r="1941" spans="2:24" x14ac:dyDescent="0.25">
      <c r="B1941" s="34" t="s">
        <v>38</v>
      </c>
      <c r="C1941" s="34"/>
      <c r="D1941" s="34"/>
      <c r="H1941" s="152"/>
      <c r="I1941" s="153"/>
      <c r="J1941" s="153"/>
      <c r="K1941" s="153"/>
      <c r="L1941" s="153"/>
      <c r="M1941" s="153"/>
      <c r="N1941" s="153"/>
      <c r="O1941" s="153"/>
      <c r="P1941" s="153"/>
      <c r="Q1941" s="153"/>
      <c r="R1941" s="153"/>
      <c r="S1941" s="153"/>
      <c r="T1941" s="153"/>
      <c r="U1941" s="153"/>
      <c r="V1941" s="153"/>
    </row>
    <row r="1942" spans="2:24" ht="12.75" customHeight="1" x14ac:dyDescent="0.25">
      <c r="B1942" s="163" t="s">
        <v>39</v>
      </c>
      <c r="C1942" s="163"/>
      <c r="D1942" s="163"/>
      <c r="E1942" s="163"/>
      <c r="F1942" s="163"/>
      <c r="H1942" s="37" t="s">
        <v>41</v>
      </c>
    </row>
    <row r="1943" spans="2:24" ht="13.8" x14ac:dyDescent="0.25">
      <c r="B1943" s="163"/>
      <c r="C1943" s="163"/>
      <c r="D1943" s="163"/>
      <c r="E1943" s="163"/>
      <c r="F1943" s="163"/>
      <c r="H1943" s="38" t="s">
        <v>42</v>
      </c>
    </row>
    <row r="1944" spans="2:24" x14ac:dyDescent="0.25">
      <c r="B1944" s="163"/>
      <c r="C1944" s="163"/>
      <c r="D1944" s="163"/>
      <c r="E1944" s="163"/>
      <c r="F1944" s="163"/>
      <c r="H1944" s="36"/>
    </row>
    <row r="1945" spans="2:24" x14ac:dyDescent="0.25">
      <c r="B1945" s="163"/>
      <c r="C1945" s="163"/>
      <c r="D1945" s="163"/>
      <c r="E1945" s="163"/>
      <c r="F1945" s="163"/>
      <c r="H1945" s="36"/>
    </row>
    <row r="1946" spans="2:24" x14ac:dyDescent="0.25">
      <c r="H1946" s="36"/>
    </row>
    <row r="1947" spans="2:24" x14ac:dyDescent="0.25">
      <c r="H1947" s="36"/>
    </row>
    <row r="1948" spans="2:24" x14ac:dyDescent="0.25">
      <c r="H1948" s="36"/>
    </row>
    <row r="1949" spans="2:24" x14ac:dyDescent="0.25">
      <c r="H1949" s="36"/>
    </row>
    <row r="1950" spans="2:24" ht="13.8" x14ac:dyDescent="0.25">
      <c r="H1950" s="157" t="str">
        <f>IF(F1890&lt;&gt;"",$H$78,"")</f>
        <v/>
      </c>
      <c r="I1950" s="158"/>
      <c r="J1950" s="158"/>
      <c r="K1950" s="158"/>
      <c r="L1950" s="158"/>
      <c r="M1950" s="158"/>
      <c r="N1950" s="158"/>
      <c r="O1950" s="158"/>
      <c r="P1950" s="158"/>
      <c r="Q1950" s="158"/>
      <c r="R1950" s="158"/>
      <c r="S1950" s="158"/>
      <c r="T1950" s="158"/>
      <c r="U1950" s="158"/>
      <c r="V1950" s="158"/>
    </row>
    <row r="1951" spans="2:24" x14ac:dyDescent="0.25">
      <c r="H1951" s="36"/>
    </row>
    <row r="1952" spans="2:24" ht="28.5" customHeight="1" x14ac:dyDescent="0.3">
      <c r="B1952" s="193" t="s">
        <v>43</v>
      </c>
      <c r="C1952" s="193"/>
      <c r="D1952" s="193"/>
      <c r="E1952" s="194"/>
      <c r="F1952" s="194"/>
      <c r="G1952" s="194"/>
      <c r="H1952" s="194"/>
      <c r="I1952" s="2"/>
      <c r="J1952" s="2"/>
      <c r="K1952" s="13" t="s">
        <v>25</v>
      </c>
      <c r="L1952" s="195" t="s">
        <v>14</v>
      </c>
      <c r="M1952" s="196"/>
      <c r="N1952" s="196"/>
      <c r="O1952" s="196"/>
      <c r="P1952" s="196"/>
      <c r="Q1952" s="196"/>
      <c r="R1952" s="196"/>
      <c r="S1952" s="196"/>
      <c r="T1952" s="196"/>
      <c r="U1952" s="196"/>
      <c r="V1952" s="197"/>
      <c r="X1952" s="1"/>
    </row>
    <row r="1953" spans="2:24" ht="26.25" customHeight="1" x14ac:dyDescent="0.4">
      <c r="B1953" s="39" t="s">
        <v>44</v>
      </c>
      <c r="C1953" s="39"/>
      <c r="D1953" s="39"/>
      <c r="E1953" s="2"/>
      <c r="F1953" s="2"/>
      <c r="G1953" s="2"/>
      <c r="H1953" s="2"/>
      <c r="I1953" s="2"/>
      <c r="J1953" s="2"/>
      <c r="K1953" s="29" t="s">
        <v>13</v>
      </c>
      <c r="L1953" s="15">
        <v>4</v>
      </c>
      <c r="M1953" s="16">
        <v>1</v>
      </c>
      <c r="N1953" s="15">
        <v>0</v>
      </c>
      <c r="O1953" s="198">
        <v>0</v>
      </c>
      <c r="P1953" s="199"/>
      <c r="Q1953" s="14">
        <v>0</v>
      </c>
      <c r="R1953" s="200">
        <v>1</v>
      </c>
      <c r="S1953" s="201"/>
      <c r="T1953" s="6"/>
      <c r="U1953" s="6"/>
      <c r="V1953" s="7"/>
      <c r="X1953" s="1"/>
    </row>
    <row r="1954" spans="2:24" ht="21" customHeight="1" x14ac:dyDescent="0.25">
      <c r="B1954" s="26" t="s">
        <v>45</v>
      </c>
      <c r="C1954" s="26"/>
      <c r="D1954" s="26"/>
      <c r="E1954" s="25"/>
      <c r="F1954" s="25"/>
      <c r="G1954" s="25"/>
      <c r="H1954" s="25"/>
      <c r="I1954" s="25"/>
      <c r="J1954" s="25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X1954" s="1"/>
    </row>
    <row r="1955" spans="2:24" ht="13.5" customHeight="1" x14ac:dyDescent="0.25">
      <c r="B1955" s="40" t="s">
        <v>24</v>
      </c>
      <c r="C1955" s="40"/>
      <c r="D1955" s="40"/>
      <c r="E1955" s="25"/>
      <c r="F1955" s="25"/>
      <c r="G1955" s="25"/>
      <c r="H1955" s="25"/>
      <c r="I1955" s="25"/>
      <c r="J1955" s="25"/>
      <c r="K1955" s="28" t="s">
        <v>6</v>
      </c>
      <c r="L1955" s="202" t="str">
        <f>IF(F1968&lt;&gt;"",$L$5,"")</f>
        <v/>
      </c>
      <c r="M1955" s="203"/>
      <c r="N1955" s="204" t="s">
        <v>15</v>
      </c>
      <c r="O1955" s="204"/>
      <c r="P1955" s="204"/>
      <c r="Q1955" s="205" t="str">
        <f>IF(F1968&lt;&gt;"",$Q$5,"")</f>
        <v/>
      </c>
      <c r="R1955" s="206"/>
      <c r="S1955" s="207" t="s">
        <v>16</v>
      </c>
      <c r="T1955" s="204"/>
      <c r="U1955" s="82" t="str">
        <f>IF(F1968&lt;&gt;"",$U$5,"")</f>
        <v/>
      </c>
      <c r="V1955" s="63"/>
      <c r="X1955" s="1"/>
    </row>
    <row r="1956" spans="2:24" ht="8.25" customHeight="1" x14ac:dyDescent="0.25"/>
    <row r="1957" spans="2:24" ht="11.25" customHeight="1" x14ac:dyDescent="0.25">
      <c r="B1957" s="24" t="s">
        <v>17</v>
      </c>
      <c r="C1957" s="24"/>
      <c r="D1957" s="24"/>
    </row>
    <row r="1958" spans="2:24" ht="11.25" customHeight="1" x14ac:dyDescent="0.25">
      <c r="B1958" s="8" t="s">
        <v>18</v>
      </c>
      <c r="C1958" s="8"/>
      <c r="D1958" s="8"/>
    </row>
    <row r="1959" spans="2:24" ht="5.25" customHeight="1" x14ac:dyDescent="0.25">
      <c r="B1959" s="8"/>
      <c r="C1959" s="8"/>
      <c r="D1959" s="8"/>
    </row>
    <row r="1960" spans="2:24" x14ac:dyDescent="0.25">
      <c r="B1960" s="179" t="s">
        <v>19</v>
      </c>
      <c r="C1960" s="179"/>
      <c r="D1960" s="179"/>
      <c r="E1960" s="179"/>
      <c r="F1960" s="179"/>
      <c r="G1960" s="18" t="s">
        <v>6</v>
      </c>
      <c r="H1960" s="64" t="str">
        <f>IF(F1968&lt;&gt;"",$H$10,"")</f>
        <v/>
      </c>
      <c r="I1960" s="9" t="s">
        <v>15</v>
      </c>
      <c r="J1960" s="83" t="str">
        <f>IF(F1968&lt;&gt;"",$J$10,"")</f>
        <v/>
      </c>
      <c r="K1960" s="9" t="s">
        <v>16</v>
      </c>
      <c r="L1960" s="180" t="str">
        <f>IF(F1968&lt;&gt;"",$L$10,"")</f>
        <v/>
      </c>
      <c r="M1960" s="181"/>
      <c r="X1960" s="32"/>
    </row>
    <row r="1961" spans="2:24" ht="5.25" customHeight="1" x14ac:dyDescent="0.25">
      <c r="B1961" s="8"/>
      <c r="C1961" s="8"/>
      <c r="D1961" s="8"/>
      <c r="E1961" s="8"/>
      <c r="F1961" s="8"/>
      <c r="G1961" s="19"/>
      <c r="H1961" s="20"/>
      <c r="I1961" s="21"/>
      <c r="J1961" s="20"/>
      <c r="K1961" s="10"/>
      <c r="L1961" s="22"/>
      <c r="X1961" s="32"/>
    </row>
    <row r="1962" spans="2:24" s="73" customFormat="1" ht="14.4" customHeight="1" x14ac:dyDescent="0.25">
      <c r="B1962" s="72" t="s">
        <v>20</v>
      </c>
      <c r="C1962" s="72"/>
      <c r="D1962" s="72"/>
      <c r="X1962" s="74"/>
    </row>
    <row r="1963" spans="2:24" s="73" customFormat="1" ht="14.4" customHeight="1" x14ac:dyDescent="0.25">
      <c r="B1963" s="75" t="s">
        <v>21</v>
      </c>
      <c r="C1963" s="10"/>
      <c r="D1963" s="10"/>
      <c r="E1963" s="22" t="s">
        <v>22</v>
      </c>
      <c r="X1963" s="74"/>
    </row>
    <row r="1964" spans="2:24" s="73" customFormat="1" ht="14.4" customHeight="1" x14ac:dyDescent="0.25">
      <c r="B1964" s="22"/>
      <c r="C1964" s="22"/>
      <c r="D1964" s="22"/>
      <c r="E1964" s="22" t="s">
        <v>23</v>
      </c>
      <c r="X1964" s="164" t="s">
        <v>102</v>
      </c>
    </row>
    <row r="1965" spans="2:24" ht="7.5" customHeight="1" x14ac:dyDescent="0.25">
      <c r="B1965" s="8"/>
      <c r="C1965" s="8"/>
      <c r="D1965" s="8"/>
      <c r="X1965" s="164"/>
    </row>
    <row r="1966" spans="2:24" ht="17.25" customHeight="1" x14ac:dyDescent="0.25">
      <c r="B1966" s="182"/>
      <c r="C1966" s="59"/>
      <c r="D1966" s="60"/>
      <c r="E1966" s="184" t="s">
        <v>0</v>
      </c>
      <c r="F1966" s="186" t="s">
        <v>1</v>
      </c>
      <c r="G1966" s="187"/>
      <c r="H1966" s="4"/>
      <c r="I1966" s="4"/>
      <c r="J1966" s="4"/>
      <c r="K1966" s="5"/>
      <c r="L1966" s="145" t="s">
        <v>3</v>
      </c>
      <c r="M1966" s="142"/>
      <c r="N1966" s="188" t="s">
        <v>10</v>
      </c>
      <c r="O1966" s="188"/>
      <c r="P1966" s="188"/>
      <c r="Q1966" s="188"/>
      <c r="R1966" s="188"/>
      <c r="S1966" s="188"/>
      <c r="T1966" s="188"/>
      <c r="U1966" s="189"/>
      <c r="V1966" s="3" t="s">
        <v>12</v>
      </c>
      <c r="X1966" s="68" t="s">
        <v>200</v>
      </c>
    </row>
    <row r="1967" spans="2:24" ht="17.25" customHeight="1" x14ac:dyDescent="0.25">
      <c r="B1967" s="183"/>
      <c r="C1967" s="61"/>
      <c r="D1967" s="62"/>
      <c r="E1967" s="185"/>
      <c r="F1967" s="30" t="s">
        <v>2</v>
      </c>
      <c r="G1967" s="17"/>
      <c r="H1967" s="6"/>
      <c r="I1967" s="6"/>
      <c r="J1967" s="6"/>
      <c r="K1967" s="7"/>
      <c r="L1967" s="190" t="s">
        <v>4</v>
      </c>
      <c r="M1967" s="191"/>
      <c r="N1967" s="192" t="s">
        <v>9</v>
      </c>
      <c r="O1967" s="192"/>
      <c r="P1967" s="192"/>
      <c r="Q1967" s="192"/>
      <c r="R1967" s="192"/>
      <c r="S1967" s="192"/>
      <c r="T1967" s="192"/>
      <c r="U1967" s="191"/>
      <c r="V1967" s="31" t="s">
        <v>11</v>
      </c>
      <c r="X1967" s="69"/>
    </row>
    <row r="1968" spans="2:24" ht="10.95" customHeight="1" x14ac:dyDescent="0.25">
      <c r="B1968" s="41"/>
      <c r="C1968" s="51"/>
      <c r="D1968" s="42"/>
      <c r="E1968" s="154">
        <v>251</v>
      </c>
      <c r="F1968" s="145" t="str">
        <f>_xlfn.IFNA(VLOOKUP(E1968,'Data Kyu'!$A$6:$I$471,3,0),"")</f>
        <v/>
      </c>
      <c r="G1968" s="142"/>
      <c r="H1968" s="66"/>
      <c r="I1968" s="66"/>
      <c r="J1968" s="66"/>
      <c r="K1968" s="66"/>
      <c r="L1968" s="145" t="str">
        <f>_xlfn.IFNA(VLOOKUP(E1968,'Data Kyu'!$A$6:$I$471,9,0),"")</f>
        <v/>
      </c>
      <c r="M1968" s="142"/>
      <c r="N1968" s="145" t="str">
        <f>_xlfn.IFNA(VLOOKUP(E1968,'Data Kyu'!$A$6:$I$471,6,0),"")</f>
        <v/>
      </c>
      <c r="O1968" s="141"/>
      <c r="P1968" s="139" t="s">
        <v>5</v>
      </c>
      <c r="Q1968" s="141" t="str">
        <f>_xlfn.IFNA(VLOOKUP(E1968,'Data Kyu'!$A$6:$I$471,7,0),"")</f>
        <v/>
      </c>
      <c r="R1968" s="141"/>
      <c r="S1968" s="139" t="s">
        <v>5</v>
      </c>
      <c r="T1968" s="141" t="str">
        <f>_xlfn.IFNA(VLOOKUP(E1968,'Data Kyu'!$A$6:$I$471,8,0),"")</f>
        <v/>
      </c>
      <c r="U1968" s="142"/>
      <c r="V1968" s="142" t="str">
        <f>_xlfn.IFNA(VLOOKUP(E1968,'Data Kyu'!$A$6:$I$471,4,0),"")</f>
        <v/>
      </c>
      <c r="X1968" s="214" t="str">
        <f>_xlfn.IFNA(VLOOKUP(F1968,'Data Kyu'!$C$6:$N$997,12,0),"No Data")</f>
        <v>No Data</v>
      </c>
    </row>
    <row r="1969" spans="2:24" ht="10.95" customHeight="1" x14ac:dyDescent="0.25">
      <c r="B1969" s="52"/>
      <c r="C1969" s="165" t="str">
        <f>IF(X1968="LULUS","V","")</f>
        <v/>
      </c>
      <c r="D1969" s="53"/>
      <c r="E1969" s="155"/>
      <c r="F1969" s="148"/>
      <c r="G1969" s="144"/>
      <c r="H1969" s="67"/>
      <c r="I1969" s="67"/>
      <c r="J1969" s="67"/>
      <c r="K1969" s="67"/>
      <c r="L1969" s="146"/>
      <c r="M1969" s="147"/>
      <c r="N1969" s="148"/>
      <c r="O1969" s="143"/>
      <c r="P1969" s="140"/>
      <c r="Q1969" s="143"/>
      <c r="R1969" s="143"/>
      <c r="S1969" s="140"/>
      <c r="T1969" s="143"/>
      <c r="U1969" s="144"/>
      <c r="V1969" s="147"/>
      <c r="X1969" s="214"/>
    </row>
    <row r="1970" spans="2:24" ht="10.95" customHeight="1" x14ac:dyDescent="0.25">
      <c r="B1970" s="52"/>
      <c r="C1970" s="166"/>
      <c r="D1970" s="53"/>
      <c r="E1970" s="155"/>
      <c r="F1970" s="167" t="str">
        <f>_xlfn.IFNA(VLOOKUP(E1968,'Data Kyu'!$A$6:$I$471,2,0),"")</f>
        <v/>
      </c>
      <c r="G1970" s="168"/>
      <c r="H1970" s="168"/>
      <c r="I1970" s="168"/>
      <c r="J1970" s="168"/>
      <c r="K1970" s="169"/>
      <c r="L1970" s="146"/>
      <c r="M1970" s="147"/>
      <c r="N1970" s="173" t="s">
        <v>6</v>
      </c>
      <c r="O1970" s="159"/>
      <c r="P1970" s="57"/>
      <c r="Q1970" s="159" t="s">
        <v>7</v>
      </c>
      <c r="R1970" s="159"/>
      <c r="S1970" s="57"/>
      <c r="T1970" s="159" t="s">
        <v>8</v>
      </c>
      <c r="U1970" s="160"/>
      <c r="V1970" s="175"/>
      <c r="X1970" s="214"/>
    </row>
    <row r="1971" spans="2:24" ht="10.95" customHeight="1" x14ac:dyDescent="0.25">
      <c r="B1971" s="54"/>
      <c r="C1971" s="76"/>
      <c r="D1971" s="56"/>
      <c r="E1971" s="156"/>
      <c r="F1971" s="170"/>
      <c r="G1971" s="171"/>
      <c r="H1971" s="171"/>
      <c r="I1971" s="171"/>
      <c r="J1971" s="171"/>
      <c r="K1971" s="172"/>
      <c r="L1971" s="148"/>
      <c r="M1971" s="144"/>
      <c r="N1971" s="174"/>
      <c r="O1971" s="161"/>
      <c r="P1971" s="27"/>
      <c r="Q1971" s="161"/>
      <c r="R1971" s="161"/>
      <c r="S1971" s="27"/>
      <c r="T1971" s="161"/>
      <c r="U1971" s="162"/>
      <c r="V1971" s="176"/>
      <c r="X1971" s="214"/>
    </row>
    <row r="1972" spans="2:24" ht="10.95" customHeight="1" x14ac:dyDescent="0.25">
      <c r="B1972" s="41"/>
      <c r="C1972" s="77"/>
      <c r="D1972" s="42"/>
      <c r="E1972" s="154">
        <f>E1968+1</f>
        <v>252</v>
      </c>
      <c r="F1972" s="145" t="str">
        <f>_xlfn.IFNA(VLOOKUP(E1972,'Data Kyu'!$A$6:$I$471,3,0),"")</f>
        <v/>
      </c>
      <c r="G1972" s="142"/>
      <c r="H1972" s="66"/>
      <c r="I1972" s="66"/>
      <c r="J1972" s="66"/>
      <c r="K1972" s="66"/>
      <c r="L1972" s="145" t="str">
        <f>_xlfn.IFNA(VLOOKUP(E1972,'Data Kyu'!$A$6:$I$471,9,0),"")</f>
        <v/>
      </c>
      <c r="M1972" s="142"/>
      <c r="N1972" s="145" t="str">
        <f>_xlfn.IFNA(VLOOKUP(E1972,'Data Kyu'!$A$6:$I$471,6,0),"")</f>
        <v/>
      </c>
      <c r="O1972" s="141"/>
      <c r="P1972" s="139" t="s">
        <v>5</v>
      </c>
      <c r="Q1972" s="141" t="str">
        <f>_xlfn.IFNA(VLOOKUP(E1972,'Data Kyu'!$A$6:$I$471,7,0),"")</f>
        <v/>
      </c>
      <c r="R1972" s="141"/>
      <c r="S1972" s="139" t="s">
        <v>5</v>
      </c>
      <c r="T1972" s="141" t="str">
        <f>_xlfn.IFNA(VLOOKUP(E1972,'Data Kyu'!$A$6:$I$471,8,0),"")</f>
        <v/>
      </c>
      <c r="U1972" s="142"/>
      <c r="V1972" s="142" t="str">
        <f>_xlfn.IFNA(VLOOKUP(E1972,'Data Kyu'!$A$6:$I$471,4,0),"")</f>
        <v/>
      </c>
      <c r="X1972" s="214" t="str">
        <f>_xlfn.IFNA(VLOOKUP(F1972,'Data Kyu'!$C$6:$N$997,12,0),"No Data")</f>
        <v>No Data</v>
      </c>
    </row>
    <row r="1973" spans="2:24" ht="10.95" customHeight="1" x14ac:dyDescent="0.25">
      <c r="B1973" s="52"/>
      <c r="C1973" s="165" t="str">
        <f>IF(X1972="LULUS","V","")</f>
        <v/>
      </c>
      <c r="D1973" s="53"/>
      <c r="E1973" s="155"/>
      <c r="F1973" s="148"/>
      <c r="G1973" s="144"/>
      <c r="H1973" s="67"/>
      <c r="I1973" s="67"/>
      <c r="J1973" s="67"/>
      <c r="K1973" s="67"/>
      <c r="L1973" s="146"/>
      <c r="M1973" s="147"/>
      <c r="N1973" s="148"/>
      <c r="O1973" s="143"/>
      <c r="P1973" s="140"/>
      <c r="Q1973" s="143"/>
      <c r="R1973" s="143"/>
      <c r="S1973" s="140"/>
      <c r="T1973" s="143"/>
      <c r="U1973" s="144"/>
      <c r="V1973" s="147"/>
      <c r="X1973" s="214"/>
    </row>
    <row r="1974" spans="2:24" ht="10.95" customHeight="1" x14ac:dyDescent="0.25">
      <c r="B1974" s="52"/>
      <c r="C1974" s="166"/>
      <c r="D1974" s="53"/>
      <c r="E1974" s="155"/>
      <c r="F1974" s="167" t="str">
        <f>_xlfn.IFNA(VLOOKUP(E1972,'Data Kyu'!$A$6:$I$471,2,0),"")</f>
        <v/>
      </c>
      <c r="G1974" s="168"/>
      <c r="H1974" s="168"/>
      <c r="I1974" s="168"/>
      <c r="J1974" s="168"/>
      <c r="K1974" s="169"/>
      <c r="L1974" s="146"/>
      <c r="M1974" s="147"/>
      <c r="N1974" s="173" t="s">
        <v>6</v>
      </c>
      <c r="O1974" s="159"/>
      <c r="P1974" s="57"/>
      <c r="Q1974" s="159" t="s">
        <v>7</v>
      </c>
      <c r="R1974" s="159"/>
      <c r="S1974" s="57"/>
      <c r="T1974" s="159" t="s">
        <v>8</v>
      </c>
      <c r="U1974" s="160"/>
      <c r="V1974" s="175"/>
      <c r="X1974" s="214"/>
    </row>
    <row r="1975" spans="2:24" ht="10.95" customHeight="1" x14ac:dyDescent="0.25">
      <c r="B1975" s="54"/>
      <c r="C1975" s="76"/>
      <c r="D1975" s="56"/>
      <c r="E1975" s="156"/>
      <c r="F1975" s="170"/>
      <c r="G1975" s="171"/>
      <c r="H1975" s="171"/>
      <c r="I1975" s="171"/>
      <c r="J1975" s="171"/>
      <c r="K1975" s="172"/>
      <c r="L1975" s="148"/>
      <c r="M1975" s="144"/>
      <c r="N1975" s="174"/>
      <c r="O1975" s="161"/>
      <c r="P1975" s="27"/>
      <c r="Q1975" s="161"/>
      <c r="R1975" s="161"/>
      <c r="S1975" s="27"/>
      <c r="T1975" s="161"/>
      <c r="U1975" s="162"/>
      <c r="V1975" s="176"/>
      <c r="X1975" s="214"/>
    </row>
    <row r="1976" spans="2:24" ht="10.95" customHeight="1" x14ac:dyDescent="0.25">
      <c r="B1976" s="41"/>
      <c r="C1976" s="77"/>
      <c r="D1976" s="42"/>
      <c r="E1976" s="154">
        <f t="shared" ref="E1976" si="120">E1972+1</f>
        <v>253</v>
      </c>
      <c r="F1976" s="145" t="str">
        <f>_xlfn.IFNA(VLOOKUP(E1976,'Data Kyu'!$A$6:$I$471,3,0),"")</f>
        <v/>
      </c>
      <c r="G1976" s="142"/>
      <c r="H1976" s="66"/>
      <c r="I1976" s="66"/>
      <c r="J1976" s="66"/>
      <c r="K1976" s="66"/>
      <c r="L1976" s="145" t="str">
        <f>_xlfn.IFNA(VLOOKUP(E1976,'Data Kyu'!$A$6:$I$471,9,0),"")</f>
        <v/>
      </c>
      <c r="M1976" s="142"/>
      <c r="N1976" s="145" t="str">
        <f>_xlfn.IFNA(VLOOKUP(E1976,'Data Kyu'!$A$6:$I$471,6,0),"")</f>
        <v/>
      </c>
      <c r="O1976" s="141"/>
      <c r="P1976" s="139" t="s">
        <v>5</v>
      </c>
      <c r="Q1976" s="141" t="str">
        <f>_xlfn.IFNA(VLOOKUP(E1976,'Data Kyu'!$A$6:$I$471,7,0),"")</f>
        <v/>
      </c>
      <c r="R1976" s="141"/>
      <c r="S1976" s="139" t="s">
        <v>5</v>
      </c>
      <c r="T1976" s="141" t="str">
        <f>_xlfn.IFNA(VLOOKUP(E1976,'Data Kyu'!$A$6:$I$471,8,0),"")</f>
        <v/>
      </c>
      <c r="U1976" s="142"/>
      <c r="V1976" s="142" t="str">
        <f>_xlfn.IFNA(VLOOKUP(E1976,'Data Kyu'!$A$6:$I$471,4,0),"")</f>
        <v/>
      </c>
      <c r="X1976" s="214" t="str">
        <f>_xlfn.IFNA(VLOOKUP(F1976,'Data Kyu'!$C$6:$N$997,12,0),"No Data")</f>
        <v>No Data</v>
      </c>
    </row>
    <row r="1977" spans="2:24" ht="10.95" customHeight="1" x14ac:dyDescent="0.25">
      <c r="B1977" s="52"/>
      <c r="C1977" s="165" t="str">
        <f>IF(X1976="LULUS","V","")</f>
        <v/>
      </c>
      <c r="D1977" s="53"/>
      <c r="E1977" s="155"/>
      <c r="F1977" s="148"/>
      <c r="G1977" s="144"/>
      <c r="H1977" s="67"/>
      <c r="I1977" s="67"/>
      <c r="J1977" s="67"/>
      <c r="K1977" s="67"/>
      <c r="L1977" s="146"/>
      <c r="M1977" s="147"/>
      <c r="N1977" s="148"/>
      <c r="O1977" s="143"/>
      <c r="P1977" s="140"/>
      <c r="Q1977" s="143"/>
      <c r="R1977" s="143"/>
      <c r="S1977" s="140"/>
      <c r="T1977" s="143"/>
      <c r="U1977" s="144"/>
      <c r="V1977" s="147"/>
      <c r="X1977" s="214"/>
    </row>
    <row r="1978" spans="2:24" ht="10.95" customHeight="1" x14ac:dyDescent="0.25">
      <c r="B1978" s="52"/>
      <c r="C1978" s="166"/>
      <c r="D1978" s="53"/>
      <c r="E1978" s="155"/>
      <c r="F1978" s="167" t="str">
        <f>_xlfn.IFNA(VLOOKUP(E1976,'Data Kyu'!$A$6:$I$471,2,0),"")</f>
        <v/>
      </c>
      <c r="G1978" s="168"/>
      <c r="H1978" s="168"/>
      <c r="I1978" s="168"/>
      <c r="J1978" s="168"/>
      <c r="K1978" s="169"/>
      <c r="L1978" s="146"/>
      <c r="M1978" s="147"/>
      <c r="N1978" s="173" t="s">
        <v>6</v>
      </c>
      <c r="O1978" s="159"/>
      <c r="P1978" s="57"/>
      <c r="Q1978" s="159" t="s">
        <v>7</v>
      </c>
      <c r="R1978" s="159"/>
      <c r="S1978" s="57"/>
      <c r="T1978" s="159" t="s">
        <v>8</v>
      </c>
      <c r="U1978" s="160"/>
      <c r="V1978" s="175"/>
      <c r="X1978" s="214"/>
    </row>
    <row r="1979" spans="2:24" ht="10.95" customHeight="1" x14ac:dyDescent="0.25">
      <c r="B1979" s="54"/>
      <c r="C1979" s="76"/>
      <c r="D1979" s="56"/>
      <c r="E1979" s="156"/>
      <c r="F1979" s="170"/>
      <c r="G1979" s="171"/>
      <c r="H1979" s="171"/>
      <c r="I1979" s="171"/>
      <c r="J1979" s="171"/>
      <c r="K1979" s="172"/>
      <c r="L1979" s="148"/>
      <c r="M1979" s="144"/>
      <c r="N1979" s="174"/>
      <c r="O1979" s="161"/>
      <c r="P1979" s="27"/>
      <c r="Q1979" s="161"/>
      <c r="R1979" s="161"/>
      <c r="S1979" s="27"/>
      <c r="T1979" s="161"/>
      <c r="U1979" s="162"/>
      <c r="V1979" s="176"/>
      <c r="X1979" s="214"/>
    </row>
    <row r="1980" spans="2:24" ht="10.95" customHeight="1" x14ac:dyDescent="0.25">
      <c r="B1980" s="41"/>
      <c r="C1980" s="77"/>
      <c r="D1980" s="42"/>
      <c r="E1980" s="154">
        <f t="shared" ref="E1980" si="121">E1976+1</f>
        <v>254</v>
      </c>
      <c r="F1980" s="145" t="str">
        <f>_xlfn.IFNA(VLOOKUP(E1980,'Data Kyu'!$A$6:$I$471,3,0),"")</f>
        <v/>
      </c>
      <c r="G1980" s="142"/>
      <c r="H1980" s="66"/>
      <c r="I1980" s="66"/>
      <c r="J1980" s="66"/>
      <c r="K1980" s="66"/>
      <c r="L1980" s="145" t="str">
        <f>_xlfn.IFNA(VLOOKUP(E1980,'Data Kyu'!$A$6:$I$471,9,0),"")</f>
        <v/>
      </c>
      <c r="M1980" s="142"/>
      <c r="N1980" s="145" t="str">
        <f>_xlfn.IFNA(VLOOKUP(E1980,'Data Kyu'!$A$6:$I$471,6,0),"")</f>
        <v/>
      </c>
      <c r="O1980" s="141"/>
      <c r="P1980" s="139" t="s">
        <v>5</v>
      </c>
      <c r="Q1980" s="141" t="str">
        <f>_xlfn.IFNA(VLOOKUP(E1980,'Data Kyu'!$A$6:$I$471,7,0),"")</f>
        <v/>
      </c>
      <c r="R1980" s="141"/>
      <c r="S1980" s="139" t="s">
        <v>5</v>
      </c>
      <c r="T1980" s="141" t="str">
        <f>_xlfn.IFNA(VLOOKUP(E1980,'Data Kyu'!$A$6:$I$471,8,0),"")</f>
        <v/>
      </c>
      <c r="U1980" s="142"/>
      <c r="V1980" s="142" t="str">
        <f>_xlfn.IFNA(VLOOKUP(E1980,'Data Kyu'!$A$6:$I$471,4,0),"")</f>
        <v/>
      </c>
      <c r="X1980" s="214" t="str">
        <f>_xlfn.IFNA(VLOOKUP(F1980,'Data Kyu'!$C$6:$N$997,12,0),"No Data")</f>
        <v>No Data</v>
      </c>
    </row>
    <row r="1981" spans="2:24" ht="10.95" customHeight="1" x14ac:dyDescent="0.25">
      <c r="B1981" s="52"/>
      <c r="C1981" s="165" t="str">
        <f>IF(X1980="LULUS","V","")</f>
        <v/>
      </c>
      <c r="D1981" s="53"/>
      <c r="E1981" s="155"/>
      <c r="F1981" s="148"/>
      <c r="G1981" s="144"/>
      <c r="H1981" s="67"/>
      <c r="I1981" s="67"/>
      <c r="J1981" s="67"/>
      <c r="K1981" s="67"/>
      <c r="L1981" s="146"/>
      <c r="M1981" s="147"/>
      <c r="N1981" s="148"/>
      <c r="O1981" s="143"/>
      <c r="P1981" s="140"/>
      <c r="Q1981" s="143"/>
      <c r="R1981" s="143"/>
      <c r="S1981" s="140"/>
      <c r="T1981" s="143"/>
      <c r="U1981" s="144"/>
      <c r="V1981" s="147"/>
      <c r="X1981" s="214"/>
    </row>
    <row r="1982" spans="2:24" ht="10.95" customHeight="1" x14ac:dyDescent="0.25">
      <c r="B1982" s="52"/>
      <c r="C1982" s="166"/>
      <c r="D1982" s="53"/>
      <c r="E1982" s="155"/>
      <c r="F1982" s="167" t="str">
        <f>_xlfn.IFNA(VLOOKUP(E1980,'Data Kyu'!$A$6:$I$471,2,0),"")</f>
        <v/>
      </c>
      <c r="G1982" s="168"/>
      <c r="H1982" s="168"/>
      <c r="I1982" s="168"/>
      <c r="J1982" s="168"/>
      <c r="K1982" s="169"/>
      <c r="L1982" s="146"/>
      <c r="M1982" s="147"/>
      <c r="N1982" s="173" t="s">
        <v>6</v>
      </c>
      <c r="O1982" s="159"/>
      <c r="P1982" s="57"/>
      <c r="Q1982" s="159" t="s">
        <v>7</v>
      </c>
      <c r="R1982" s="159"/>
      <c r="S1982" s="57"/>
      <c r="T1982" s="159" t="s">
        <v>8</v>
      </c>
      <c r="U1982" s="160"/>
      <c r="V1982" s="175"/>
      <c r="X1982" s="214"/>
    </row>
    <row r="1983" spans="2:24" ht="10.95" customHeight="1" x14ac:dyDescent="0.25">
      <c r="B1983" s="54"/>
      <c r="C1983" s="76"/>
      <c r="D1983" s="56"/>
      <c r="E1983" s="156"/>
      <c r="F1983" s="170"/>
      <c r="G1983" s="171"/>
      <c r="H1983" s="171"/>
      <c r="I1983" s="171"/>
      <c r="J1983" s="171"/>
      <c r="K1983" s="172"/>
      <c r="L1983" s="148"/>
      <c r="M1983" s="144"/>
      <c r="N1983" s="174"/>
      <c r="O1983" s="161"/>
      <c r="P1983" s="27"/>
      <c r="Q1983" s="161"/>
      <c r="R1983" s="161"/>
      <c r="S1983" s="27"/>
      <c r="T1983" s="161"/>
      <c r="U1983" s="162"/>
      <c r="V1983" s="176"/>
      <c r="X1983" s="214"/>
    </row>
    <row r="1984" spans="2:24" ht="10.95" customHeight="1" x14ac:dyDescent="0.25">
      <c r="B1984" s="41"/>
      <c r="C1984" s="77"/>
      <c r="D1984" s="42"/>
      <c r="E1984" s="154">
        <f t="shared" ref="E1984" si="122">E1980+1</f>
        <v>255</v>
      </c>
      <c r="F1984" s="145" t="str">
        <f>_xlfn.IFNA(VLOOKUP(E1984,'Data Kyu'!$A$6:$I$471,3,0),"")</f>
        <v/>
      </c>
      <c r="G1984" s="142"/>
      <c r="H1984" s="66"/>
      <c r="I1984" s="66"/>
      <c r="J1984" s="66"/>
      <c r="K1984" s="66"/>
      <c r="L1984" s="145" t="str">
        <f>_xlfn.IFNA(VLOOKUP(E1984,'Data Kyu'!$A$6:$I$471,9,0),"")</f>
        <v/>
      </c>
      <c r="M1984" s="142"/>
      <c r="N1984" s="145" t="str">
        <f>_xlfn.IFNA(VLOOKUP(E1984,'Data Kyu'!$A$6:$I$471,6,0),"")</f>
        <v/>
      </c>
      <c r="O1984" s="141"/>
      <c r="P1984" s="139" t="s">
        <v>5</v>
      </c>
      <c r="Q1984" s="141" t="str">
        <f>_xlfn.IFNA(VLOOKUP(E1984,'Data Kyu'!$A$6:$I$471,7,0),"")</f>
        <v/>
      </c>
      <c r="R1984" s="141"/>
      <c r="S1984" s="139" t="s">
        <v>5</v>
      </c>
      <c r="T1984" s="141" t="str">
        <f>_xlfn.IFNA(VLOOKUP(E1984,'Data Kyu'!$A$6:$I$471,8,0),"")</f>
        <v/>
      </c>
      <c r="U1984" s="142"/>
      <c r="V1984" s="142" t="str">
        <f>_xlfn.IFNA(VLOOKUP(E1984,'Data Kyu'!$A$6:$I$471,4,0),"")</f>
        <v/>
      </c>
      <c r="X1984" s="214" t="str">
        <f>_xlfn.IFNA(VLOOKUP(F1984,'Data Kyu'!$C$6:$N$997,12,0),"No Data")</f>
        <v>No Data</v>
      </c>
    </row>
    <row r="1985" spans="2:24" ht="10.95" customHeight="1" x14ac:dyDescent="0.25">
      <c r="B1985" s="52"/>
      <c r="C1985" s="165" t="str">
        <f>IF(X1984="LULUS","V","")</f>
        <v/>
      </c>
      <c r="D1985" s="53"/>
      <c r="E1985" s="155"/>
      <c r="F1985" s="148"/>
      <c r="G1985" s="144"/>
      <c r="H1985" s="67"/>
      <c r="I1985" s="67"/>
      <c r="J1985" s="67"/>
      <c r="K1985" s="67"/>
      <c r="L1985" s="146"/>
      <c r="M1985" s="147"/>
      <c r="N1985" s="148"/>
      <c r="O1985" s="143"/>
      <c r="P1985" s="140"/>
      <c r="Q1985" s="143"/>
      <c r="R1985" s="143"/>
      <c r="S1985" s="140"/>
      <c r="T1985" s="143"/>
      <c r="U1985" s="144"/>
      <c r="V1985" s="147"/>
      <c r="X1985" s="214"/>
    </row>
    <row r="1986" spans="2:24" ht="10.95" customHeight="1" x14ac:dyDescent="0.25">
      <c r="B1986" s="52"/>
      <c r="C1986" s="166"/>
      <c r="D1986" s="53"/>
      <c r="E1986" s="155"/>
      <c r="F1986" s="167" t="str">
        <f>_xlfn.IFNA(VLOOKUP(E1984,'Data Kyu'!$A$6:$I$471,2,0),"")</f>
        <v/>
      </c>
      <c r="G1986" s="168"/>
      <c r="H1986" s="168"/>
      <c r="I1986" s="168"/>
      <c r="J1986" s="168"/>
      <c r="K1986" s="169"/>
      <c r="L1986" s="146"/>
      <c r="M1986" s="147"/>
      <c r="N1986" s="173" t="s">
        <v>6</v>
      </c>
      <c r="O1986" s="159"/>
      <c r="P1986" s="57"/>
      <c r="Q1986" s="159" t="s">
        <v>7</v>
      </c>
      <c r="R1986" s="159"/>
      <c r="S1986" s="57"/>
      <c r="T1986" s="159" t="s">
        <v>8</v>
      </c>
      <c r="U1986" s="160"/>
      <c r="V1986" s="175"/>
      <c r="X1986" s="214"/>
    </row>
    <row r="1987" spans="2:24" ht="10.95" customHeight="1" x14ac:dyDescent="0.25">
      <c r="B1987" s="54"/>
      <c r="C1987" s="76"/>
      <c r="D1987" s="56"/>
      <c r="E1987" s="156"/>
      <c r="F1987" s="170"/>
      <c r="G1987" s="171"/>
      <c r="H1987" s="171"/>
      <c r="I1987" s="171"/>
      <c r="J1987" s="171"/>
      <c r="K1987" s="172"/>
      <c r="L1987" s="148"/>
      <c r="M1987" s="144"/>
      <c r="N1987" s="174"/>
      <c r="O1987" s="161"/>
      <c r="P1987" s="27"/>
      <c r="Q1987" s="161"/>
      <c r="R1987" s="161"/>
      <c r="S1987" s="27"/>
      <c r="T1987" s="161"/>
      <c r="U1987" s="162"/>
      <c r="V1987" s="176"/>
      <c r="X1987" s="214"/>
    </row>
    <row r="1988" spans="2:24" ht="10.95" customHeight="1" x14ac:dyDescent="0.25">
      <c r="B1988" s="41"/>
      <c r="C1988" s="77"/>
      <c r="D1988" s="42"/>
      <c r="E1988" s="154">
        <f t="shared" ref="E1988" si="123">E1984+1</f>
        <v>256</v>
      </c>
      <c r="F1988" s="145" t="str">
        <f>_xlfn.IFNA(VLOOKUP(E1988,'Data Kyu'!$A$6:$I$471,3,0),"")</f>
        <v/>
      </c>
      <c r="G1988" s="142"/>
      <c r="H1988" s="66"/>
      <c r="I1988" s="66"/>
      <c r="J1988" s="66"/>
      <c r="K1988" s="66"/>
      <c r="L1988" s="145" t="str">
        <f>_xlfn.IFNA(VLOOKUP(E1988,'Data Kyu'!$A$6:$I$471,9,0),"")</f>
        <v/>
      </c>
      <c r="M1988" s="142"/>
      <c r="N1988" s="145" t="str">
        <f>_xlfn.IFNA(VLOOKUP(E1988,'Data Kyu'!$A$6:$I$471,6,0),"")</f>
        <v/>
      </c>
      <c r="O1988" s="141"/>
      <c r="P1988" s="139" t="s">
        <v>5</v>
      </c>
      <c r="Q1988" s="141" t="str">
        <f>_xlfn.IFNA(VLOOKUP(E1988,'Data Kyu'!$A$6:$I$471,7,0),"")</f>
        <v/>
      </c>
      <c r="R1988" s="141"/>
      <c r="S1988" s="139" t="s">
        <v>5</v>
      </c>
      <c r="T1988" s="141" t="str">
        <f>_xlfn.IFNA(VLOOKUP(E1988,'Data Kyu'!$A$6:$I$471,8,0),"")</f>
        <v/>
      </c>
      <c r="U1988" s="142"/>
      <c r="V1988" s="142" t="str">
        <f>_xlfn.IFNA(VLOOKUP(E1988,'Data Kyu'!$A$6:$I$471,4,0),"")</f>
        <v/>
      </c>
      <c r="X1988" s="214" t="str">
        <f>_xlfn.IFNA(VLOOKUP(F1988,'Data Kyu'!$C$6:$N$997,12,0),"No Data")</f>
        <v>No Data</v>
      </c>
    </row>
    <row r="1989" spans="2:24" ht="10.95" customHeight="1" x14ac:dyDescent="0.25">
      <c r="B1989" s="52"/>
      <c r="C1989" s="165" t="str">
        <f>IF(X1988="LULUS","V","")</f>
        <v/>
      </c>
      <c r="D1989" s="53"/>
      <c r="E1989" s="155"/>
      <c r="F1989" s="148"/>
      <c r="G1989" s="144"/>
      <c r="H1989" s="67"/>
      <c r="I1989" s="67"/>
      <c r="J1989" s="67"/>
      <c r="K1989" s="67"/>
      <c r="L1989" s="146"/>
      <c r="M1989" s="147"/>
      <c r="N1989" s="148"/>
      <c r="O1989" s="143"/>
      <c r="P1989" s="140"/>
      <c r="Q1989" s="143"/>
      <c r="R1989" s="143"/>
      <c r="S1989" s="140"/>
      <c r="T1989" s="143"/>
      <c r="U1989" s="144"/>
      <c r="V1989" s="147"/>
      <c r="X1989" s="214"/>
    </row>
    <row r="1990" spans="2:24" ht="10.95" customHeight="1" x14ac:dyDescent="0.25">
      <c r="B1990" s="52"/>
      <c r="C1990" s="166"/>
      <c r="D1990" s="53"/>
      <c r="E1990" s="155"/>
      <c r="F1990" s="167" t="str">
        <f>_xlfn.IFNA(VLOOKUP(E1988,'Data Kyu'!$A$6:$I$471,2,0),"")</f>
        <v/>
      </c>
      <c r="G1990" s="168"/>
      <c r="H1990" s="168"/>
      <c r="I1990" s="168"/>
      <c r="J1990" s="168"/>
      <c r="K1990" s="169"/>
      <c r="L1990" s="146"/>
      <c r="M1990" s="147"/>
      <c r="N1990" s="173" t="s">
        <v>6</v>
      </c>
      <c r="O1990" s="159"/>
      <c r="P1990" s="57"/>
      <c r="Q1990" s="159" t="s">
        <v>7</v>
      </c>
      <c r="R1990" s="159"/>
      <c r="S1990" s="57"/>
      <c r="T1990" s="159" t="s">
        <v>8</v>
      </c>
      <c r="U1990" s="160"/>
      <c r="V1990" s="175"/>
      <c r="X1990" s="214"/>
    </row>
    <row r="1991" spans="2:24" ht="10.95" customHeight="1" x14ac:dyDescent="0.25">
      <c r="B1991" s="54"/>
      <c r="C1991" s="76"/>
      <c r="D1991" s="56"/>
      <c r="E1991" s="156"/>
      <c r="F1991" s="170"/>
      <c r="G1991" s="171"/>
      <c r="H1991" s="171"/>
      <c r="I1991" s="171"/>
      <c r="J1991" s="171"/>
      <c r="K1991" s="172"/>
      <c r="L1991" s="148"/>
      <c r="M1991" s="144"/>
      <c r="N1991" s="174"/>
      <c r="O1991" s="161"/>
      <c r="P1991" s="27"/>
      <c r="Q1991" s="161"/>
      <c r="R1991" s="161"/>
      <c r="S1991" s="27"/>
      <c r="T1991" s="161"/>
      <c r="U1991" s="162"/>
      <c r="V1991" s="176"/>
      <c r="X1991" s="214"/>
    </row>
    <row r="1992" spans="2:24" ht="10.95" customHeight="1" x14ac:dyDescent="0.25">
      <c r="B1992" s="41"/>
      <c r="C1992" s="77"/>
      <c r="D1992" s="42"/>
      <c r="E1992" s="154">
        <f t="shared" ref="E1992" si="124">E1988+1</f>
        <v>257</v>
      </c>
      <c r="F1992" s="145" t="str">
        <f>_xlfn.IFNA(VLOOKUP(E1992,'Data Kyu'!$A$6:$I$471,3,0),"")</f>
        <v/>
      </c>
      <c r="G1992" s="142"/>
      <c r="H1992" s="66"/>
      <c r="I1992" s="66"/>
      <c r="J1992" s="66"/>
      <c r="K1992" s="66"/>
      <c r="L1992" s="145" t="str">
        <f>_xlfn.IFNA(VLOOKUP(E1992,'Data Kyu'!$A$6:$I$471,9,0),"")</f>
        <v/>
      </c>
      <c r="M1992" s="142"/>
      <c r="N1992" s="145" t="str">
        <f>_xlfn.IFNA(VLOOKUP(E1992,'Data Kyu'!$A$6:$I$471,6,0),"")</f>
        <v/>
      </c>
      <c r="O1992" s="141"/>
      <c r="P1992" s="139" t="s">
        <v>5</v>
      </c>
      <c r="Q1992" s="141" t="str">
        <f>_xlfn.IFNA(VLOOKUP(E1992,'Data Kyu'!$A$6:$I$471,7,0),"")</f>
        <v/>
      </c>
      <c r="R1992" s="141"/>
      <c r="S1992" s="139" t="s">
        <v>5</v>
      </c>
      <c r="T1992" s="141" t="str">
        <f>_xlfn.IFNA(VLOOKUP(E1992,'Data Kyu'!$A$6:$I$471,8,0),"")</f>
        <v/>
      </c>
      <c r="U1992" s="142"/>
      <c r="V1992" s="142" t="str">
        <f>_xlfn.IFNA(VLOOKUP(E1992,'Data Kyu'!$A$6:$I$471,4,0),"")</f>
        <v/>
      </c>
      <c r="X1992" s="214" t="str">
        <f>_xlfn.IFNA(VLOOKUP(F1992,'Data Kyu'!$C$6:$N$997,12,0),"No Data")</f>
        <v>No Data</v>
      </c>
    </row>
    <row r="1993" spans="2:24" ht="10.95" customHeight="1" x14ac:dyDescent="0.25">
      <c r="B1993" s="52"/>
      <c r="C1993" s="165" t="str">
        <f>IF(X1992="LULUS","V","")</f>
        <v/>
      </c>
      <c r="D1993" s="53"/>
      <c r="E1993" s="155"/>
      <c r="F1993" s="148"/>
      <c r="G1993" s="144"/>
      <c r="H1993" s="67"/>
      <c r="I1993" s="67"/>
      <c r="J1993" s="67"/>
      <c r="K1993" s="67"/>
      <c r="L1993" s="146"/>
      <c r="M1993" s="147"/>
      <c r="N1993" s="148"/>
      <c r="O1993" s="143"/>
      <c r="P1993" s="140"/>
      <c r="Q1993" s="143"/>
      <c r="R1993" s="143"/>
      <c r="S1993" s="140"/>
      <c r="T1993" s="143"/>
      <c r="U1993" s="144"/>
      <c r="V1993" s="147"/>
      <c r="X1993" s="214"/>
    </row>
    <row r="1994" spans="2:24" ht="10.95" customHeight="1" x14ac:dyDescent="0.25">
      <c r="B1994" s="52"/>
      <c r="C1994" s="166"/>
      <c r="D1994" s="53"/>
      <c r="E1994" s="155"/>
      <c r="F1994" s="167" t="str">
        <f>_xlfn.IFNA(VLOOKUP(E1992,'Data Kyu'!$A$6:$I$471,2,0),"")</f>
        <v/>
      </c>
      <c r="G1994" s="168"/>
      <c r="H1994" s="168"/>
      <c r="I1994" s="168"/>
      <c r="J1994" s="168"/>
      <c r="K1994" s="169"/>
      <c r="L1994" s="146"/>
      <c r="M1994" s="147"/>
      <c r="N1994" s="173" t="s">
        <v>6</v>
      </c>
      <c r="O1994" s="159"/>
      <c r="P1994" s="57"/>
      <c r="Q1994" s="159" t="s">
        <v>7</v>
      </c>
      <c r="R1994" s="159"/>
      <c r="S1994" s="57"/>
      <c r="T1994" s="159" t="s">
        <v>8</v>
      </c>
      <c r="U1994" s="160"/>
      <c r="V1994" s="175"/>
      <c r="X1994" s="214"/>
    </row>
    <row r="1995" spans="2:24" ht="10.95" customHeight="1" x14ac:dyDescent="0.25">
      <c r="B1995" s="54"/>
      <c r="C1995" s="76"/>
      <c r="D1995" s="56"/>
      <c r="E1995" s="156"/>
      <c r="F1995" s="170"/>
      <c r="G1995" s="171"/>
      <c r="H1995" s="171"/>
      <c r="I1995" s="171"/>
      <c r="J1995" s="171"/>
      <c r="K1995" s="172"/>
      <c r="L1995" s="148"/>
      <c r="M1995" s="144"/>
      <c r="N1995" s="174"/>
      <c r="O1995" s="161"/>
      <c r="P1995" s="27"/>
      <c r="Q1995" s="161"/>
      <c r="R1995" s="161"/>
      <c r="S1995" s="27"/>
      <c r="T1995" s="161"/>
      <c r="U1995" s="162"/>
      <c r="V1995" s="176"/>
      <c r="X1995" s="214"/>
    </row>
    <row r="1996" spans="2:24" ht="10.95" customHeight="1" x14ac:dyDescent="0.25">
      <c r="B1996" s="41"/>
      <c r="C1996" s="77"/>
      <c r="D1996" s="42"/>
      <c r="E1996" s="154">
        <f t="shared" ref="E1996" si="125">E1992+1</f>
        <v>258</v>
      </c>
      <c r="F1996" s="145" t="str">
        <f>_xlfn.IFNA(VLOOKUP(E1996,'Data Kyu'!$A$6:$I$471,3,0),"")</f>
        <v/>
      </c>
      <c r="G1996" s="142"/>
      <c r="H1996" s="66"/>
      <c r="I1996" s="66"/>
      <c r="J1996" s="66"/>
      <c r="K1996" s="66"/>
      <c r="L1996" s="145" t="str">
        <f>_xlfn.IFNA(VLOOKUP(E1996,'Data Kyu'!$A$6:$I$471,9,0),"")</f>
        <v/>
      </c>
      <c r="M1996" s="142"/>
      <c r="N1996" s="145" t="str">
        <f>_xlfn.IFNA(VLOOKUP(E1996,'Data Kyu'!$A$6:$I$471,6,0),"")</f>
        <v/>
      </c>
      <c r="O1996" s="141"/>
      <c r="P1996" s="139" t="s">
        <v>5</v>
      </c>
      <c r="Q1996" s="141" t="str">
        <f>_xlfn.IFNA(VLOOKUP(E1996,'Data Kyu'!$A$6:$I$471,7,0),"")</f>
        <v/>
      </c>
      <c r="R1996" s="141"/>
      <c r="S1996" s="139" t="s">
        <v>5</v>
      </c>
      <c r="T1996" s="141" t="str">
        <f>_xlfn.IFNA(VLOOKUP(E1996,'Data Kyu'!$A$6:$I$471,8,0),"")</f>
        <v/>
      </c>
      <c r="U1996" s="142"/>
      <c r="V1996" s="142" t="str">
        <f>_xlfn.IFNA(VLOOKUP(E1996,'Data Kyu'!$A$6:$I$471,4,0),"")</f>
        <v/>
      </c>
      <c r="X1996" s="214" t="str">
        <f>_xlfn.IFNA(VLOOKUP(F1996,'Data Kyu'!$C$6:$N$997,12,0),"No Data")</f>
        <v>No Data</v>
      </c>
    </row>
    <row r="1997" spans="2:24" ht="10.95" customHeight="1" x14ac:dyDescent="0.25">
      <c r="B1997" s="52"/>
      <c r="C1997" s="165" t="str">
        <f>IF(X1996="LULUS","V","")</f>
        <v/>
      </c>
      <c r="D1997" s="53"/>
      <c r="E1997" s="155"/>
      <c r="F1997" s="148"/>
      <c r="G1997" s="144"/>
      <c r="H1997" s="67"/>
      <c r="I1997" s="67"/>
      <c r="J1997" s="67"/>
      <c r="K1997" s="67"/>
      <c r="L1997" s="146"/>
      <c r="M1997" s="147"/>
      <c r="N1997" s="148"/>
      <c r="O1997" s="143"/>
      <c r="P1997" s="140"/>
      <c r="Q1997" s="143"/>
      <c r="R1997" s="143"/>
      <c r="S1997" s="140"/>
      <c r="T1997" s="143"/>
      <c r="U1997" s="144"/>
      <c r="V1997" s="147"/>
      <c r="X1997" s="214"/>
    </row>
    <row r="1998" spans="2:24" ht="10.95" customHeight="1" x14ac:dyDescent="0.25">
      <c r="B1998" s="52"/>
      <c r="C1998" s="166"/>
      <c r="D1998" s="53"/>
      <c r="E1998" s="155"/>
      <c r="F1998" s="167" t="str">
        <f>_xlfn.IFNA(VLOOKUP(E1996,'Data Kyu'!$A$6:$I$471,2,0),"")</f>
        <v/>
      </c>
      <c r="G1998" s="168"/>
      <c r="H1998" s="168"/>
      <c r="I1998" s="168"/>
      <c r="J1998" s="168"/>
      <c r="K1998" s="169"/>
      <c r="L1998" s="146"/>
      <c r="M1998" s="147"/>
      <c r="N1998" s="173" t="s">
        <v>6</v>
      </c>
      <c r="O1998" s="159"/>
      <c r="P1998" s="57"/>
      <c r="Q1998" s="159" t="s">
        <v>7</v>
      </c>
      <c r="R1998" s="159"/>
      <c r="S1998" s="57"/>
      <c r="T1998" s="159" t="s">
        <v>8</v>
      </c>
      <c r="U1998" s="160"/>
      <c r="V1998" s="175"/>
      <c r="X1998" s="214"/>
    </row>
    <row r="1999" spans="2:24" ht="10.95" customHeight="1" x14ac:dyDescent="0.25">
      <c r="B1999" s="54"/>
      <c r="C1999" s="76"/>
      <c r="D1999" s="56"/>
      <c r="E1999" s="156"/>
      <c r="F1999" s="170"/>
      <c r="G1999" s="171"/>
      <c r="H1999" s="171"/>
      <c r="I1999" s="171"/>
      <c r="J1999" s="171"/>
      <c r="K1999" s="172"/>
      <c r="L1999" s="148"/>
      <c r="M1999" s="144"/>
      <c r="N1999" s="174"/>
      <c r="O1999" s="161"/>
      <c r="P1999" s="27"/>
      <c r="Q1999" s="161"/>
      <c r="R1999" s="161"/>
      <c r="S1999" s="27"/>
      <c r="T1999" s="161"/>
      <c r="U1999" s="162"/>
      <c r="V1999" s="176"/>
      <c r="X1999" s="214"/>
    </row>
    <row r="2000" spans="2:24" ht="10.95" customHeight="1" x14ac:dyDescent="0.25">
      <c r="B2000" s="41"/>
      <c r="C2000" s="77"/>
      <c r="D2000" s="42"/>
      <c r="E2000" s="154">
        <f t="shared" ref="E2000" si="126">E1996+1</f>
        <v>259</v>
      </c>
      <c r="F2000" s="145" t="str">
        <f>_xlfn.IFNA(VLOOKUP(E2000,'Data Kyu'!$A$6:$I$471,3,0),"")</f>
        <v/>
      </c>
      <c r="G2000" s="142"/>
      <c r="H2000" s="66"/>
      <c r="I2000" s="66"/>
      <c r="J2000" s="66"/>
      <c r="K2000" s="66"/>
      <c r="L2000" s="145" t="str">
        <f>_xlfn.IFNA(VLOOKUP(E2000,'Data Kyu'!$A$6:$I$471,9,0),"")</f>
        <v/>
      </c>
      <c r="M2000" s="142"/>
      <c r="N2000" s="145" t="str">
        <f>_xlfn.IFNA(VLOOKUP(E2000,'Data Kyu'!$A$6:$I$471,6,0),"")</f>
        <v/>
      </c>
      <c r="O2000" s="141"/>
      <c r="P2000" s="139" t="s">
        <v>5</v>
      </c>
      <c r="Q2000" s="141" t="str">
        <f>_xlfn.IFNA(VLOOKUP(E2000,'Data Kyu'!$A$6:$I$471,7,0),"")</f>
        <v/>
      </c>
      <c r="R2000" s="141"/>
      <c r="S2000" s="139" t="s">
        <v>5</v>
      </c>
      <c r="T2000" s="141" t="str">
        <f>_xlfn.IFNA(VLOOKUP(E2000,'Data Kyu'!$A$6:$I$471,8,0),"")</f>
        <v/>
      </c>
      <c r="U2000" s="142"/>
      <c r="V2000" s="142" t="str">
        <f>_xlfn.IFNA(VLOOKUP(E2000,'Data Kyu'!$A$6:$I$471,4,0),"")</f>
        <v/>
      </c>
      <c r="X2000" s="214" t="str">
        <f>_xlfn.IFNA(VLOOKUP(F2000,'Data Kyu'!$C$6:$N$997,12,0),"No Data")</f>
        <v>No Data</v>
      </c>
    </row>
    <row r="2001" spans="2:24" ht="10.95" customHeight="1" x14ac:dyDescent="0.25">
      <c r="B2001" s="52"/>
      <c r="C2001" s="165" t="str">
        <f>IF(X2000="LULUS","V","")</f>
        <v/>
      </c>
      <c r="D2001" s="53"/>
      <c r="E2001" s="155"/>
      <c r="F2001" s="148"/>
      <c r="G2001" s="144"/>
      <c r="H2001" s="67"/>
      <c r="I2001" s="67"/>
      <c r="J2001" s="67"/>
      <c r="K2001" s="67"/>
      <c r="L2001" s="146"/>
      <c r="M2001" s="147"/>
      <c r="N2001" s="148"/>
      <c r="O2001" s="143"/>
      <c r="P2001" s="140"/>
      <c r="Q2001" s="143"/>
      <c r="R2001" s="143"/>
      <c r="S2001" s="140"/>
      <c r="T2001" s="143"/>
      <c r="U2001" s="144"/>
      <c r="V2001" s="147"/>
      <c r="X2001" s="214"/>
    </row>
    <row r="2002" spans="2:24" ht="10.95" customHeight="1" x14ac:dyDescent="0.25">
      <c r="B2002" s="52"/>
      <c r="C2002" s="166"/>
      <c r="D2002" s="53"/>
      <c r="E2002" s="155"/>
      <c r="F2002" s="167" t="str">
        <f>_xlfn.IFNA(VLOOKUP(E2000,'Data Kyu'!$A$6:$I$471,2,0),"")</f>
        <v/>
      </c>
      <c r="G2002" s="168"/>
      <c r="H2002" s="168"/>
      <c r="I2002" s="168"/>
      <c r="J2002" s="168"/>
      <c r="K2002" s="169"/>
      <c r="L2002" s="146"/>
      <c r="M2002" s="147"/>
      <c r="N2002" s="173" t="s">
        <v>6</v>
      </c>
      <c r="O2002" s="159"/>
      <c r="P2002" s="57"/>
      <c r="Q2002" s="159" t="s">
        <v>7</v>
      </c>
      <c r="R2002" s="159"/>
      <c r="S2002" s="57"/>
      <c r="T2002" s="159" t="s">
        <v>8</v>
      </c>
      <c r="U2002" s="160"/>
      <c r="V2002" s="175"/>
      <c r="X2002" s="214"/>
    </row>
    <row r="2003" spans="2:24" ht="10.95" customHeight="1" x14ac:dyDescent="0.25">
      <c r="B2003" s="54"/>
      <c r="C2003" s="76"/>
      <c r="D2003" s="56"/>
      <c r="E2003" s="156"/>
      <c r="F2003" s="170"/>
      <c r="G2003" s="171"/>
      <c r="H2003" s="171"/>
      <c r="I2003" s="171"/>
      <c r="J2003" s="171"/>
      <c r="K2003" s="172"/>
      <c r="L2003" s="148"/>
      <c r="M2003" s="144"/>
      <c r="N2003" s="174"/>
      <c r="O2003" s="161"/>
      <c r="P2003" s="27"/>
      <c r="Q2003" s="161"/>
      <c r="R2003" s="161"/>
      <c r="S2003" s="27"/>
      <c r="T2003" s="161"/>
      <c r="U2003" s="162"/>
      <c r="V2003" s="176"/>
      <c r="X2003" s="214"/>
    </row>
    <row r="2004" spans="2:24" ht="10.95" customHeight="1" x14ac:dyDescent="0.25">
      <c r="B2004" s="41"/>
      <c r="C2004" s="77"/>
      <c r="D2004" s="42"/>
      <c r="E2004" s="154">
        <f t="shared" ref="E2004" si="127">E2000+1</f>
        <v>260</v>
      </c>
      <c r="F2004" s="145" t="str">
        <f>_xlfn.IFNA(VLOOKUP(E2004,'Data Kyu'!$A$6:$I$471,3,0),"")</f>
        <v/>
      </c>
      <c r="G2004" s="142"/>
      <c r="H2004" s="66"/>
      <c r="I2004" s="66"/>
      <c r="J2004" s="66"/>
      <c r="K2004" s="66"/>
      <c r="L2004" s="145" t="str">
        <f>_xlfn.IFNA(VLOOKUP(E2004,'Data Kyu'!$A$6:$I$471,9,0),"")</f>
        <v/>
      </c>
      <c r="M2004" s="142"/>
      <c r="N2004" s="145" t="str">
        <f>_xlfn.IFNA(VLOOKUP(E2004,'Data Kyu'!$A$6:$I$471,6,0),"")</f>
        <v/>
      </c>
      <c r="O2004" s="141"/>
      <c r="P2004" s="139" t="s">
        <v>5</v>
      </c>
      <c r="Q2004" s="141" t="str">
        <f>_xlfn.IFNA(VLOOKUP(E2004,'Data Kyu'!$A$6:$I$471,7,0),"")</f>
        <v/>
      </c>
      <c r="R2004" s="141"/>
      <c r="S2004" s="139" t="s">
        <v>5</v>
      </c>
      <c r="T2004" s="141" t="str">
        <f>_xlfn.IFNA(VLOOKUP(E2004,'Data Kyu'!$A$6:$I$471,8,0),"")</f>
        <v/>
      </c>
      <c r="U2004" s="142"/>
      <c r="V2004" s="142" t="str">
        <f>_xlfn.IFNA(VLOOKUP(E2004,'Data Kyu'!$A$6:$I$471,4,0),"")</f>
        <v/>
      </c>
      <c r="X2004" s="214" t="str">
        <f>_xlfn.IFNA(VLOOKUP(F2004,'Data Kyu'!$C$6:$N$997,12,0),"No Data")</f>
        <v>No Data</v>
      </c>
    </row>
    <row r="2005" spans="2:24" ht="10.95" customHeight="1" x14ac:dyDescent="0.25">
      <c r="B2005" s="52"/>
      <c r="C2005" s="165" t="str">
        <f>IF(X2004="LULUS","V","")</f>
        <v/>
      </c>
      <c r="D2005" s="53"/>
      <c r="E2005" s="155"/>
      <c r="F2005" s="148"/>
      <c r="G2005" s="144"/>
      <c r="H2005" s="67"/>
      <c r="I2005" s="67"/>
      <c r="J2005" s="67"/>
      <c r="K2005" s="67"/>
      <c r="L2005" s="146"/>
      <c r="M2005" s="147"/>
      <c r="N2005" s="148"/>
      <c r="O2005" s="143"/>
      <c r="P2005" s="140"/>
      <c r="Q2005" s="143"/>
      <c r="R2005" s="143"/>
      <c r="S2005" s="140"/>
      <c r="T2005" s="143"/>
      <c r="U2005" s="144"/>
      <c r="V2005" s="147"/>
      <c r="X2005" s="214"/>
    </row>
    <row r="2006" spans="2:24" ht="10.95" customHeight="1" x14ac:dyDescent="0.25">
      <c r="B2006" s="52"/>
      <c r="C2006" s="166"/>
      <c r="D2006" s="53"/>
      <c r="E2006" s="155"/>
      <c r="F2006" s="167" t="str">
        <f>_xlfn.IFNA(VLOOKUP(E2004,'Data Kyu'!$A$6:$I$471,2,0),"")</f>
        <v/>
      </c>
      <c r="G2006" s="168"/>
      <c r="H2006" s="168"/>
      <c r="I2006" s="168"/>
      <c r="J2006" s="168"/>
      <c r="K2006" s="169"/>
      <c r="L2006" s="146"/>
      <c r="M2006" s="147"/>
      <c r="N2006" s="173" t="s">
        <v>6</v>
      </c>
      <c r="O2006" s="159"/>
      <c r="P2006" s="57"/>
      <c r="Q2006" s="159" t="s">
        <v>7</v>
      </c>
      <c r="R2006" s="159"/>
      <c r="S2006" s="57"/>
      <c r="T2006" s="159" t="s">
        <v>8</v>
      </c>
      <c r="U2006" s="160"/>
      <c r="V2006" s="175"/>
      <c r="X2006" s="214"/>
    </row>
    <row r="2007" spans="2:24" ht="10.95" customHeight="1" x14ac:dyDescent="0.25">
      <c r="B2007" s="54"/>
      <c r="C2007" s="55"/>
      <c r="D2007" s="56"/>
      <c r="E2007" s="156"/>
      <c r="F2007" s="170"/>
      <c r="G2007" s="171"/>
      <c r="H2007" s="171"/>
      <c r="I2007" s="171"/>
      <c r="J2007" s="171"/>
      <c r="K2007" s="172"/>
      <c r="L2007" s="148"/>
      <c r="M2007" s="144"/>
      <c r="N2007" s="174"/>
      <c r="O2007" s="161"/>
      <c r="P2007" s="27"/>
      <c r="Q2007" s="161"/>
      <c r="R2007" s="161"/>
      <c r="S2007" s="27"/>
      <c r="T2007" s="161"/>
      <c r="U2007" s="162"/>
      <c r="V2007" s="176"/>
      <c r="X2007" s="214"/>
    </row>
    <row r="2008" spans="2:24" ht="7.5" customHeight="1" x14ac:dyDescent="0.25"/>
    <row r="2009" spans="2:24" s="34" customFormat="1" x14ac:dyDescent="0.25">
      <c r="E2009" s="35" t="s">
        <v>30</v>
      </c>
      <c r="K2009" s="35" t="s">
        <v>28</v>
      </c>
    </row>
    <row r="2010" spans="2:24" x14ac:dyDescent="0.25">
      <c r="E2010" s="33" t="s">
        <v>31</v>
      </c>
      <c r="F2010" s="149"/>
      <c r="G2010" s="149"/>
      <c r="H2010" s="149"/>
      <c r="I2010" s="149"/>
      <c r="J2010" s="149"/>
      <c r="K2010" s="33" t="s">
        <v>29</v>
      </c>
      <c r="L2010" s="12"/>
      <c r="M2010" s="12"/>
      <c r="N2010" s="12"/>
      <c r="O2010" s="12"/>
      <c r="P2010" s="12"/>
      <c r="Q2010" s="12"/>
      <c r="R2010" s="12"/>
      <c r="S2010" s="12"/>
      <c r="T2010" s="12"/>
      <c r="U2010" s="12"/>
      <c r="V2010" s="12"/>
    </row>
    <row r="2011" spans="2:24" ht="6.75" customHeight="1" x14ac:dyDescent="0.25">
      <c r="F2011" s="34"/>
      <c r="G2011" s="34"/>
      <c r="H2011" s="34"/>
      <c r="I2011" s="34"/>
      <c r="J2011" s="34"/>
    </row>
    <row r="2012" spans="2:24" s="34" customFormat="1" x14ac:dyDescent="0.25">
      <c r="E2012" s="35" t="s">
        <v>32</v>
      </c>
      <c r="K2012" s="35" t="s">
        <v>36</v>
      </c>
    </row>
    <row r="2013" spans="2:24" x14ac:dyDescent="0.25">
      <c r="E2013" s="33" t="s">
        <v>33</v>
      </c>
      <c r="F2013" s="149"/>
      <c r="G2013" s="149"/>
      <c r="H2013" s="149"/>
      <c r="I2013" s="149"/>
      <c r="J2013" s="149"/>
      <c r="K2013" s="33" t="s">
        <v>29</v>
      </c>
      <c r="L2013" s="12"/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</row>
    <row r="2014" spans="2:24" ht="6.75" customHeight="1" x14ac:dyDescent="0.25">
      <c r="F2014" s="34"/>
      <c r="G2014" s="34"/>
      <c r="H2014" s="34"/>
      <c r="I2014" s="34"/>
      <c r="J2014" s="34"/>
    </row>
    <row r="2015" spans="2:24" s="34" customFormat="1" ht="13.8" x14ac:dyDescent="0.25">
      <c r="E2015" s="35" t="s">
        <v>34</v>
      </c>
      <c r="F2015" s="177" t="str">
        <f>IF(F1968&lt;&gt;"",$F$65,"")</f>
        <v/>
      </c>
      <c r="G2015" s="177"/>
      <c r="H2015" s="177"/>
      <c r="I2015" s="177"/>
      <c r="J2015" s="177"/>
      <c r="K2015" s="35" t="s">
        <v>28</v>
      </c>
      <c r="X2015" s="70" t="s">
        <v>107</v>
      </c>
    </row>
    <row r="2016" spans="2:24" ht="13.8" x14ac:dyDescent="0.25">
      <c r="E2016" s="33" t="s">
        <v>35</v>
      </c>
      <c r="F2016" s="178"/>
      <c r="G2016" s="178"/>
      <c r="H2016" s="178"/>
      <c r="I2016" s="178"/>
      <c r="J2016" s="178"/>
      <c r="K2016" s="33" t="s">
        <v>29</v>
      </c>
      <c r="L2016" s="12"/>
      <c r="M2016" s="12"/>
      <c r="N2016" s="12"/>
      <c r="O2016" s="12"/>
      <c r="P2016" s="12"/>
      <c r="Q2016" s="12"/>
      <c r="R2016" s="12"/>
      <c r="S2016" s="12"/>
      <c r="T2016" s="12"/>
      <c r="U2016" s="12"/>
      <c r="V2016" s="12"/>
      <c r="X2016" s="70" t="s">
        <v>105</v>
      </c>
    </row>
    <row r="2017" spans="2:24" ht="12.75" customHeight="1" thickBot="1" x14ac:dyDescent="0.3"/>
    <row r="2018" spans="2:24" ht="13.8" thickTop="1" x14ac:dyDescent="0.25">
      <c r="B2018" s="34" t="s">
        <v>37</v>
      </c>
      <c r="C2018" s="34"/>
      <c r="D2018" s="34"/>
      <c r="H2018" s="150" t="s">
        <v>40</v>
      </c>
      <c r="I2018" s="151"/>
      <c r="J2018" s="151"/>
      <c r="K2018" s="151"/>
      <c r="L2018" s="151"/>
      <c r="M2018" s="151"/>
      <c r="N2018" s="151"/>
      <c r="O2018" s="151"/>
      <c r="P2018" s="151"/>
      <c r="Q2018" s="151"/>
      <c r="R2018" s="151"/>
      <c r="S2018" s="151"/>
      <c r="T2018" s="151"/>
      <c r="U2018" s="151"/>
      <c r="V2018" s="151"/>
    </row>
    <row r="2019" spans="2:24" x14ac:dyDescent="0.25">
      <c r="B2019" s="34" t="s">
        <v>38</v>
      </c>
      <c r="C2019" s="34"/>
      <c r="D2019" s="34"/>
      <c r="H2019" s="152"/>
      <c r="I2019" s="153"/>
      <c r="J2019" s="153"/>
      <c r="K2019" s="153"/>
      <c r="L2019" s="153"/>
      <c r="M2019" s="153"/>
      <c r="N2019" s="153"/>
      <c r="O2019" s="153"/>
      <c r="P2019" s="153"/>
      <c r="Q2019" s="153"/>
      <c r="R2019" s="153"/>
      <c r="S2019" s="153"/>
      <c r="T2019" s="153"/>
      <c r="U2019" s="153"/>
      <c r="V2019" s="153"/>
    </row>
    <row r="2020" spans="2:24" ht="12.75" customHeight="1" x14ac:dyDescent="0.25">
      <c r="B2020" s="163" t="s">
        <v>39</v>
      </c>
      <c r="C2020" s="163"/>
      <c r="D2020" s="163"/>
      <c r="E2020" s="163"/>
      <c r="F2020" s="163"/>
      <c r="H2020" s="37" t="s">
        <v>41</v>
      </c>
    </row>
    <row r="2021" spans="2:24" ht="13.8" x14ac:dyDescent="0.25">
      <c r="B2021" s="163"/>
      <c r="C2021" s="163"/>
      <c r="D2021" s="163"/>
      <c r="E2021" s="163"/>
      <c r="F2021" s="163"/>
      <c r="H2021" s="38" t="s">
        <v>42</v>
      </c>
    </row>
    <row r="2022" spans="2:24" x14ac:dyDescent="0.25">
      <c r="B2022" s="163"/>
      <c r="C2022" s="163"/>
      <c r="D2022" s="163"/>
      <c r="E2022" s="163"/>
      <c r="F2022" s="163"/>
      <c r="H2022" s="36"/>
    </row>
    <row r="2023" spans="2:24" x14ac:dyDescent="0.25">
      <c r="B2023" s="163"/>
      <c r="C2023" s="163"/>
      <c r="D2023" s="163"/>
      <c r="E2023" s="163"/>
      <c r="F2023" s="163"/>
      <c r="H2023" s="36"/>
    </row>
    <row r="2024" spans="2:24" x14ac:dyDescent="0.25">
      <c r="H2024" s="36"/>
    </row>
    <row r="2025" spans="2:24" x14ac:dyDescent="0.25">
      <c r="H2025" s="36"/>
    </row>
    <row r="2026" spans="2:24" x14ac:dyDescent="0.25">
      <c r="H2026" s="36"/>
    </row>
    <row r="2027" spans="2:24" x14ac:dyDescent="0.25">
      <c r="H2027" s="36"/>
    </row>
    <row r="2028" spans="2:24" ht="13.8" x14ac:dyDescent="0.25">
      <c r="H2028" s="157" t="str">
        <f>IF(F1968&lt;&gt;"",$H$78,"")</f>
        <v/>
      </c>
      <c r="I2028" s="158"/>
      <c r="J2028" s="158"/>
      <c r="K2028" s="158"/>
      <c r="L2028" s="158"/>
      <c r="M2028" s="158"/>
      <c r="N2028" s="158"/>
      <c r="O2028" s="158"/>
      <c r="P2028" s="158"/>
      <c r="Q2028" s="158"/>
      <c r="R2028" s="158"/>
      <c r="S2028" s="158"/>
      <c r="T2028" s="158"/>
      <c r="U2028" s="158"/>
      <c r="V2028" s="158"/>
    </row>
    <row r="2029" spans="2:24" x14ac:dyDescent="0.25">
      <c r="H2029" s="36"/>
    </row>
    <row r="2030" spans="2:24" ht="28.5" customHeight="1" x14ac:dyDescent="0.3">
      <c r="B2030" s="193" t="s">
        <v>43</v>
      </c>
      <c r="C2030" s="193"/>
      <c r="D2030" s="193"/>
      <c r="E2030" s="194"/>
      <c r="F2030" s="194"/>
      <c r="G2030" s="194"/>
      <c r="H2030" s="194"/>
      <c r="I2030" s="2"/>
      <c r="J2030" s="2"/>
      <c r="K2030" s="13" t="s">
        <v>25</v>
      </c>
      <c r="L2030" s="195" t="s">
        <v>14</v>
      </c>
      <c r="M2030" s="196"/>
      <c r="N2030" s="196"/>
      <c r="O2030" s="196"/>
      <c r="P2030" s="196"/>
      <c r="Q2030" s="196"/>
      <c r="R2030" s="196"/>
      <c r="S2030" s="196"/>
      <c r="T2030" s="196"/>
      <c r="U2030" s="196"/>
      <c r="V2030" s="197"/>
      <c r="X2030" s="1"/>
    </row>
    <row r="2031" spans="2:24" ht="26.25" customHeight="1" x14ac:dyDescent="0.4">
      <c r="B2031" s="39" t="s">
        <v>44</v>
      </c>
      <c r="C2031" s="39"/>
      <c r="D2031" s="39"/>
      <c r="E2031" s="2"/>
      <c r="F2031" s="2"/>
      <c r="G2031" s="2"/>
      <c r="H2031" s="2"/>
      <c r="I2031" s="2"/>
      <c r="J2031" s="2"/>
      <c r="K2031" s="29" t="s">
        <v>13</v>
      </c>
      <c r="L2031" s="15">
        <v>4</v>
      </c>
      <c r="M2031" s="16">
        <v>1</v>
      </c>
      <c r="N2031" s="15">
        <v>0</v>
      </c>
      <c r="O2031" s="198">
        <v>0</v>
      </c>
      <c r="P2031" s="199"/>
      <c r="Q2031" s="14">
        <v>0</v>
      </c>
      <c r="R2031" s="200">
        <v>1</v>
      </c>
      <c r="S2031" s="201"/>
      <c r="T2031" s="6"/>
      <c r="U2031" s="6"/>
      <c r="V2031" s="7"/>
      <c r="X2031" s="1"/>
    </row>
    <row r="2032" spans="2:24" ht="21" customHeight="1" x14ac:dyDescent="0.25">
      <c r="B2032" s="26" t="s">
        <v>45</v>
      </c>
      <c r="C2032" s="26"/>
      <c r="D2032" s="26"/>
      <c r="E2032" s="25"/>
      <c r="F2032" s="25"/>
      <c r="G2032" s="25"/>
      <c r="H2032" s="25"/>
      <c r="I2032" s="25"/>
      <c r="J2032" s="25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X2032" s="1"/>
    </row>
    <row r="2033" spans="2:24" ht="13.5" customHeight="1" x14ac:dyDescent="0.25">
      <c r="B2033" s="40" t="s">
        <v>24</v>
      </c>
      <c r="C2033" s="40"/>
      <c r="D2033" s="40"/>
      <c r="E2033" s="25"/>
      <c r="F2033" s="25"/>
      <c r="G2033" s="25"/>
      <c r="H2033" s="25"/>
      <c r="I2033" s="25"/>
      <c r="J2033" s="25"/>
      <c r="K2033" s="28" t="s">
        <v>6</v>
      </c>
      <c r="L2033" s="202" t="str">
        <f>IF(F2046&lt;&gt;"",$L$5,"")</f>
        <v/>
      </c>
      <c r="M2033" s="203"/>
      <c r="N2033" s="204" t="s">
        <v>15</v>
      </c>
      <c r="O2033" s="204"/>
      <c r="P2033" s="204"/>
      <c r="Q2033" s="205" t="str">
        <f>IF(F2046&lt;&gt;"",$Q$5,"")</f>
        <v/>
      </c>
      <c r="R2033" s="206"/>
      <c r="S2033" s="207" t="s">
        <v>16</v>
      </c>
      <c r="T2033" s="204"/>
      <c r="U2033" s="82" t="str">
        <f>IF(F2046&lt;&gt;"",$U$5,"")</f>
        <v/>
      </c>
      <c r="V2033" s="63"/>
      <c r="X2033" s="1"/>
    </row>
    <row r="2034" spans="2:24" ht="8.25" customHeight="1" x14ac:dyDescent="0.25"/>
    <row r="2035" spans="2:24" ht="11.25" customHeight="1" x14ac:dyDescent="0.25">
      <c r="B2035" s="24" t="s">
        <v>17</v>
      </c>
      <c r="C2035" s="24"/>
      <c r="D2035" s="24"/>
    </row>
    <row r="2036" spans="2:24" ht="11.25" customHeight="1" x14ac:dyDescent="0.25">
      <c r="B2036" s="8" t="s">
        <v>18</v>
      </c>
      <c r="C2036" s="8"/>
      <c r="D2036" s="8"/>
    </row>
    <row r="2037" spans="2:24" ht="5.25" customHeight="1" x14ac:dyDescent="0.25">
      <c r="B2037" s="8"/>
      <c r="C2037" s="8"/>
      <c r="D2037" s="8"/>
    </row>
    <row r="2038" spans="2:24" x14ac:dyDescent="0.25">
      <c r="B2038" s="179" t="s">
        <v>19</v>
      </c>
      <c r="C2038" s="179"/>
      <c r="D2038" s="179"/>
      <c r="E2038" s="179"/>
      <c r="F2038" s="179"/>
      <c r="G2038" s="18" t="s">
        <v>6</v>
      </c>
      <c r="H2038" s="64" t="str">
        <f>IF(F2046&lt;&gt;"",$H$10,"")</f>
        <v/>
      </c>
      <c r="I2038" s="9" t="s">
        <v>15</v>
      </c>
      <c r="J2038" s="83" t="str">
        <f>IF(F2046&lt;&gt;"",$J$10,"")</f>
        <v/>
      </c>
      <c r="K2038" s="9" t="s">
        <v>16</v>
      </c>
      <c r="L2038" s="180" t="str">
        <f>IF(F2046&lt;&gt;"",$L$10,"")</f>
        <v/>
      </c>
      <c r="M2038" s="181"/>
      <c r="X2038" s="32"/>
    </row>
    <row r="2039" spans="2:24" ht="5.25" customHeight="1" x14ac:dyDescent="0.25">
      <c r="B2039" s="8"/>
      <c r="C2039" s="8"/>
      <c r="D2039" s="8"/>
      <c r="E2039" s="8"/>
      <c r="F2039" s="8"/>
      <c r="G2039" s="19"/>
      <c r="H2039" s="20"/>
      <c r="I2039" s="21"/>
      <c r="J2039" s="20"/>
      <c r="K2039" s="10"/>
      <c r="L2039" s="22"/>
      <c r="X2039" s="32"/>
    </row>
    <row r="2040" spans="2:24" s="73" customFormat="1" ht="14.4" customHeight="1" x14ac:dyDescent="0.25">
      <c r="B2040" s="72" t="s">
        <v>20</v>
      </c>
      <c r="C2040" s="72"/>
      <c r="D2040" s="72"/>
      <c r="X2040" s="74"/>
    </row>
    <row r="2041" spans="2:24" s="73" customFormat="1" ht="14.4" customHeight="1" x14ac:dyDescent="0.25">
      <c r="B2041" s="75" t="s">
        <v>21</v>
      </c>
      <c r="C2041" s="10"/>
      <c r="D2041" s="10"/>
      <c r="E2041" s="22" t="s">
        <v>22</v>
      </c>
      <c r="X2041" s="74"/>
    </row>
    <row r="2042" spans="2:24" s="73" customFormat="1" ht="14.4" customHeight="1" x14ac:dyDescent="0.25">
      <c r="B2042" s="22"/>
      <c r="C2042" s="22"/>
      <c r="D2042" s="22"/>
      <c r="E2042" s="22" t="s">
        <v>23</v>
      </c>
      <c r="X2042" s="164" t="s">
        <v>102</v>
      </c>
    </row>
    <row r="2043" spans="2:24" ht="7.5" customHeight="1" x14ac:dyDescent="0.25">
      <c r="B2043" s="8"/>
      <c r="C2043" s="8"/>
      <c r="D2043" s="8"/>
      <c r="X2043" s="164"/>
    </row>
    <row r="2044" spans="2:24" ht="17.25" customHeight="1" x14ac:dyDescent="0.25">
      <c r="B2044" s="182"/>
      <c r="C2044" s="59"/>
      <c r="D2044" s="60"/>
      <c r="E2044" s="184" t="s">
        <v>0</v>
      </c>
      <c r="F2044" s="186" t="s">
        <v>1</v>
      </c>
      <c r="G2044" s="187"/>
      <c r="H2044" s="4"/>
      <c r="I2044" s="4"/>
      <c r="J2044" s="4"/>
      <c r="K2044" s="5"/>
      <c r="L2044" s="145" t="s">
        <v>3</v>
      </c>
      <c r="M2044" s="142"/>
      <c r="N2044" s="188" t="s">
        <v>10</v>
      </c>
      <c r="O2044" s="188"/>
      <c r="P2044" s="188"/>
      <c r="Q2044" s="188"/>
      <c r="R2044" s="188"/>
      <c r="S2044" s="188"/>
      <c r="T2044" s="188"/>
      <c r="U2044" s="189"/>
      <c r="V2044" s="3" t="s">
        <v>12</v>
      </c>
      <c r="X2044" s="68" t="s">
        <v>200</v>
      </c>
    </row>
    <row r="2045" spans="2:24" ht="17.25" customHeight="1" x14ac:dyDescent="0.25">
      <c r="B2045" s="183"/>
      <c r="C2045" s="61"/>
      <c r="D2045" s="62"/>
      <c r="E2045" s="185"/>
      <c r="F2045" s="30" t="s">
        <v>2</v>
      </c>
      <c r="G2045" s="17"/>
      <c r="H2045" s="6"/>
      <c r="I2045" s="6"/>
      <c r="J2045" s="6"/>
      <c r="K2045" s="7"/>
      <c r="L2045" s="190" t="s">
        <v>4</v>
      </c>
      <c r="M2045" s="191"/>
      <c r="N2045" s="192" t="s">
        <v>9</v>
      </c>
      <c r="O2045" s="192"/>
      <c r="P2045" s="192"/>
      <c r="Q2045" s="192"/>
      <c r="R2045" s="192"/>
      <c r="S2045" s="192"/>
      <c r="T2045" s="192"/>
      <c r="U2045" s="191"/>
      <c r="V2045" s="31" t="s">
        <v>11</v>
      </c>
      <c r="X2045" s="69"/>
    </row>
    <row r="2046" spans="2:24" ht="10.95" customHeight="1" x14ac:dyDescent="0.25">
      <c r="B2046" s="41"/>
      <c r="C2046" s="51"/>
      <c r="D2046" s="42"/>
      <c r="E2046" s="154">
        <v>261</v>
      </c>
      <c r="F2046" s="145" t="str">
        <f>_xlfn.IFNA(VLOOKUP(E2046,'Data Kyu'!$A$6:$I$471,3,0),"")</f>
        <v/>
      </c>
      <c r="G2046" s="142"/>
      <c r="H2046" s="66"/>
      <c r="I2046" s="66"/>
      <c r="J2046" s="66"/>
      <c r="K2046" s="66"/>
      <c r="L2046" s="145" t="str">
        <f>_xlfn.IFNA(VLOOKUP(E2046,'Data Kyu'!$A$6:$I$471,9,0),"")</f>
        <v/>
      </c>
      <c r="M2046" s="142"/>
      <c r="N2046" s="145" t="str">
        <f>_xlfn.IFNA(VLOOKUP(E2046,'Data Kyu'!$A$6:$I$471,6,0),"")</f>
        <v/>
      </c>
      <c r="O2046" s="141"/>
      <c r="P2046" s="139" t="s">
        <v>5</v>
      </c>
      <c r="Q2046" s="141" t="str">
        <f>_xlfn.IFNA(VLOOKUP(E2046,'Data Kyu'!$A$6:$I$471,7,0),"")</f>
        <v/>
      </c>
      <c r="R2046" s="141"/>
      <c r="S2046" s="139" t="s">
        <v>5</v>
      </c>
      <c r="T2046" s="141" t="str">
        <f>_xlfn.IFNA(VLOOKUP(E2046,'Data Kyu'!$A$6:$I$471,8,0),"")</f>
        <v/>
      </c>
      <c r="U2046" s="142"/>
      <c r="V2046" s="142" t="str">
        <f>_xlfn.IFNA(VLOOKUP(E2046,'Data Kyu'!$A$6:$I$471,4,0),"")</f>
        <v/>
      </c>
      <c r="X2046" s="214" t="str">
        <f>_xlfn.IFNA(VLOOKUP(F2046,'Data Kyu'!$C$6:$N$997,12,0),"No Data")</f>
        <v>No Data</v>
      </c>
    </row>
    <row r="2047" spans="2:24" ht="10.95" customHeight="1" x14ac:dyDescent="0.25">
      <c r="B2047" s="52"/>
      <c r="C2047" s="165" t="str">
        <f>IF(X2046="LULUS","V","")</f>
        <v/>
      </c>
      <c r="D2047" s="53"/>
      <c r="E2047" s="155"/>
      <c r="F2047" s="148"/>
      <c r="G2047" s="144"/>
      <c r="H2047" s="67"/>
      <c r="I2047" s="67"/>
      <c r="J2047" s="67"/>
      <c r="K2047" s="67"/>
      <c r="L2047" s="146"/>
      <c r="M2047" s="147"/>
      <c r="N2047" s="148"/>
      <c r="O2047" s="143"/>
      <c r="P2047" s="140"/>
      <c r="Q2047" s="143"/>
      <c r="R2047" s="143"/>
      <c r="S2047" s="140"/>
      <c r="T2047" s="143"/>
      <c r="U2047" s="144"/>
      <c r="V2047" s="147"/>
      <c r="X2047" s="214"/>
    </row>
    <row r="2048" spans="2:24" ht="10.95" customHeight="1" x14ac:dyDescent="0.25">
      <c r="B2048" s="52"/>
      <c r="C2048" s="166"/>
      <c r="D2048" s="53"/>
      <c r="E2048" s="155"/>
      <c r="F2048" s="167" t="str">
        <f>_xlfn.IFNA(VLOOKUP(E2046,'Data Kyu'!$A$6:$I$471,2,0),"")</f>
        <v/>
      </c>
      <c r="G2048" s="168"/>
      <c r="H2048" s="168"/>
      <c r="I2048" s="168"/>
      <c r="J2048" s="168"/>
      <c r="K2048" s="169"/>
      <c r="L2048" s="146"/>
      <c r="M2048" s="147"/>
      <c r="N2048" s="173" t="s">
        <v>6</v>
      </c>
      <c r="O2048" s="159"/>
      <c r="P2048" s="57"/>
      <c r="Q2048" s="159" t="s">
        <v>7</v>
      </c>
      <c r="R2048" s="159"/>
      <c r="S2048" s="57"/>
      <c r="T2048" s="159" t="s">
        <v>8</v>
      </c>
      <c r="U2048" s="160"/>
      <c r="V2048" s="175"/>
      <c r="X2048" s="214"/>
    </row>
    <row r="2049" spans="2:24" ht="10.95" customHeight="1" x14ac:dyDescent="0.25">
      <c r="B2049" s="54"/>
      <c r="C2049" s="76"/>
      <c r="D2049" s="56"/>
      <c r="E2049" s="156"/>
      <c r="F2049" s="170"/>
      <c r="G2049" s="171"/>
      <c r="H2049" s="171"/>
      <c r="I2049" s="171"/>
      <c r="J2049" s="171"/>
      <c r="K2049" s="172"/>
      <c r="L2049" s="148"/>
      <c r="M2049" s="144"/>
      <c r="N2049" s="174"/>
      <c r="O2049" s="161"/>
      <c r="P2049" s="27"/>
      <c r="Q2049" s="161"/>
      <c r="R2049" s="161"/>
      <c r="S2049" s="27"/>
      <c r="T2049" s="161"/>
      <c r="U2049" s="162"/>
      <c r="V2049" s="176"/>
      <c r="X2049" s="214"/>
    </row>
    <row r="2050" spans="2:24" ht="10.95" customHeight="1" x14ac:dyDescent="0.25">
      <c r="B2050" s="41"/>
      <c r="C2050" s="77"/>
      <c r="D2050" s="42"/>
      <c r="E2050" s="154">
        <f>E2046+1</f>
        <v>262</v>
      </c>
      <c r="F2050" s="145" t="str">
        <f>_xlfn.IFNA(VLOOKUP(E2050,'Data Kyu'!$A$6:$I$471,3,0),"")</f>
        <v/>
      </c>
      <c r="G2050" s="142"/>
      <c r="H2050" s="66"/>
      <c r="I2050" s="66"/>
      <c r="J2050" s="66"/>
      <c r="K2050" s="66"/>
      <c r="L2050" s="145" t="str">
        <f>_xlfn.IFNA(VLOOKUP(E2050,'Data Kyu'!$A$6:$I$471,9,0),"")</f>
        <v/>
      </c>
      <c r="M2050" s="142"/>
      <c r="N2050" s="145" t="str">
        <f>_xlfn.IFNA(VLOOKUP(E2050,'Data Kyu'!$A$6:$I$471,6,0),"")</f>
        <v/>
      </c>
      <c r="O2050" s="141"/>
      <c r="P2050" s="139" t="s">
        <v>5</v>
      </c>
      <c r="Q2050" s="141" t="str">
        <f>_xlfn.IFNA(VLOOKUP(E2050,'Data Kyu'!$A$6:$I$471,7,0),"")</f>
        <v/>
      </c>
      <c r="R2050" s="141"/>
      <c r="S2050" s="139" t="s">
        <v>5</v>
      </c>
      <c r="T2050" s="141" t="str">
        <f>_xlfn.IFNA(VLOOKUP(E2050,'Data Kyu'!$A$6:$I$471,8,0),"")</f>
        <v/>
      </c>
      <c r="U2050" s="142"/>
      <c r="V2050" s="142" t="str">
        <f>_xlfn.IFNA(VLOOKUP(E2050,'Data Kyu'!$A$6:$I$471,4,0),"")</f>
        <v/>
      </c>
      <c r="X2050" s="214" t="str">
        <f>_xlfn.IFNA(VLOOKUP(F2050,'Data Kyu'!$C$6:$N$997,12,0),"No Data")</f>
        <v>No Data</v>
      </c>
    </row>
    <row r="2051" spans="2:24" ht="10.95" customHeight="1" x14ac:dyDescent="0.25">
      <c r="B2051" s="52"/>
      <c r="C2051" s="165" t="str">
        <f>IF(X2050="LULUS","V","")</f>
        <v/>
      </c>
      <c r="D2051" s="53"/>
      <c r="E2051" s="155"/>
      <c r="F2051" s="148"/>
      <c r="G2051" s="144"/>
      <c r="H2051" s="67"/>
      <c r="I2051" s="67"/>
      <c r="J2051" s="67"/>
      <c r="K2051" s="67"/>
      <c r="L2051" s="146"/>
      <c r="M2051" s="147"/>
      <c r="N2051" s="148"/>
      <c r="O2051" s="143"/>
      <c r="P2051" s="140"/>
      <c r="Q2051" s="143"/>
      <c r="R2051" s="143"/>
      <c r="S2051" s="140"/>
      <c r="T2051" s="143"/>
      <c r="U2051" s="144"/>
      <c r="V2051" s="147"/>
      <c r="X2051" s="214"/>
    </row>
    <row r="2052" spans="2:24" ht="10.95" customHeight="1" x14ac:dyDescent="0.25">
      <c r="B2052" s="52"/>
      <c r="C2052" s="166"/>
      <c r="D2052" s="53"/>
      <c r="E2052" s="155"/>
      <c r="F2052" s="167" t="str">
        <f>_xlfn.IFNA(VLOOKUP(E2050,'Data Kyu'!$A$6:$I$471,2,0),"")</f>
        <v/>
      </c>
      <c r="G2052" s="168"/>
      <c r="H2052" s="168"/>
      <c r="I2052" s="168"/>
      <c r="J2052" s="168"/>
      <c r="K2052" s="169"/>
      <c r="L2052" s="146"/>
      <c r="M2052" s="147"/>
      <c r="N2052" s="173" t="s">
        <v>6</v>
      </c>
      <c r="O2052" s="159"/>
      <c r="P2052" s="57"/>
      <c r="Q2052" s="159" t="s">
        <v>7</v>
      </c>
      <c r="R2052" s="159"/>
      <c r="S2052" s="57"/>
      <c r="T2052" s="159" t="s">
        <v>8</v>
      </c>
      <c r="U2052" s="160"/>
      <c r="V2052" s="175"/>
      <c r="X2052" s="214"/>
    </row>
    <row r="2053" spans="2:24" ht="10.95" customHeight="1" x14ac:dyDescent="0.25">
      <c r="B2053" s="54"/>
      <c r="C2053" s="76"/>
      <c r="D2053" s="56"/>
      <c r="E2053" s="156"/>
      <c r="F2053" s="170"/>
      <c r="G2053" s="171"/>
      <c r="H2053" s="171"/>
      <c r="I2053" s="171"/>
      <c r="J2053" s="171"/>
      <c r="K2053" s="172"/>
      <c r="L2053" s="148"/>
      <c r="M2053" s="144"/>
      <c r="N2053" s="174"/>
      <c r="O2053" s="161"/>
      <c r="P2053" s="27"/>
      <c r="Q2053" s="161"/>
      <c r="R2053" s="161"/>
      <c r="S2053" s="27"/>
      <c r="T2053" s="161"/>
      <c r="U2053" s="162"/>
      <c r="V2053" s="176"/>
      <c r="X2053" s="214"/>
    </row>
    <row r="2054" spans="2:24" ht="10.95" customHeight="1" x14ac:dyDescent="0.25">
      <c r="B2054" s="41"/>
      <c r="C2054" s="77"/>
      <c r="D2054" s="42"/>
      <c r="E2054" s="154">
        <f t="shared" ref="E2054" si="128">E2050+1</f>
        <v>263</v>
      </c>
      <c r="F2054" s="145" t="str">
        <f>_xlfn.IFNA(VLOOKUP(E2054,'Data Kyu'!$A$6:$I$471,3,0),"")</f>
        <v/>
      </c>
      <c r="G2054" s="142"/>
      <c r="H2054" s="66"/>
      <c r="I2054" s="66"/>
      <c r="J2054" s="66"/>
      <c r="K2054" s="66"/>
      <c r="L2054" s="145" t="str">
        <f>_xlfn.IFNA(VLOOKUP(E2054,'Data Kyu'!$A$6:$I$471,9,0),"")</f>
        <v/>
      </c>
      <c r="M2054" s="142"/>
      <c r="N2054" s="145" t="str">
        <f>_xlfn.IFNA(VLOOKUP(E2054,'Data Kyu'!$A$6:$I$471,6,0),"")</f>
        <v/>
      </c>
      <c r="O2054" s="141"/>
      <c r="P2054" s="139" t="s">
        <v>5</v>
      </c>
      <c r="Q2054" s="141" t="str">
        <f>_xlfn.IFNA(VLOOKUP(E2054,'Data Kyu'!$A$6:$I$471,7,0),"")</f>
        <v/>
      </c>
      <c r="R2054" s="141"/>
      <c r="S2054" s="139" t="s">
        <v>5</v>
      </c>
      <c r="T2054" s="141" t="str">
        <f>_xlfn.IFNA(VLOOKUP(E2054,'Data Kyu'!$A$6:$I$471,8,0),"")</f>
        <v/>
      </c>
      <c r="U2054" s="142"/>
      <c r="V2054" s="142" t="str">
        <f>_xlfn.IFNA(VLOOKUP(E2054,'Data Kyu'!$A$6:$I$471,4,0),"")</f>
        <v/>
      </c>
      <c r="X2054" s="214" t="str">
        <f>_xlfn.IFNA(VLOOKUP(F2054,'Data Kyu'!$C$6:$N$997,12,0),"No Data")</f>
        <v>No Data</v>
      </c>
    </row>
    <row r="2055" spans="2:24" ht="10.95" customHeight="1" x14ac:dyDescent="0.25">
      <c r="B2055" s="52"/>
      <c r="C2055" s="165" t="str">
        <f>IF(X2054="LULUS","V","")</f>
        <v/>
      </c>
      <c r="D2055" s="53"/>
      <c r="E2055" s="155"/>
      <c r="F2055" s="148"/>
      <c r="G2055" s="144"/>
      <c r="H2055" s="67"/>
      <c r="I2055" s="67"/>
      <c r="J2055" s="67"/>
      <c r="K2055" s="67"/>
      <c r="L2055" s="146"/>
      <c r="M2055" s="147"/>
      <c r="N2055" s="148"/>
      <c r="O2055" s="143"/>
      <c r="P2055" s="140"/>
      <c r="Q2055" s="143"/>
      <c r="R2055" s="143"/>
      <c r="S2055" s="140"/>
      <c r="T2055" s="143"/>
      <c r="U2055" s="144"/>
      <c r="V2055" s="147"/>
      <c r="X2055" s="214"/>
    </row>
    <row r="2056" spans="2:24" ht="10.95" customHeight="1" x14ac:dyDescent="0.25">
      <c r="B2056" s="52"/>
      <c r="C2056" s="166"/>
      <c r="D2056" s="53"/>
      <c r="E2056" s="155"/>
      <c r="F2056" s="167" t="str">
        <f>_xlfn.IFNA(VLOOKUP(E2054,'Data Kyu'!$A$6:$I$471,2,0),"")</f>
        <v/>
      </c>
      <c r="G2056" s="168"/>
      <c r="H2056" s="168"/>
      <c r="I2056" s="168"/>
      <c r="J2056" s="168"/>
      <c r="K2056" s="169"/>
      <c r="L2056" s="146"/>
      <c r="M2056" s="147"/>
      <c r="N2056" s="173" t="s">
        <v>6</v>
      </c>
      <c r="O2056" s="159"/>
      <c r="P2056" s="57"/>
      <c r="Q2056" s="159" t="s">
        <v>7</v>
      </c>
      <c r="R2056" s="159"/>
      <c r="S2056" s="57"/>
      <c r="T2056" s="159" t="s">
        <v>8</v>
      </c>
      <c r="U2056" s="160"/>
      <c r="V2056" s="175"/>
      <c r="X2056" s="214"/>
    </row>
    <row r="2057" spans="2:24" ht="10.95" customHeight="1" x14ac:dyDescent="0.25">
      <c r="B2057" s="54"/>
      <c r="C2057" s="76"/>
      <c r="D2057" s="56"/>
      <c r="E2057" s="156"/>
      <c r="F2057" s="170"/>
      <c r="G2057" s="171"/>
      <c r="H2057" s="171"/>
      <c r="I2057" s="171"/>
      <c r="J2057" s="171"/>
      <c r="K2057" s="172"/>
      <c r="L2057" s="148"/>
      <c r="M2057" s="144"/>
      <c r="N2057" s="174"/>
      <c r="O2057" s="161"/>
      <c r="P2057" s="27"/>
      <c r="Q2057" s="161"/>
      <c r="R2057" s="161"/>
      <c r="S2057" s="27"/>
      <c r="T2057" s="161"/>
      <c r="U2057" s="162"/>
      <c r="V2057" s="176"/>
      <c r="X2057" s="214"/>
    </row>
    <row r="2058" spans="2:24" ht="10.95" customHeight="1" x14ac:dyDescent="0.25">
      <c r="B2058" s="41"/>
      <c r="C2058" s="77"/>
      <c r="D2058" s="42"/>
      <c r="E2058" s="154">
        <f t="shared" ref="E2058" si="129">E2054+1</f>
        <v>264</v>
      </c>
      <c r="F2058" s="145" t="str">
        <f>_xlfn.IFNA(VLOOKUP(E2058,'Data Kyu'!$A$6:$I$471,3,0),"")</f>
        <v/>
      </c>
      <c r="G2058" s="142"/>
      <c r="H2058" s="66"/>
      <c r="I2058" s="66"/>
      <c r="J2058" s="66"/>
      <c r="K2058" s="66"/>
      <c r="L2058" s="145" t="str">
        <f>_xlfn.IFNA(VLOOKUP(E2058,'Data Kyu'!$A$6:$I$471,9,0),"")</f>
        <v/>
      </c>
      <c r="M2058" s="142"/>
      <c r="N2058" s="145" t="str">
        <f>_xlfn.IFNA(VLOOKUP(E2058,'Data Kyu'!$A$6:$I$471,6,0),"")</f>
        <v/>
      </c>
      <c r="O2058" s="141"/>
      <c r="P2058" s="139" t="s">
        <v>5</v>
      </c>
      <c r="Q2058" s="141" t="str">
        <f>_xlfn.IFNA(VLOOKUP(E2058,'Data Kyu'!$A$6:$I$471,7,0),"")</f>
        <v/>
      </c>
      <c r="R2058" s="141"/>
      <c r="S2058" s="139" t="s">
        <v>5</v>
      </c>
      <c r="T2058" s="141" t="str">
        <f>_xlfn.IFNA(VLOOKUP(E2058,'Data Kyu'!$A$6:$I$471,8,0),"")</f>
        <v/>
      </c>
      <c r="U2058" s="142"/>
      <c r="V2058" s="142" t="str">
        <f>_xlfn.IFNA(VLOOKUP(E2058,'Data Kyu'!$A$6:$I$471,4,0),"")</f>
        <v/>
      </c>
      <c r="X2058" s="214" t="str">
        <f>_xlfn.IFNA(VLOOKUP(F2058,'Data Kyu'!$C$6:$N$997,12,0),"No Data")</f>
        <v>No Data</v>
      </c>
    </row>
    <row r="2059" spans="2:24" ht="10.95" customHeight="1" x14ac:dyDescent="0.25">
      <c r="B2059" s="52"/>
      <c r="C2059" s="165" t="str">
        <f>IF(X2058="LULUS","V","")</f>
        <v/>
      </c>
      <c r="D2059" s="53"/>
      <c r="E2059" s="155"/>
      <c r="F2059" s="148"/>
      <c r="G2059" s="144"/>
      <c r="H2059" s="67"/>
      <c r="I2059" s="67"/>
      <c r="J2059" s="67"/>
      <c r="K2059" s="67"/>
      <c r="L2059" s="146"/>
      <c r="M2059" s="147"/>
      <c r="N2059" s="148"/>
      <c r="O2059" s="143"/>
      <c r="P2059" s="140"/>
      <c r="Q2059" s="143"/>
      <c r="R2059" s="143"/>
      <c r="S2059" s="140"/>
      <c r="T2059" s="143"/>
      <c r="U2059" s="144"/>
      <c r="V2059" s="147"/>
      <c r="X2059" s="214"/>
    </row>
    <row r="2060" spans="2:24" ht="10.95" customHeight="1" x14ac:dyDescent="0.25">
      <c r="B2060" s="52"/>
      <c r="C2060" s="166"/>
      <c r="D2060" s="53"/>
      <c r="E2060" s="155"/>
      <c r="F2060" s="167" t="str">
        <f>_xlfn.IFNA(VLOOKUP(E2058,'Data Kyu'!$A$6:$I$471,2,0),"")</f>
        <v/>
      </c>
      <c r="G2060" s="168"/>
      <c r="H2060" s="168"/>
      <c r="I2060" s="168"/>
      <c r="J2060" s="168"/>
      <c r="K2060" s="169"/>
      <c r="L2060" s="146"/>
      <c r="M2060" s="147"/>
      <c r="N2060" s="173" t="s">
        <v>6</v>
      </c>
      <c r="O2060" s="159"/>
      <c r="P2060" s="57"/>
      <c r="Q2060" s="159" t="s">
        <v>7</v>
      </c>
      <c r="R2060" s="159"/>
      <c r="S2060" s="57"/>
      <c r="T2060" s="159" t="s">
        <v>8</v>
      </c>
      <c r="U2060" s="160"/>
      <c r="V2060" s="175"/>
      <c r="X2060" s="214"/>
    </row>
    <row r="2061" spans="2:24" ht="10.95" customHeight="1" x14ac:dyDescent="0.25">
      <c r="B2061" s="54"/>
      <c r="C2061" s="76"/>
      <c r="D2061" s="56"/>
      <c r="E2061" s="156"/>
      <c r="F2061" s="170"/>
      <c r="G2061" s="171"/>
      <c r="H2061" s="171"/>
      <c r="I2061" s="171"/>
      <c r="J2061" s="171"/>
      <c r="K2061" s="172"/>
      <c r="L2061" s="148"/>
      <c r="M2061" s="144"/>
      <c r="N2061" s="174"/>
      <c r="O2061" s="161"/>
      <c r="P2061" s="27"/>
      <c r="Q2061" s="161"/>
      <c r="R2061" s="161"/>
      <c r="S2061" s="27"/>
      <c r="T2061" s="161"/>
      <c r="U2061" s="162"/>
      <c r="V2061" s="176"/>
      <c r="X2061" s="214"/>
    </row>
    <row r="2062" spans="2:24" ht="10.95" customHeight="1" x14ac:dyDescent="0.25">
      <c r="B2062" s="41"/>
      <c r="C2062" s="77"/>
      <c r="D2062" s="42"/>
      <c r="E2062" s="154">
        <f t="shared" ref="E2062" si="130">E2058+1</f>
        <v>265</v>
      </c>
      <c r="F2062" s="145" t="str">
        <f>_xlfn.IFNA(VLOOKUP(E2062,'Data Kyu'!$A$6:$I$471,3,0),"")</f>
        <v/>
      </c>
      <c r="G2062" s="142"/>
      <c r="H2062" s="66"/>
      <c r="I2062" s="66"/>
      <c r="J2062" s="66"/>
      <c r="K2062" s="66"/>
      <c r="L2062" s="145" t="str">
        <f>_xlfn.IFNA(VLOOKUP(E2062,'Data Kyu'!$A$6:$I$471,9,0),"")</f>
        <v/>
      </c>
      <c r="M2062" s="142"/>
      <c r="N2062" s="145" t="str">
        <f>_xlfn.IFNA(VLOOKUP(E2062,'Data Kyu'!$A$6:$I$471,6,0),"")</f>
        <v/>
      </c>
      <c r="O2062" s="141"/>
      <c r="P2062" s="139" t="s">
        <v>5</v>
      </c>
      <c r="Q2062" s="141" t="str">
        <f>_xlfn.IFNA(VLOOKUP(E2062,'Data Kyu'!$A$6:$I$471,7,0),"")</f>
        <v/>
      </c>
      <c r="R2062" s="141"/>
      <c r="S2062" s="139" t="s">
        <v>5</v>
      </c>
      <c r="T2062" s="141" t="str">
        <f>_xlfn.IFNA(VLOOKUP(E2062,'Data Kyu'!$A$6:$I$471,8,0),"")</f>
        <v/>
      </c>
      <c r="U2062" s="142"/>
      <c r="V2062" s="142" t="str">
        <f>_xlfn.IFNA(VLOOKUP(E2062,'Data Kyu'!$A$6:$I$471,4,0),"")</f>
        <v/>
      </c>
      <c r="X2062" s="214" t="str">
        <f>_xlfn.IFNA(VLOOKUP(F2062,'Data Kyu'!$C$6:$N$997,12,0),"No Data")</f>
        <v>No Data</v>
      </c>
    </row>
    <row r="2063" spans="2:24" ht="10.95" customHeight="1" x14ac:dyDescent="0.25">
      <c r="B2063" s="52"/>
      <c r="C2063" s="165" t="str">
        <f>IF(X2062="LULUS","V","")</f>
        <v/>
      </c>
      <c r="D2063" s="53"/>
      <c r="E2063" s="155"/>
      <c r="F2063" s="148"/>
      <c r="G2063" s="144"/>
      <c r="H2063" s="67"/>
      <c r="I2063" s="67"/>
      <c r="J2063" s="67"/>
      <c r="K2063" s="67"/>
      <c r="L2063" s="146"/>
      <c r="M2063" s="147"/>
      <c r="N2063" s="148"/>
      <c r="O2063" s="143"/>
      <c r="P2063" s="140"/>
      <c r="Q2063" s="143"/>
      <c r="R2063" s="143"/>
      <c r="S2063" s="140"/>
      <c r="T2063" s="143"/>
      <c r="U2063" s="144"/>
      <c r="V2063" s="147"/>
      <c r="X2063" s="214"/>
    </row>
    <row r="2064" spans="2:24" ht="10.95" customHeight="1" x14ac:dyDescent="0.25">
      <c r="B2064" s="52"/>
      <c r="C2064" s="166"/>
      <c r="D2064" s="53"/>
      <c r="E2064" s="155"/>
      <c r="F2064" s="167" t="str">
        <f>_xlfn.IFNA(VLOOKUP(E2062,'Data Kyu'!$A$6:$I$471,2,0),"")</f>
        <v/>
      </c>
      <c r="G2064" s="168"/>
      <c r="H2064" s="168"/>
      <c r="I2064" s="168"/>
      <c r="J2064" s="168"/>
      <c r="K2064" s="169"/>
      <c r="L2064" s="146"/>
      <c r="M2064" s="147"/>
      <c r="N2064" s="173" t="s">
        <v>6</v>
      </c>
      <c r="O2064" s="159"/>
      <c r="P2064" s="57"/>
      <c r="Q2064" s="159" t="s">
        <v>7</v>
      </c>
      <c r="R2064" s="159"/>
      <c r="S2064" s="57"/>
      <c r="T2064" s="159" t="s">
        <v>8</v>
      </c>
      <c r="U2064" s="160"/>
      <c r="V2064" s="175"/>
      <c r="X2064" s="214"/>
    </row>
    <row r="2065" spans="2:24" ht="10.95" customHeight="1" x14ac:dyDescent="0.25">
      <c r="B2065" s="54"/>
      <c r="C2065" s="76"/>
      <c r="D2065" s="56"/>
      <c r="E2065" s="156"/>
      <c r="F2065" s="170"/>
      <c r="G2065" s="171"/>
      <c r="H2065" s="171"/>
      <c r="I2065" s="171"/>
      <c r="J2065" s="171"/>
      <c r="K2065" s="172"/>
      <c r="L2065" s="148"/>
      <c r="M2065" s="144"/>
      <c r="N2065" s="174"/>
      <c r="O2065" s="161"/>
      <c r="P2065" s="27"/>
      <c r="Q2065" s="161"/>
      <c r="R2065" s="161"/>
      <c r="S2065" s="27"/>
      <c r="T2065" s="161"/>
      <c r="U2065" s="162"/>
      <c r="V2065" s="176"/>
      <c r="X2065" s="214"/>
    </row>
    <row r="2066" spans="2:24" ht="10.95" customHeight="1" x14ac:dyDescent="0.25">
      <c r="B2066" s="41"/>
      <c r="C2066" s="77"/>
      <c r="D2066" s="42"/>
      <c r="E2066" s="154">
        <f t="shared" ref="E2066" si="131">E2062+1</f>
        <v>266</v>
      </c>
      <c r="F2066" s="145" t="str">
        <f>_xlfn.IFNA(VLOOKUP(E2066,'Data Kyu'!$A$6:$I$471,3,0),"")</f>
        <v/>
      </c>
      <c r="G2066" s="142"/>
      <c r="H2066" s="66"/>
      <c r="I2066" s="66"/>
      <c r="J2066" s="66"/>
      <c r="K2066" s="66"/>
      <c r="L2066" s="145" t="str">
        <f>_xlfn.IFNA(VLOOKUP(E2066,'Data Kyu'!$A$6:$I$471,9,0),"")</f>
        <v/>
      </c>
      <c r="M2066" s="142"/>
      <c r="N2066" s="145" t="str">
        <f>_xlfn.IFNA(VLOOKUP(E2066,'Data Kyu'!$A$6:$I$471,6,0),"")</f>
        <v/>
      </c>
      <c r="O2066" s="141"/>
      <c r="P2066" s="139" t="s">
        <v>5</v>
      </c>
      <c r="Q2066" s="141" t="str">
        <f>_xlfn.IFNA(VLOOKUP(E2066,'Data Kyu'!$A$6:$I$471,7,0),"")</f>
        <v/>
      </c>
      <c r="R2066" s="141"/>
      <c r="S2066" s="139" t="s">
        <v>5</v>
      </c>
      <c r="T2066" s="141" t="str">
        <f>_xlfn.IFNA(VLOOKUP(E2066,'Data Kyu'!$A$6:$I$471,8,0),"")</f>
        <v/>
      </c>
      <c r="U2066" s="142"/>
      <c r="V2066" s="142" t="str">
        <f>_xlfn.IFNA(VLOOKUP(E2066,'Data Kyu'!$A$6:$I$471,4,0),"")</f>
        <v/>
      </c>
      <c r="X2066" s="214" t="str">
        <f>_xlfn.IFNA(VLOOKUP(F2066,'Data Kyu'!$C$6:$N$997,12,0),"No Data")</f>
        <v>No Data</v>
      </c>
    </row>
    <row r="2067" spans="2:24" ht="10.95" customHeight="1" x14ac:dyDescent="0.25">
      <c r="B2067" s="52"/>
      <c r="C2067" s="165" t="str">
        <f>IF(X2066="LULUS","V","")</f>
        <v/>
      </c>
      <c r="D2067" s="53"/>
      <c r="E2067" s="155"/>
      <c r="F2067" s="148"/>
      <c r="G2067" s="144"/>
      <c r="H2067" s="67"/>
      <c r="I2067" s="67"/>
      <c r="J2067" s="67"/>
      <c r="K2067" s="67"/>
      <c r="L2067" s="146"/>
      <c r="M2067" s="147"/>
      <c r="N2067" s="148"/>
      <c r="O2067" s="143"/>
      <c r="P2067" s="140"/>
      <c r="Q2067" s="143"/>
      <c r="R2067" s="143"/>
      <c r="S2067" s="140"/>
      <c r="T2067" s="143"/>
      <c r="U2067" s="144"/>
      <c r="V2067" s="147"/>
      <c r="X2067" s="214"/>
    </row>
    <row r="2068" spans="2:24" ht="10.95" customHeight="1" x14ac:dyDescent="0.25">
      <c r="B2068" s="52"/>
      <c r="C2068" s="166"/>
      <c r="D2068" s="53"/>
      <c r="E2068" s="155"/>
      <c r="F2068" s="167" t="str">
        <f>_xlfn.IFNA(VLOOKUP(E2066,'Data Kyu'!$A$6:$I$471,2,0),"")</f>
        <v/>
      </c>
      <c r="G2068" s="168"/>
      <c r="H2068" s="168"/>
      <c r="I2068" s="168"/>
      <c r="J2068" s="168"/>
      <c r="K2068" s="169"/>
      <c r="L2068" s="146"/>
      <c r="M2068" s="147"/>
      <c r="N2068" s="173" t="s">
        <v>6</v>
      </c>
      <c r="O2068" s="159"/>
      <c r="P2068" s="57"/>
      <c r="Q2068" s="159" t="s">
        <v>7</v>
      </c>
      <c r="R2068" s="159"/>
      <c r="S2068" s="57"/>
      <c r="T2068" s="159" t="s">
        <v>8</v>
      </c>
      <c r="U2068" s="160"/>
      <c r="V2068" s="175"/>
      <c r="X2068" s="214"/>
    </row>
    <row r="2069" spans="2:24" ht="10.95" customHeight="1" x14ac:dyDescent="0.25">
      <c r="B2069" s="54"/>
      <c r="C2069" s="76"/>
      <c r="D2069" s="56"/>
      <c r="E2069" s="156"/>
      <c r="F2069" s="170"/>
      <c r="G2069" s="171"/>
      <c r="H2069" s="171"/>
      <c r="I2069" s="171"/>
      <c r="J2069" s="171"/>
      <c r="K2069" s="172"/>
      <c r="L2069" s="148"/>
      <c r="M2069" s="144"/>
      <c r="N2069" s="174"/>
      <c r="O2069" s="161"/>
      <c r="P2069" s="27"/>
      <c r="Q2069" s="161"/>
      <c r="R2069" s="161"/>
      <c r="S2069" s="27"/>
      <c r="T2069" s="161"/>
      <c r="U2069" s="162"/>
      <c r="V2069" s="176"/>
      <c r="X2069" s="214"/>
    </row>
    <row r="2070" spans="2:24" ht="10.95" customHeight="1" x14ac:dyDescent="0.25">
      <c r="B2070" s="41"/>
      <c r="C2070" s="77"/>
      <c r="D2070" s="42"/>
      <c r="E2070" s="154">
        <f t="shared" ref="E2070" si="132">E2066+1</f>
        <v>267</v>
      </c>
      <c r="F2070" s="145" t="str">
        <f>_xlfn.IFNA(VLOOKUP(E2070,'Data Kyu'!$A$6:$I$471,3,0),"")</f>
        <v/>
      </c>
      <c r="G2070" s="142"/>
      <c r="H2070" s="66"/>
      <c r="I2070" s="66"/>
      <c r="J2070" s="66"/>
      <c r="K2070" s="66"/>
      <c r="L2070" s="145" t="str">
        <f>_xlfn.IFNA(VLOOKUP(E2070,'Data Kyu'!$A$6:$I$471,9,0),"")</f>
        <v/>
      </c>
      <c r="M2070" s="142"/>
      <c r="N2070" s="145" t="str">
        <f>_xlfn.IFNA(VLOOKUP(E2070,'Data Kyu'!$A$6:$I$471,6,0),"")</f>
        <v/>
      </c>
      <c r="O2070" s="141"/>
      <c r="P2070" s="139" t="s">
        <v>5</v>
      </c>
      <c r="Q2070" s="141" t="str">
        <f>_xlfn.IFNA(VLOOKUP(E2070,'Data Kyu'!$A$6:$I$471,7,0),"")</f>
        <v/>
      </c>
      <c r="R2070" s="141"/>
      <c r="S2070" s="139" t="s">
        <v>5</v>
      </c>
      <c r="T2070" s="141" t="str">
        <f>_xlfn.IFNA(VLOOKUP(E2070,'Data Kyu'!$A$6:$I$471,8,0),"")</f>
        <v/>
      </c>
      <c r="U2070" s="142"/>
      <c r="V2070" s="142" t="str">
        <f>_xlfn.IFNA(VLOOKUP(E2070,'Data Kyu'!$A$6:$I$471,4,0),"")</f>
        <v/>
      </c>
      <c r="X2070" s="214" t="str">
        <f>_xlfn.IFNA(VLOOKUP(F2070,'Data Kyu'!$C$6:$N$997,12,0),"No Data")</f>
        <v>No Data</v>
      </c>
    </row>
    <row r="2071" spans="2:24" ht="10.95" customHeight="1" x14ac:dyDescent="0.25">
      <c r="B2071" s="52"/>
      <c r="C2071" s="165" t="str">
        <f>IF(X2070="LULUS","V","")</f>
        <v/>
      </c>
      <c r="D2071" s="53"/>
      <c r="E2071" s="155"/>
      <c r="F2071" s="148"/>
      <c r="G2071" s="144"/>
      <c r="H2071" s="67"/>
      <c r="I2071" s="67"/>
      <c r="J2071" s="67"/>
      <c r="K2071" s="67"/>
      <c r="L2071" s="146"/>
      <c r="M2071" s="147"/>
      <c r="N2071" s="148"/>
      <c r="O2071" s="143"/>
      <c r="P2071" s="140"/>
      <c r="Q2071" s="143"/>
      <c r="R2071" s="143"/>
      <c r="S2071" s="140"/>
      <c r="T2071" s="143"/>
      <c r="U2071" s="144"/>
      <c r="V2071" s="147"/>
      <c r="X2071" s="214"/>
    </row>
    <row r="2072" spans="2:24" ht="10.95" customHeight="1" x14ac:dyDescent="0.25">
      <c r="B2072" s="52"/>
      <c r="C2072" s="166"/>
      <c r="D2072" s="53"/>
      <c r="E2072" s="155"/>
      <c r="F2072" s="167" t="str">
        <f>_xlfn.IFNA(VLOOKUP(E2070,'Data Kyu'!$A$6:$I$471,2,0),"")</f>
        <v/>
      </c>
      <c r="G2072" s="168"/>
      <c r="H2072" s="168"/>
      <c r="I2072" s="168"/>
      <c r="J2072" s="168"/>
      <c r="K2072" s="169"/>
      <c r="L2072" s="146"/>
      <c r="M2072" s="147"/>
      <c r="N2072" s="173" t="s">
        <v>6</v>
      </c>
      <c r="O2072" s="159"/>
      <c r="P2072" s="57"/>
      <c r="Q2072" s="159" t="s">
        <v>7</v>
      </c>
      <c r="R2072" s="159"/>
      <c r="S2072" s="57"/>
      <c r="T2072" s="159" t="s">
        <v>8</v>
      </c>
      <c r="U2072" s="160"/>
      <c r="V2072" s="175"/>
      <c r="X2072" s="214"/>
    </row>
    <row r="2073" spans="2:24" ht="10.95" customHeight="1" x14ac:dyDescent="0.25">
      <c r="B2073" s="54"/>
      <c r="C2073" s="76"/>
      <c r="D2073" s="56"/>
      <c r="E2073" s="156"/>
      <c r="F2073" s="170"/>
      <c r="G2073" s="171"/>
      <c r="H2073" s="171"/>
      <c r="I2073" s="171"/>
      <c r="J2073" s="171"/>
      <c r="K2073" s="172"/>
      <c r="L2073" s="148"/>
      <c r="M2073" s="144"/>
      <c r="N2073" s="174"/>
      <c r="O2073" s="161"/>
      <c r="P2073" s="27"/>
      <c r="Q2073" s="161"/>
      <c r="R2073" s="161"/>
      <c r="S2073" s="27"/>
      <c r="T2073" s="161"/>
      <c r="U2073" s="162"/>
      <c r="V2073" s="176"/>
      <c r="X2073" s="214"/>
    </row>
    <row r="2074" spans="2:24" ht="10.95" customHeight="1" x14ac:dyDescent="0.25">
      <c r="B2074" s="41"/>
      <c r="C2074" s="77"/>
      <c r="D2074" s="42"/>
      <c r="E2074" s="154">
        <f t="shared" ref="E2074" si="133">E2070+1</f>
        <v>268</v>
      </c>
      <c r="F2074" s="145" t="str">
        <f>_xlfn.IFNA(VLOOKUP(E2074,'Data Kyu'!$A$6:$I$471,3,0),"")</f>
        <v/>
      </c>
      <c r="G2074" s="142"/>
      <c r="H2074" s="66"/>
      <c r="I2074" s="66"/>
      <c r="J2074" s="66"/>
      <c r="K2074" s="66"/>
      <c r="L2074" s="145" t="str">
        <f>_xlfn.IFNA(VLOOKUP(E2074,'Data Kyu'!$A$6:$I$471,9,0),"")</f>
        <v/>
      </c>
      <c r="M2074" s="142"/>
      <c r="N2074" s="145" t="str">
        <f>_xlfn.IFNA(VLOOKUP(E2074,'Data Kyu'!$A$6:$I$471,6,0),"")</f>
        <v/>
      </c>
      <c r="O2074" s="141"/>
      <c r="P2074" s="139" t="s">
        <v>5</v>
      </c>
      <c r="Q2074" s="141" t="str">
        <f>_xlfn.IFNA(VLOOKUP(E2074,'Data Kyu'!$A$6:$I$471,7,0),"")</f>
        <v/>
      </c>
      <c r="R2074" s="141"/>
      <c r="S2074" s="139" t="s">
        <v>5</v>
      </c>
      <c r="T2074" s="141" t="str">
        <f>_xlfn.IFNA(VLOOKUP(E2074,'Data Kyu'!$A$6:$I$471,8,0),"")</f>
        <v/>
      </c>
      <c r="U2074" s="142"/>
      <c r="V2074" s="142" t="str">
        <f>_xlfn.IFNA(VLOOKUP(E2074,'Data Kyu'!$A$6:$I$471,4,0),"")</f>
        <v/>
      </c>
      <c r="X2074" s="214" t="str">
        <f>_xlfn.IFNA(VLOOKUP(F2074,'Data Kyu'!$C$6:$N$997,12,0),"No Data")</f>
        <v>No Data</v>
      </c>
    </row>
    <row r="2075" spans="2:24" ht="10.95" customHeight="1" x14ac:dyDescent="0.25">
      <c r="B2075" s="52"/>
      <c r="C2075" s="165" t="str">
        <f>IF(X2074="LULUS","V","")</f>
        <v/>
      </c>
      <c r="D2075" s="53"/>
      <c r="E2075" s="155"/>
      <c r="F2075" s="148"/>
      <c r="G2075" s="144"/>
      <c r="H2075" s="67"/>
      <c r="I2075" s="67"/>
      <c r="J2075" s="67"/>
      <c r="K2075" s="67"/>
      <c r="L2075" s="146"/>
      <c r="M2075" s="147"/>
      <c r="N2075" s="148"/>
      <c r="O2075" s="143"/>
      <c r="P2075" s="140"/>
      <c r="Q2075" s="143"/>
      <c r="R2075" s="143"/>
      <c r="S2075" s="140"/>
      <c r="T2075" s="143"/>
      <c r="U2075" s="144"/>
      <c r="V2075" s="147"/>
      <c r="X2075" s="214"/>
    </row>
    <row r="2076" spans="2:24" ht="10.95" customHeight="1" x14ac:dyDescent="0.25">
      <c r="B2076" s="52"/>
      <c r="C2076" s="166"/>
      <c r="D2076" s="53"/>
      <c r="E2076" s="155"/>
      <c r="F2076" s="167" t="str">
        <f>_xlfn.IFNA(VLOOKUP(E2074,'Data Kyu'!$A$6:$I$471,2,0),"")</f>
        <v/>
      </c>
      <c r="G2076" s="168"/>
      <c r="H2076" s="168"/>
      <c r="I2076" s="168"/>
      <c r="J2076" s="168"/>
      <c r="K2076" s="169"/>
      <c r="L2076" s="146"/>
      <c r="M2076" s="147"/>
      <c r="N2076" s="173" t="s">
        <v>6</v>
      </c>
      <c r="O2076" s="159"/>
      <c r="P2076" s="57"/>
      <c r="Q2076" s="159" t="s">
        <v>7</v>
      </c>
      <c r="R2076" s="159"/>
      <c r="S2076" s="57"/>
      <c r="T2076" s="159" t="s">
        <v>8</v>
      </c>
      <c r="U2076" s="160"/>
      <c r="V2076" s="175"/>
      <c r="X2076" s="214"/>
    </row>
    <row r="2077" spans="2:24" ht="10.95" customHeight="1" x14ac:dyDescent="0.25">
      <c r="B2077" s="54"/>
      <c r="C2077" s="76"/>
      <c r="D2077" s="56"/>
      <c r="E2077" s="156"/>
      <c r="F2077" s="170"/>
      <c r="G2077" s="171"/>
      <c r="H2077" s="171"/>
      <c r="I2077" s="171"/>
      <c r="J2077" s="171"/>
      <c r="K2077" s="172"/>
      <c r="L2077" s="148"/>
      <c r="M2077" s="144"/>
      <c r="N2077" s="174"/>
      <c r="O2077" s="161"/>
      <c r="P2077" s="27"/>
      <c r="Q2077" s="161"/>
      <c r="R2077" s="161"/>
      <c r="S2077" s="27"/>
      <c r="T2077" s="161"/>
      <c r="U2077" s="162"/>
      <c r="V2077" s="176"/>
      <c r="X2077" s="214"/>
    </row>
    <row r="2078" spans="2:24" ht="10.95" customHeight="1" x14ac:dyDescent="0.25">
      <c r="B2078" s="41"/>
      <c r="C2078" s="77"/>
      <c r="D2078" s="42"/>
      <c r="E2078" s="154">
        <f t="shared" ref="E2078" si="134">E2074+1</f>
        <v>269</v>
      </c>
      <c r="F2078" s="145" t="str">
        <f>_xlfn.IFNA(VLOOKUP(E2078,'Data Kyu'!$A$6:$I$471,3,0),"")</f>
        <v/>
      </c>
      <c r="G2078" s="142"/>
      <c r="H2078" s="66"/>
      <c r="I2078" s="66"/>
      <c r="J2078" s="66"/>
      <c r="K2078" s="66"/>
      <c r="L2078" s="145" t="str">
        <f>_xlfn.IFNA(VLOOKUP(E2078,'Data Kyu'!$A$6:$I$471,9,0),"")</f>
        <v/>
      </c>
      <c r="M2078" s="142"/>
      <c r="N2078" s="145" t="str">
        <f>_xlfn.IFNA(VLOOKUP(E2078,'Data Kyu'!$A$6:$I$471,6,0),"")</f>
        <v/>
      </c>
      <c r="O2078" s="141"/>
      <c r="P2078" s="139" t="s">
        <v>5</v>
      </c>
      <c r="Q2078" s="141" t="str">
        <f>_xlfn.IFNA(VLOOKUP(E2078,'Data Kyu'!$A$6:$I$471,7,0),"")</f>
        <v/>
      </c>
      <c r="R2078" s="141"/>
      <c r="S2078" s="139" t="s">
        <v>5</v>
      </c>
      <c r="T2078" s="141" t="str">
        <f>_xlfn.IFNA(VLOOKUP(E2078,'Data Kyu'!$A$6:$I$471,8,0),"")</f>
        <v/>
      </c>
      <c r="U2078" s="142"/>
      <c r="V2078" s="142" t="str">
        <f>_xlfn.IFNA(VLOOKUP(E2078,'Data Kyu'!$A$6:$I$471,4,0),"")</f>
        <v/>
      </c>
      <c r="X2078" s="214" t="str">
        <f>_xlfn.IFNA(VLOOKUP(F2078,'Data Kyu'!$C$6:$N$997,12,0),"No Data")</f>
        <v>No Data</v>
      </c>
    </row>
    <row r="2079" spans="2:24" ht="10.95" customHeight="1" x14ac:dyDescent="0.25">
      <c r="B2079" s="52"/>
      <c r="C2079" s="165" t="str">
        <f>IF(X2078="LULUS","V","")</f>
        <v/>
      </c>
      <c r="D2079" s="53"/>
      <c r="E2079" s="155"/>
      <c r="F2079" s="148"/>
      <c r="G2079" s="144"/>
      <c r="H2079" s="67"/>
      <c r="I2079" s="67"/>
      <c r="J2079" s="67"/>
      <c r="K2079" s="67"/>
      <c r="L2079" s="146"/>
      <c r="M2079" s="147"/>
      <c r="N2079" s="148"/>
      <c r="O2079" s="143"/>
      <c r="P2079" s="140"/>
      <c r="Q2079" s="143"/>
      <c r="R2079" s="143"/>
      <c r="S2079" s="140"/>
      <c r="T2079" s="143"/>
      <c r="U2079" s="144"/>
      <c r="V2079" s="147"/>
      <c r="X2079" s="214"/>
    </row>
    <row r="2080" spans="2:24" ht="10.95" customHeight="1" x14ac:dyDescent="0.25">
      <c r="B2080" s="52"/>
      <c r="C2080" s="166"/>
      <c r="D2080" s="53"/>
      <c r="E2080" s="155"/>
      <c r="F2080" s="167" t="str">
        <f>_xlfn.IFNA(VLOOKUP(E2078,'Data Kyu'!$A$6:$I$471,2,0),"")</f>
        <v/>
      </c>
      <c r="G2080" s="168"/>
      <c r="H2080" s="168"/>
      <c r="I2080" s="168"/>
      <c r="J2080" s="168"/>
      <c r="K2080" s="169"/>
      <c r="L2080" s="146"/>
      <c r="M2080" s="147"/>
      <c r="N2080" s="173" t="s">
        <v>6</v>
      </c>
      <c r="O2080" s="159"/>
      <c r="P2080" s="57"/>
      <c r="Q2080" s="159" t="s">
        <v>7</v>
      </c>
      <c r="R2080" s="159"/>
      <c r="S2080" s="57"/>
      <c r="T2080" s="159" t="s">
        <v>8</v>
      </c>
      <c r="U2080" s="160"/>
      <c r="V2080" s="175"/>
      <c r="X2080" s="214"/>
    </row>
    <row r="2081" spans="2:24" ht="10.95" customHeight="1" x14ac:dyDescent="0.25">
      <c r="B2081" s="54"/>
      <c r="C2081" s="76"/>
      <c r="D2081" s="56"/>
      <c r="E2081" s="156"/>
      <c r="F2081" s="170"/>
      <c r="G2081" s="171"/>
      <c r="H2081" s="171"/>
      <c r="I2081" s="171"/>
      <c r="J2081" s="171"/>
      <c r="K2081" s="172"/>
      <c r="L2081" s="148"/>
      <c r="M2081" s="144"/>
      <c r="N2081" s="174"/>
      <c r="O2081" s="161"/>
      <c r="P2081" s="27"/>
      <c r="Q2081" s="161"/>
      <c r="R2081" s="161"/>
      <c r="S2081" s="27"/>
      <c r="T2081" s="161"/>
      <c r="U2081" s="162"/>
      <c r="V2081" s="176"/>
      <c r="X2081" s="214"/>
    </row>
    <row r="2082" spans="2:24" ht="10.95" customHeight="1" x14ac:dyDescent="0.25">
      <c r="B2082" s="41"/>
      <c r="C2082" s="77"/>
      <c r="D2082" s="42"/>
      <c r="E2082" s="154">
        <f t="shared" ref="E2082" si="135">E2078+1</f>
        <v>270</v>
      </c>
      <c r="F2082" s="145" t="str">
        <f>_xlfn.IFNA(VLOOKUP(E2082,'Data Kyu'!$A$6:$I$471,3,0),"")</f>
        <v/>
      </c>
      <c r="G2082" s="142"/>
      <c r="H2082" s="66"/>
      <c r="I2082" s="66"/>
      <c r="J2082" s="66"/>
      <c r="K2082" s="66"/>
      <c r="L2082" s="145" t="str">
        <f>_xlfn.IFNA(VLOOKUP(E2082,'Data Kyu'!$A$6:$I$471,9,0),"")</f>
        <v/>
      </c>
      <c r="M2082" s="142"/>
      <c r="N2082" s="145" t="str">
        <f>_xlfn.IFNA(VLOOKUP(E2082,'Data Kyu'!$A$6:$I$471,6,0),"")</f>
        <v/>
      </c>
      <c r="O2082" s="141"/>
      <c r="P2082" s="139" t="s">
        <v>5</v>
      </c>
      <c r="Q2082" s="141" t="str">
        <f>_xlfn.IFNA(VLOOKUP(E2082,'Data Kyu'!$A$6:$I$471,7,0),"")</f>
        <v/>
      </c>
      <c r="R2082" s="141"/>
      <c r="S2082" s="139" t="s">
        <v>5</v>
      </c>
      <c r="T2082" s="141" t="str">
        <f>_xlfn.IFNA(VLOOKUP(E2082,'Data Kyu'!$A$6:$I$471,8,0),"")</f>
        <v/>
      </c>
      <c r="U2082" s="142"/>
      <c r="V2082" s="142" t="str">
        <f>_xlfn.IFNA(VLOOKUP(E2082,'Data Kyu'!$A$6:$I$471,4,0),"")</f>
        <v/>
      </c>
      <c r="X2082" s="214" t="str">
        <f>_xlfn.IFNA(VLOOKUP(F2082,'Data Kyu'!$C$6:$N$997,12,0),"No Data")</f>
        <v>No Data</v>
      </c>
    </row>
    <row r="2083" spans="2:24" ht="10.95" customHeight="1" x14ac:dyDescent="0.25">
      <c r="B2083" s="52"/>
      <c r="C2083" s="165" t="str">
        <f>IF(X2082="LULUS","V","")</f>
        <v/>
      </c>
      <c r="D2083" s="53"/>
      <c r="E2083" s="155"/>
      <c r="F2083" s="148"/>
      <c r="G2083" s="144"/>
      <c r="H2083" s="67"/>
      <c r="I2083" s="67"/>
      <c r="J2083" s="67"/>
      <c r="K2083" s="67"/>
      <c r="L2083" s="146"/>
      <c r="M2083" s="147"/>
      <c r="N2083" s="148"/>
      <c r="O2083" s="143"/>
      <c r="P2083" s="140"/>
      <c r="Q2083" s="143"/>
      <c r="R2083" s="143"/>
      <c r="S2083" s="140"/>
      <c r="T2083" s="143"/>
      <c r="U2083" s="144"/>
      <c r="V2083" s="147"/>
      <c r="X2083" s="214"/>
    </row>
    <row r="2084" spans="2:24" ht="10.95" customHeight="1" x14ac:dyDescent="0.25">
      <c r="B2084" s="52"/>
      <c r="C2084" s="166"/>
      <c r="D2084" s="53"/>
      <c r="E2084" s="155"/>
      <c r="F2084" s="167" t="str">
        <f>_xlfn.IFNA(VLOOKUP(E2082,'Data Kyu'!$A$6:$I$471,2,0),"")</f>
        <v/>
      </c>
      <c r="G2084" s="168"/>
      <c r="H2084" s="168"/>
      <c r="I2084" s="168"/>
      <c r="J2084" s="168"/>
      <c r="K2084" s="169"/>
      <c r="L2084" s="146"/>
      <c r="M2084" s="147"/>
      <c r="N2084" s="173" t="s">
        <v>6</v>
      </c>
      <c r="O2084" s="159"/>
      <c r="P2084" s="57"/>
      <c r="Q2084" s="159" t="s">
        <v>7</v>
      </c>
      <c r="R2084" s="159"/>
      <c r="S2084" s="57"/>
      <c r="T2084" s="159" t="s">
        <v>8</v>
      </c>
      <c r="U2084" s="160"/>
      <c r="V2084" s="175"/>
      <c r="X2084" s="214"/>
    </row>
    <row r="2085" spans="2:24" ht="10.95" customHeight="1" x14ac:dyDescent="0.25">
      <c r="B2085" s="54"/>
      <c r="C2085" s="55"/>
      <c r="D2085" s="56"/>
      <c r="E2085" s="156"/>
      <c r="F2085" s="170"/>
      <c r="G2085" s="171"/>
      <c r="H2085" s="171"/>
      <c r="I2085" s="171"/>
      <c r="J2085" s="171"/>
      <c r="K2085" s="172"/>
      <c r="L2085" s="148"/>
      <c r="M2085" s="144"/>
      <c r="N2085" s="174"/>
      <c r="O2085" s="161"/>
      <c r="P2085" s="27"/>
      <c r="Q2085" s="161"/>
      <c r="R2085" s="161"/>
      <c r="S2085" s="27"/>
      <c r="T2085" s="161"/>
      <c r="U2085" s="162"/>
      <c r="V2085" s="176"/>
      <c r="X2085" s="214"/>
    </row>
    <row r="2086" spans="2:24" ht="7.5" customHeight="1" x14ac:dyDescent="0.25"/>
    <row r="2087" spans="2:24" s="34" customFormat="1" x14ac:dyDescent="0.25">
      <c r="E2087" s="35" t="s">
        <v>30</v>
      </c>
      <c r="K2087" s="35" t="s">
        <v>28</v>
      </c>
    </row>
    <row r="2088" spans="2:24" x14ac:dyDescent="0.25">
      <c r="E2088" s="33" t="s">
        <v>31</v>
      </c>
      <c r="F2088" s="149"/>
      <c r="G2088" s="149"/>
      <c r="H2088" s="149"/>
      <c r="I2088" s="149"/>
      <c r="J2088" s="149"/>
      <c r="K2088" s="33" t="s">
        <v>29</v>
      </c>
      <c r="L2088" s="12"/>
      <c r="M2088" s="12"/>
      <c r="N2088" s="12"/>
      <c r="O2088" s="12"/>
      <c r="P2088" s="12"/>
      <c r="Q2088" s="12"/>
      <c r="R2088" s="12"/>
      <c r="S2088" s="12"/>
      <c r="T2088" s="12"/>
      <c r="U2088" s="12"/>
      <c r="V2088" s="12"/>
    </row>
    <row r="2089" spans="2:24" ht="6.75" customHeight="1" x14ac:dyDescent="0.25">
      <c r="F2089" s="34"/>
      <c r="G2089" s="34"/>
      <c r="H2089" s="34"/>
      <c r="I2089" s="34"/>
      <c r="J2089" s="34"/>
    </row>
    <row r="2090" spans="2:24" s="34" customFormat="1" x14ac:dyDescent="0.25">
      <c r="E2090" s="35" t="s">
        <v>32</v>
      </c>
      <c r="K2090" s="35" t="s">
        <v>36</v>
      </c>
    </row>
    <row r="2091" spans="2:24" x14ac:dyDescent="0.25">
      <c r="E2091" s="33" t="s">
        <v>33</v>
      </c>
      <c r="F2091" s="149"/>
      <c r="G2091" s="149"/>
      <c r="H2091" s="149"/>
      <c r="I2091" s="149"/>
      <c r="J2091" s="149"/>
      <c r="K2091" s="33" t="s">
        <v>29</v>
      </c>
      <c r="L2091" s="12"/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</row>
    <row r="2092" spans="2:24" ht="6.75" customHeight="1" x14ac:dyDescent="0.25">
      <c r="F2092" s="34"/>
      <c r="G2092" s="34"/>
      <c r="H2092" s="34"/>
      <c r="I2092" s="34"/>
      <c r="J2092" s="34"/>
    </row>
    <row r="2093" spans="2:24" s="34" customFormat="1" ht="13.8" x14ac:dyDescent="0.25">
      <c r="E2093" s="35" t="s">
        <v>34</v>
      </c>
      <c r="F2093" s="177" t="str">
        <f>IF(F2046&lt;&gt;"",$F$65,"")</f>
        <v/>
      </c>
      <c r="G2093" s="177"/>
      <c r="H2093" s="177"/>
      <c r="I2093" s="177"/>
      <c r="J2093" s="177"/>
      <c r="K2093" s="35" t="s">
        <v>28</v>
      </c>
      <c r="X2093" s="70" t="s">
        <v>107</v>
      </c>
    </row>
    <row r="2094" spans="2:24" ht="13.8" x14ac:dyDescent="0.25">
      <c r="E2094" s="33" t="s">
        <v>35</v>
      </c>
      <c r="F2094" s="178"/>
      <c r="G2094" s="178"/>
      <c r="H2094" s="178"/>
      <c r="I2094" s="178"/>
      <c r="J2094" s="178"/>
      <c r="K2094" s="33" t="s">
        <v>29</v>
      </c>
      <c r="L2094" s="12"/>
      <c r="M2094" s="12"/>
      <c r="N2094" s="12"/>
      <c r="O2094" s="12"/>
      <c r="P2094" s="12"/>
      <c r="Q2094" s="12"/>
      <c r="R2094" s="12"/>
      <c r="S2094" s="12"/>
      <c r="T2094" s="12"/>
      <c r="U2094" s="12"/>
      <c r="V2094" s="12"/>
      <c r="X2094" s="70" t="s">
        <v>105</v>
      </c>
    </row>
    <row r="2095" spans="2:24" ht="12.75" customHeight="1" thickBot="1" x14ac:dyDescent="0.3"/>
    <row r="2096" spans="2:24" ht="13.8" thickTop="1" x14ac:dyDescent="0.25">
      <c r="B2096" s="34" t="s">
        <v>37</v>
      </c>
      <c r="C2096" s="34"/>
      <c r="D2096" s="34"/>
      <c r="H2096" s="150" t="s">
        <v>40</v>
      </c>
      <c r="I2096" s="151"/>
      <c r="J2096" s="151"/>
      <c r="K2096" s="151"/>
      <c r="L2096" s="151"/>
      <c r="M2096" s="151"/>
      <c r="N2096" s="151"/>
      <c r="O2096" s="151"/>
      <c r="P2096" s="151"/>
      <c r="Q2096" s="151"/>
      <c r="R2096" s="151"/>
      <c r="S2096" s="151"/>
      <c r="T2096" s="151"/>
      <c r="U2096" s="151"/>
      <c r="V2096" s="151"/>
    </row>
    <row r="2097" spans="2:24" x14ac:dyDescent="0.25">
      <c r="B2097" s="34" t="s">
        <v>38</v>
      </c>
      <c r="C2097" s="34"/>
      <c r="D2097" s="34"/>
      <c r="H2097" s="152"/>
      <c r="I2097" s="153"/>
      <c r="J2097" s="153"/>
      <c r="K2097" s="153"/>
      <c r="L2097" s="153"/>
      <c r="M2097" s="153"/>
      <c r="N2097" s="153"/>
      <c r="O2097" s="153"/>
      <c r="P2097" s="153"/>
      <c r="Q2097" s="153"/>
      <c r="R2097" s="153"/>
      <c r="S2097" s="153"/>
      <c r="T2097" s="153"/>
      <c r="U2097" s="153"/>
      <c r="V2097" s="153"/>
    </row>
    <row r="2098" spans="2:24" ht="12.75" customHeight="1" x14ac:dyDescent="0.25">
      <c r="B2098" s="163" t="s">
        <v>39</v>
      </c>
      <c r="C2098" s="163"/>
      <c r="D2098" s="163"/>
      <c r="E2098" s="163"/>
      <c r="F2098" s="163"/>
      <c r="H2098" s="37" t="s">
        <v>41</v>
      </c>
    </row>
    <row r="2099" spans="2:24" ht="13.8" x14ac:dyDescent="0.25">
      <c r="B2099" s="163"/>
      <c r="C2099" s="163"/>
      <c r="D2099" s="163"/>
      <c r="E2099" s="163"/>
      <c r="F2099" s="163"/>
      <c r="H2099" s="38" t="s">
        <v>42</v>
      </c>
    </row>
    <row r="2100" spans="2:24" x14ac:dyDescent="0.25">
      <c r="B2100" s="163"/>
      <c r="C2100" s="163"/>
      <c r="D2100" s="163"/>
      <c r="E2100" s="163"/>
      <c r="F2100" s="163"/>
      <c r="H2100" s="36"/>
    </row>
    <row r="2101" spans="2:24" x14ac:dyDescent="0.25">
      <c r="B2101" s="163"/>
      <c r="C2101" s="163"/>
      <c r="D2101" s="163"/>
      <c r="E2101" s="163"/>
      <c r="F2101" s="163"/>
      <c r="H2101" s="36"/>
    </row>
    <row r="2102" spans="2:24" x14ac:dyDescent="0.25">
      <c r="H2102" s="36"/>
    </row>
    <row r="2103" spans="2:24" x14ac:dyDescent="0.25">
      <c r="H2103" s="36"/>
    </row>
    <row r="2104" spans="2:24" x14ac:dyDescent="0.25">
      <c r="H2104" s="36"/>
    </row>
    <row r="2105" spans="2:24" x14ac:dyDescent="0.25">
      <c r="H2105" s="36"/>
    </row>
    <row r="2106" spans="2:24" ht="13.8" x14ac:dyDescent="0.25">
      <c r="H2106" s="157" t="str">
        <f>IF(F2046&lt;&gt;"",$H$78,"")</f>
        <v/>
      </c>
      <c r="I2106" s="158"/>
      <c r="J2106" s="158"/>
      <c r="K2106" s="158"/>
      <c r="L2106" s="158"/>
      <c r="M2106" s="158"/>
      <c r="N2106" s="158"/>
      <c r="O2106" s="158"/>
      <c r="P2106" s="158"/>
      <c r="Q2106" s="158"/>
      <c r="R2106" s="158"/>
      <c r="S2106" s="158"/>
      <c r="T2106" s="158"/>
      <c r="U2106" s="158"/>
      <c r="V2106" s="158"/>
    </row>
    <row r="2107" spans="2:24" x14ac:dyDescent="0.25">
      <c r="H2107" s="36"/>
    </row>
    <row r="2108" spans="2:24" ht="28.5" customHeight="1" x14ac:dyDescent="0.3">
      <c r="B2108" s="193" t="s">
        <v>43</v>
      </c>
      <c r="C2108" s="193"/>
      <c r="D2108" s="193"/>
      <c r="E2108" s="194"/>
      <c r="F2108" s="194"/>
      <c r="G2108" s="194"/>
      <c r="H2108" s="194"/>
      <c r="I2108" s="2"/>
      <c r="J2108" s="2"/>
      <c r="K2108" s="13" t="s">
        <v>25</v>
      </c>
      <c r="L2108" s="195" t="s">
        <v>14</v>
      </c>
      <c r="M2108" s="196"/>
      <c r="N2108" s="196"/>
      <c r="O2108" s="196"/>
      <c r="P2108" s="196"/>
      <c r="Q2108" s="196"/>
      <c r="R2108" s="196"/>
      <c r="S2108" s="196"/>
      <c r="T2108" s="196"/>
      <c r="U2108" s="196"/>
      <c r="V2108" s="197"/>
      <c r="X2108" s="1"/>
    </row>
    <row r="2109" spans="2:24" ht="26.25" customHeight="1" x14ac:dyDescent="0.4">
      <c r="B2109" s="39" t="s">
        <v>44</v>
      </c>
      <c r="C2109" s="39"/>
      <c r="D2109" s="39"/>
      <c r="E2109" s="2"/>
      <c r="F2109" s="2"/>
      <c r="G2109" s="2"/>
      <c r="H2109" s="2"/>
      <c r="I2109" s="2"/>
      <c r="J2109" s="2"/>
      <c r="K2109" s="29" t="s">
        <v>13</v>
      </c>
      <c r="L2109" s="15">
        <v>4</v>
      </c>
      <c r="M2109" s="16">
        <v>1</v>
      </c>
      <c r="N2109" s="15">
        <v>0</v>
      </c>
      <c r="O2109" s="198">
        <v>0</v>
      </c>
      <c r="P2109" s="199"/>
      <c r="Q2109" s="14">
        <v>0</v>
      </c>
      <c r="R2109" s="200">
        <v>1</v>
      </c>
      <c r="S2109" s="201"/>
      <c r="T2109" s="6"/>
      <c r="U2109" s="6"/>
      <c r="V2109" s="7"/>
      <c r="X2109" s="1"/>
    </row>
    <row r="2110" spans="2:24" ht="21" customHeight="1" x14ac:dyDescent="0.25">
      <c r="B2110" s="26" t="s">
        <v>45</v>
      </c>
      <c r="C2110" s="26"/>
      <c r="D2110" s="26"/>
      <c r="E2110" s="25"/>
      <c r="F2110" s="25"/>
      <c r="G2110" s="25"/>
      <c r="H2110" s="25"/>
      <c r="I2110" s="25"/>
      <c r="J2110" s="25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X2110" s="1"/>
    </row>
    <row r="2111" spans="2:24" ht="13.5" customHeight="1" x14ac:dyDescent="0.25">
      <c r="B2111" s="40" t="s">
        <v>24</v>
      </c>
      <c r="C2111" s="40"/>
      <c r="D2111" s="40"/>
      <c r="E2111" s="25"/>
      <c r="F2111" s="25"/>
      <c r="G2111" s="25"/>
      <c r="H2111" s="25"/>
      <c r="I2111" s="25"/>
      <c r="J2111" s="25"/>
      <c r="K2111" s="28" t="s">
        <v>6</v>
      </c>
      <c r="L2111" s="202" t="str">
        <f>IF(F2124&lt;&gt;"",$L$5,"")</f>
        <v/>
      </c>
      <c r="M2111" s="203"/>
      <c r="N2111" s="204" t="s">
        <v>15</v>
      </c>
      <c r="O2111" s="204"/>
      <c r="P2111" s="204"/>
      <c r="Q2111" s="205" t="str">
        <f>IF(F2124&lt;&gt;"",$Q$5,"")</f>
        <v/>
      </c>
      <c r="R2111" s="206"/>
      <c r="S2111" s="207" t="s">
        <v>16</v>
      </c>
      <c r="T2111" s="204"/>
      <c r="U2111" s="82" t="str">
        <f>IF(F2124&lt;&gt;"",$U$5,"")</f>
        <v/>
      </c>
      <c r="V2111" s="63"/>
      <c r="X2111" s="1"/>
    </row>
    <row r="2112" spans="2:24" ht="8.25" customHeight="1" x14ac:dyDescent="0.25"/>
    <row r="2113" spans="2:24" ht="11.25" customHeight="1" x14ac:dyDescent="0.25">
      <c r="B2113" s="24" t="s">
        <v>17</v>
      </c>
      <c r="C2113" s="24"/>
      <c r="D2113" s="24"/>
    </row>
    <row r="2114" spans="2:24" ht="11.25" customHeight="1" x14ac:dyDescent="0.25">
      <c r="B2114" s="8" t="s">
        <v>18</v>
      </c>
      <c r="C2114" s="8"/>
      <c r="D2114" s="8"/>
    </row>
    <row r="2115" spans="2:24" ht="5.25" customHeight="1" x14ac:dyDescent="0.25">
      <c r="B2115" s="8"/>
      <c r="C2115" s="8"/>
      <c r="D2115" s="8"/>
    </row>
    <row r="2116" spans="2:24" x14ac:dyDescent="0.25">
      <c r="B2116" s="179" t="s">
        <v>19</v>
      </c>
      <c r="C2116" s="179"/>
      <c r="D2116" s="179"/>
      <c r="E2116" s="179"/>
      <c r="F2116" s="179"/>
      <c r="G2116" s="18" t="s">
        <v>6</v>
      </c>
      <c r="H2116" s="64" t="str">
        <f>IF(F2124&lt;&gt;"",$H$10,"")</f>
        <v/>
      </c>
      <c r="I2116" s="9" t="s">
        <v>15</v>
      </c>
      <c r="J2116" s="83" t="str">
        <f>IF(F2124&lt;&gt;"",$J$10,"")</f>
        <v/>
      </c>
      <c r="K2116" s="9" t="s">
        <v>16</v>
      </c>
      <c r="L2116" s="180" t="str">
        <f>IF(F2124&lt;&gt;"",$L$10,"")</f>
        <v/>
      </c>
      <c r="M2116" s="181"/>
      <c r="X2116" s="32"/>
    </row>
    <row r="2117" spans="2:24" ht="5.25" customHeight="1" x14ac:dyDescent="0.25">
      <c r="B2117" s="8"/>
      <c r="C2117" s="8"/>
      <c r="D2117" s="8"/>
      <c r="E2117" s="8"/>
      <c r="F2117" s="8"/>
      <c r="G2117" s="19"/>
      <c r="H2117" s="20"/>
      <c r="I2117" s="21"/>
      <c r="J2117" s="20"/>
      <c r="K2117" s="10"/>
      <c r="L2117" s="22"/>
      <c r="X2117" s="32"/>
    </row>
    <row r="2118" spans="2:24" s="73" customFormat="1" ht="14.4" customHeight="1" x14ac:dyDescent="0.25">
      <c r="B2118" s="72" t="s">
        <v>20</v>
      </c>
      <c r="C2118" s="72"/>
      <c r="D2118" s="72"/>
      <c r="X2118" s="74"/>
    </row>
    <row r="2119" spans="2:24" s="73" customFormat="1" ht="14.4" customHeight="1" x14ac:dyDescent="0.25">
      <c r="B2119" s="75" t="s">
        <v>21</v>
      </c>
      <c r="C2119" s="10"/>
      <c r="D2119" s="10"/>
      <c r="E2119" s="22" t="s">
        <v>22</v>
      </c>
      <c r="X2119" s="74"/>
    </row>
    <row r="2120" spans="2:24" s="73" customFormat="1" ht="14.4" customHeight="1" x14ac:dyDescent="0.25">
      <c r="B2120" s="22"/>
      <c r="C2120" s="22"/>
      <c r="D2120" s="22"/>
      <c r="E2120" s="22" t="s">
        <v>23</v>
      </c>
      <c r="X2120" s="164" t="s">
        <v>102</v>
      </c>
    </row>
    <row r="2121" spans="2:24" ht="7.5" customHeight="1" x14ac:dyDescent="0.25">
      <c r="B2121" s="8"/>
      <c r="C2121" s="8"/>
      <c r="D2121" s="8"/>
      <c r="X2121" s="164"/>
    </row>
    <row r="2122" spans="2:24" ht="17.25" customHeight="1" x14ac:dyDescent="0.25">
      <c r="B2122" s="182"/>
      <c r="C2122" s="59"/>
      <c r="D2122" s="60"/>
      <c r="E2122" s="184" t="s">
        <v>0</v>
      </c>
      <c r="F2122" s="186" t="s">
        <v>1</v>
      </c>
      <c r="G2122" s="187"/>
      <c r="H2122" s="4"/>
      <c r="I2122" s="4"/>
      <c r="J2122" s="4"/>
      <c r="K2122" s="5"/>
      <c r="L2122" s="145" t="s">
        <v>3</v>
      </c>
      <c r="M2122" s="142"/>
      <c r="N2122" s="188" t="s">
        <v>10</v>
      </c>
      <c r="O2122" s="188"/>
      <c r="P2122" s="188"/>
      <c r="Q2122" s="188"/>
      <c r="R2122" s="188"/>
      <c r="S2122" s="188"/>
      <c r="T2122" s="188"/>
      <c r="U2122" s="189"/>
      <c r="V2122" s="3" t="s">
        <v>12</v>
      </c>
      <c r="X2122" s="68" t="s">
        <v>200</v>
      </c>
    </row>
    <row r="2123" spans="2:24" ht="17.25" customHeight="1" x14ac:dyDescent="0.25">
      <c r="B2123" s="183"/>
      <c r="C2123" s="61"/>
      <c r="D2123" s="62"/>
      <c r="E2123" s="185"/>
      <c r="F2123" s="30" t="s">
        <v>2</v>
      </c>
      <c r="G2123" s="17"/>
      <c r="H2123" s="6"/>
      <c r="I2123" s="6"/>
      <c r="J2123" s="6"/>
      <c r="K2123" s="7"/>
      <c r="L2123" s="190" t="s">
        <v>4</v>
      </c>
      <c r="M2123" s="191"/>
      <c r="N2123" s="192" t="s">
        <v>9</v>
      </c>
      <c r="O2123" s="192"/>
      <c r="P2123" s="192"/>
      <c r="Q2123" s="192"/>
      <c r="R2123" s="192"/>
      <c r="S2123" s="192"/>
      <c r="T2123" s="192"/>
      <c r="U2123" s="191"/>
      <c r="V2123" s="31" t="s">
        <v>11</v>
      </c>
      <c r="X2123" s="69"/>
    </row>
    <row r="2124" spans="2:24" ht="10.95" customHeight="1" x14ac:dyDescent="0.25">
      <c r="B2124" s="41"/>
      <c r="C2124" s="51"/>
      <c r="D2124" s="42"/>
      <c r="E2124" s="154">
        <v>271</v>
      </c>
      <c r="F2124" s="145" t="str">
        <f>_xlfn.IFNA(VLOOKUP(E2124,'Data Kyu'!$A$6:$I$471,3,0),"")</f>
        <v/>
      </c>
      <c r="G2124" s="142"/>
      <c r="H2124" s="66"/>
      <c r="I2124" s="66"/>
      <c r="J2124" s="66"/>
      <c r="K2124" s="66"/>
      <c r="L2124" s="145" t="str">
        <f>_xlfn.IFNA(VLOOKUP(E2124,'Data Kyu'!$A$6:$I$471,9,0),"")</f>
        <v/>
      </c>
      <c r="M2124" s="142"/>
      <c r="N2124" s="145" t="str">
        <f>_xlfn.IFNA(VLOOKUP(E2124,'Data Kyu'!$A$6:$I$471,6,0),"")</f>
        <v/>
      </c>
      <c r="O2124" s="141"/>
      <c r="P2124" s="139" t="s">
        <v>5</v>
      </c>
      <c r="Q2124" s="141" t="str">
        <f>_xlfn.IFNA(VLOOKUP(E2124,'Data Kyu'!$A$6:$I$471,7,0),"")</f>
        <v/>
      </c>
      <c r="R2124" s="141"/>
      <c r="S2124" s="139" t="s">
        <v>5</v>
      </c>
      <c r="T2124" s="141" t="str">
        <f>_xlfn.IFNA(VLOOKUP(E2124,'Data Kyu'!$A$6:$I$471,8,0),"")</f>
        <v/>
      </c>
      <c r="U2124" s="142"/>
      <c r="V2124" s="142" t="str">
        <f>_xlfn.IFNA(VLOOKUP(E2124,'Data Kyu'!$A$6:$I$471,4,0),"")</f>
        <v/>
      </c>
      <c r="X2124" s="214" t="str">
        <f>_xlfn.IFNA(VLOOKUP(F2124,'Data Kyu'!$C$6:$N$997,12,0),"No Data")</f>
        <v>No Data</v>
      </c>
    </row>
    <row r="2125" spans="2:24" ht="10.95" customHeight="1" x14ac:dyDescent="0.25">
      <c r="B2125" s="52"/>
      <c r="C2125" s="165" t="str">
        <f>IF(X2124="LULUS","V","")</f>
        <v/>
      </c>
      <c r="D2125" s="53"/>
      <c r="E2125" s="155"/>
      <c r="F2125" s="148"/>
      <c r="G2125" s="144"/>
      <c r="H2125" s="67"/>
      <c r="I2125" s="67"/>
      <c r="J2125" s="67"/>
      <c r="K2125" s="67"/>
      <c r="L2125" s="146"/>
      <c r="M2125" s="147"/>
      <c r="N2125" s="148"/>
      <c r="O2125" s="143"/>
      <c r="P2125" s="140"/>
      <c r="Q2125" s="143"/>
      <c r="R2125" s="143"/>
      <c r="S2125" s="140"/>
      <c r="T2125" s="143"/>
      <c r="U2125" s="144"/>
      <c r="V2125" s="147"/>
      <c r="X2125" s="214"/>
    </row>
    <row r="2126" spans="2:24" ht="10.95" customHeight="1" x14ac:dyDescent="0.25">
      <c r="B2126" s="52"/>
      <c r="C2126" s="166"/>
      <c r="D2126" s="53"/>
      <c r="E2126" s="155"/>
      <c r="F2126" s="167" t="str">
        <f>_xlfn.IFNA(VLOOKUP(E2124,'Data Kyu'!$A$6:$I$471,2,0),"")</f>
        <v/>
      </c>
      <c r="G2126" s="168"/>
      <c r="H2126" s="168"/>
      <c r="I2126" s="168"/>
      <c r="J2126" s="168"/>
      <c r="K2126" s="169"/>
      <c r="L2126" s="146"/>
      <c r="M2126" s="147"/>
      <c r="N2126" s="173" t="s">
        <v>6</v>
      </c>
      <c r="O2126" s="159"/>
      <c r="P2126" s="57"/>
      <c r="Q2126" s="159" t="s">
        <v>7</v>
      </c>
      <c r="R2126" s="159"/>
      <c r="S2126" s="57"/>
      <c r="T2126" s="159" t="s">
        <v>8</v>
      </c>
      <c r="U2126" s="160"/>
      <c r="V2126" s="175"/>
      <c r="X2126" s="214"/>
    </row>
    <row r="2127" spans="2:24" ht="10.95" customHeight="1" x14ac:dyDescent="0.25">
      <c r="B2127" s="54"/>
      <c r="C2127" s="76"/>
      <c r="D2127" s="56"/>
      <c r="E2127" s="156"/>
      <c r="F2127" s="170"/>
      <c r="G2127" s="171"/>
      <c r="H2127" s="171"/>
      <c r="I2127" s="171"/>
      <c r="J2127" s="171"/>
      <c r="K2127" s="172"/>
      <c r="L2127" s="148"/>
      <c r="M2127" s="144"/>
      <c r="N2127" s="174"/>
      <c r="O2127" s="161"/>
      <c r="P2127" s="27"/>
      <c r="Q2127" s="161"/>
      <c r="R2127" s="161"/>
      <c r="S2127" s="27"/>
      <c r="T2127" s="161"/>
      <c r="U2127" s="162"/>
      <c r="V2127" s="176"/>
      <c r="X2127" s="214"/>
    </row>
    <row r="2128" spans="2:24" ht="10.95" customHeight="1" x14ac:dyDescent="0.25">
      <c r="B2128" s="41"/>
      <c r="C2128" s="77"/>
      <c r="D2128" s="42"/>
      <c r="E2128" s="154">
        <f>E2124+1</f>
        <v>272</v>
      </c>
      <c r="F2128" s="145" t="str">
        <f>_xlfn.IFNA(VLOOKUP(E2128,'Data Kyu'!$A$6:$I$471,3,0),"")</f>
        <v/>
      </c>
      <c r="G2128" s="142"/>
      <c r="H2128" s="66"/>
      <c r="I2128" s="66"/>
      <c r="J2128" s="66"/>
      <c r="K2128" s="66"/>
      <c r="L2128" s="145" t="str">
        <f>_xlfn.IFNA(VLOOKUP(E2128,'Data Kyu'!$A$6:$I$471,9,0),"")</f>
        <v/>
      </c>
      <c r="M2128" s="142"/>
      <c r="N2128" s="145" t="str">
        <f>_xlfn.IFNA(VLOOKUP(E2128,'Data Kyu'!$A$6:$I$471,6,0),"")</f>
        <v/>
      </c>
      <c r="O2128" s="141"/>
      <c r="P2128" s="139" t="s">
        <v>5</v>
      </c>
      <c r="Q2128" s="141" t="str">
        <f>_xlfn.IFNA(VLOOKUP(E2128,'Data Kyu'!$A$6:$I$471,7,0),"")</f>
        <v/>
      </c>
      <c r="R2128" s="141"/>
      <c r="S2128" s="139" t="s">
        <v>5</v>
      </c>
      <c r="T2128" s="141" t="str">
        <f>_xlfn.IFNA(VLOOKUP(E2128,'Data Kyu'!$A$6:$I$471,8,0),"")</f>
        <v/>
      </c>
      <c r="U2128" s="142"/>
      <c r="V2128" s="142" t="str">
        <f>_xlfn.IFNA(VLOOKUP(E2128,'Data Kyu'!$A$6:$I$471,4,0),"")</f>
        <v/>
      </c>
      <c r="X2128" s="214" t="str">
        <f>_xlfn.IFNA(VLOOKUP(F2128,'Data Kyu'!$C$6:$N$997,12,0),"No Data")</f>
        <v>No Data</v>
      </c>
    </row>
    <row r="2129" spans="2:24" ht="10.95" customHeight="1" x14ac:dyDescent="0.25">
      <c r="B2129" s="52"/>
      <c r="C2129" s="165" t="str">
        <f>IF(X2128="LULUS","V","")</f>
        <v/>
      </c>
      <c r="D2129" s="53"/>
      <c r="E2129" s="155"/>
      <c r="F2129" s="148"/>
      <c r="G2129" s="144"/>
      <c r="H2129" s="67"/>
      <c r="I2129" s="67"/>
      <c r="J2129" s="67"/>
      <c r="K2129" s="67"/>
      <c r="L2129" s="146"/>
      <c r="M2129" s="147"/>
      <c r="N2129" s="148"/>
      <c r="O2129" s="143"/>
      <c r="P2129" s="140"/>
      <c r="Q2129" s="143"/>
      <c r="R2129" s="143"/>
      <c r="S2129" s="140"/>
      <c r="T2129" s="143"/>
      <c r="U2129" s="144"/>
      <c r="V2129" s="147"/>
      <c r="X2129" s="214"/>
    </row>
    <row r="2130" spans="2:24" ht="10.95" customHeight="1" x14ac:dyDescent="0.25">
      <c r="B2130" s="52"/>
      <c r="C2130" s="166"/>
      <c r="D2130" s="53"/>
      <c r="E2130" s="155"/>
      <c r="F2130" s="167" t="str">
        <f>_xlfn.IFNA(VLOOKUP(E2128,'Data Kyu'!$A$6:$I$471,2,0),"")</f>
        <v/>
      </c>
      <c r="G2130" s="168"/>
      <c r="H2130" s="168"/>
      <c r="I2130" s="168"/>
      <c r="J2130" s="168"/>
      <c r="K2130" s="169"/>
      <c r="L2130" s="146"/>
      <c r="M2130" s="147"/>
      <c r="N2130" s="173" t="s">
        <v>6</v>
      </c>
      <c r="O2130" s="159"/>
      <c r="P2130" s="57"/>
      <c r="Q2130" s="159" t="s">
        <v>7</v>
      </c>
      <c r="R2130" s="159"/>
      <c r="S2130" s="57"/>
      <c r="T2130" s="159" t="s">
        <v>8</v>
      </c>
      <c r="U2130" s="160"/>
      <c r="V2130" s="175"/>
      <c r="X2130" s="214"/>
    </row>
    <row r="2131" spans="2:24" ht="10.95" customHeight="1" x14ac:dyDescent="0.25">
      <c r="B2131" s="54"/>
      <c r="C2131" s="76"/>
      <c r="D2131" s="56"/>
      <c r="E2131" s="156"/>
      <c r="F2131" s="170"/>
      <c r="G2131" s="171"/>
      <c r="H2131" s="171"/>
      <c r="I2131" s="171"/>
      <c r="J2131" s="171"/>
      <c r="K2131" s="172"/>
      <c r="L2131" s="148"/>
      <c r="M2131" s="144"/>
      <c r="N2131" s="174"/>
      <c r="O2131" s="161"/>
      <c r="P2131" s="27"/>
      <c r="Q2131" s="161"/>
      <c r="R2131" s="161"/>
      <c r="S2131" s="27"/>
      <c r="T2131" s="161"/>
      <c r="U2131" s="162"/>
      <c r="V2131" s="176"/>
      <c r="X2131" s="214"/>
    </row>
    <row r="2132" spans="2:24" ht="10.95" customHeight="1" x14ac:dyDescent="0.25">
      <c r="B2132" s="41"/>
      <c r="C2132" s="77"/>
      <c r="D2132" s="42"/>
      <c r="E2132" s="154">
        <f t="shared" ref="E2132" si="136">E2128+1</f>
        <v>273</v>
      </c>
      <c r="F2132" s="145" t="str">
        <f>_xlfn.IFNA(VLOOKUP(E2132,'Data Kyu'!$A$6:$I$471,3,0),"")</f>
        <v/>
      </c>
      <c r="G2132" s="142"/>
      <c r="H2132" s="66"/>
      <c r="I2132" s="66"/>
      <c r="J2132" s="66"/>
      <c r="K2132" s="66"/>
      <c r="L2132" s="145" t="str">
        <f>_xlfn.IFNA(VLOOKUP(E2132,'Data Kyu'!$A$6:$I$471,9,0),"")</f>
        <v/>
      </c>
      <c r="M2132" s="142"/>
      <c r="N2132" s="145" t="str">
        <f>_xlfn.IFNA(VLOOKUP(E2132,'Data Kyu'!$A$6:$I$471,6,0),"")</f>
        <v/>
      </c>
      <c r="O2132" s="141"/>
      <c r="P2132" s="139" t="s">
        <v>5</v>
      </c>
      <c r="Q2132" s="141" t="str">
        <f>_xlfn.IFNA(VLOOKUP(E2132,'Data Kyu'!$A$6:$I$471,7,0),"")</f>
        <v/>
      </c>
      <c r="R2132" s="141"/>
      <c r="S2132" s="139" t="s">
        <v>5</v>
      </c>
      <c r="T2132" s="141" t="str">
        <f>_xlfn.IFNA(VLOOKUP(E2132,'Data Kyu'!$A$6:$I$471,8,0),"")</f>
        <v/>
      </c>
      <c r="U2132" s="142"/>
      <c r="V2132" s="142" t="str">
        <f>_xlfn.IFNA(VLOOKUP(E2132,'Data Kyu'!$A$6:$I$471,4,0),"")</f>
        <v/>
      </c>
      <c r="X2132" s="214" t="str">
        <f>_xlfn.IFNA(VLOOKUP(F2132,'Data Kyu'!$C$6:$N$997,12,0),"No Data")</f>
        <v>No Data</v>
      </c>
    </row>
    <row r="2133" spans="2:24" ht="10.95" customHeight="1" x14ac:dyDescent="0.25">
      <c r="B2133" s="52"/>
      <c r="C2133" s="165" t="str">
        <f>IF(X2132="LULUS","V","")</f>
        <v/>
      </c>
      <c r="D2133" s="53"/>
      <c r="E2133" s="155"/>
      <c r="F2133" s="148"/>
      <c r="G2133" s="144"/>
      <c r="H2133" s="67"/>
      <c r="I2133" s="67"/>
      <c r="J2133" s="67"/>
      <c r="K2133" s="67"/>
      <c r="L2133" s="146"/>
      <c r="M2133" s="147"/>
      <c r="N2133" s="148"/>
      <c r="O2133" s="143"/>
      <c r="P2133" s="140"/>
      <c r="Q2133" s="143"/>
      <c r="R2133" s="143"/>
      <c r="S2133" s="140"/>
      <c r="T2133" s="143"/>
      <c r="U2133" s="144"/>
      <c r="V2133" s="147"/>
      <c r="X2133" s="214"/>
    </row>
    <row r="2134" spans="2:24" ht="10.95" customHeight="1" x14ac:dyDescent="0.25">
      <c r="B2134" s="52"/>
      <c r="C2134" s="166"/>
      <c r="D2134" s="53"/>
      <c r="E2134" s="155"/>
      <c r="F2134" s="167" t="str">
        <f>_xlfn.IFNA(VLOOKUP(E2132,'Data Kyu'!$A$6:$I$471,2,0),"")</f>
        <v/>
      </c>
      <c r="G2134" s="168"/>
      <c r="H2134" s="168"/>
      <c r="I2134" s="168"/>
      <c r="J2134" s="168"/>
      <c r="K2134" s="169"/>
      <c r="L2134" s="146"/>
      <c r="M2134" s="147"/>
      <c r="N2134" s="173" t="s">
        <v>6</v>
      </c>
      <c r="O2134" s="159"/>
      <c r="P2134" s="57"/>
      <c r="Q2134" s="159" t="s">
        <v>7</v>
      </c>
      <c r="R2134" s="159"/>
      <c r="S2134" s="57"/>
      <c r="T2134" s="159" t="s">
        <v>8</v>
      </c>
      <c r="U2134" s="160"/>
      <c r="V2134" s="175"/>
      <c r="X2134" s="214"/>
    </row>
    <row r="2135" spans="2:24" ht="10.95" customHeight="1" x14ac:dyDescent="0.25">
      <c r="B2135" s="54"/>
      <c r="C2135" s="76"/>
      <c r="D2135" s="56"/>
      <c r="E2135" s="156"/>
      <c r="F2135" s="170"/>
      <c r="G2135" s="171"/>
      <c r="H2135" s="171"/>
      <c r="I2135" s="171"/>
      <c r="J2135" s="171"/>
      <c r="K2135" s="172"/>
      <c r="L2135" s="148"/>
      <c r="M2135" s="144"/>
      <c r="N2135" s="174"/>
      <c r="O2135" s="161"/>
      <c r="P2135" s="27"/>
      <c r="Q2135" s="161"/>
      <c r="R2135" s="161"/>
      <c r="S2135" s="27"/>
      <c r="T2135" s="161"/>
      <c r="U2135" s="162"/>
      <c r="V2135" s="176"/>
      <c r="X2135" s="214"/>
    </row>
    <row r="2136" spans="2:24" ht="10.95" customHeight="1" x14ac:dyDescent="0.25">
      <c r="B2136" s="41"/>
      <c r="C2136" s="77"/>
      <c r="D2136" s="42"/>
      <c r="E2136" s="154">
        <f t="shared" ref="E2136" si="137">E2132+1</f>
        <v>274</v>
      </c>
      <c r="F2136" s="145" t="str">
        <f>_xlfn.IFNA(VLOOKUP(E2136,'Data Kyu'!$A$6:$I$471,3,0),"")</f>
        <v/>
      </c>
      <c r="G2136" s="142"/>
      <c r="H2136" s="66"/>
      <c r="I2136" s="66"/>
      <c r="J2136" s="66"/>
      <c r="K2136" s="66"/>
      <c r="L2136" s="145" t="str">
        <f>_xlfn.IFNA(VLOOKUP(E2136,'Data Kyu'!$A$6:$I$471,9,0),"")</f>
        <v/>
      </c>
      <c r="M2136" s="142"/>
      <c r="N2136" s="145" t="str">
        <f>_xlfn.IFNA(VLOOKUP(E2136,'Data Kyu'!$A$6:$I$471,6,0),"")</f>
        <v/>
      </c>
      <c r="O2136" s="141"/>
      <c r="P2136" s="139" t="s">
        <v>5</v>
      </c>
      <c r="Q2136" s="141" t="str">
        <f>_xlfn.IFNA(VLOOKUP(E2136,'Data Kyu'!$A$6:$I$471,7,0),"")</f>
        <v/>
      </c>
      <c r="R2136" s="141"/>
      <c r="S2136" s="139" t="s">
        <v>5</v>
      </c>
      <c r="T2136" s="141" t="str">
        <f>_xlfn.IFNA(VLOOKUP(E2136,'Data Kyu'!$A$6:$I$471,8,0),"")</f>
        <v/>
      </c>
      <c r="U2136" s="142"/>
      <c r="V2136" s="142" t="str">
        <f>_xlfn.IFNA(VLOOKUP(E2136,'Data Kyu'!$A$6:$I$471,4,0),"")</f>
        <v/>
      </c>
      <c r="X2136" s="214" t="str">
        <f>_xlfn.IFNA(VLOOKUP(F2136,'Data Kyu'!$C$6:$N$997,12,0),"No Data")</f>
        <v>No Data</v>
      </c>
    </row>
    <row r="2137" spans="2:24" ht="10.95" customHeight="1" x14ac:dyDescent="0.25">
      <c r="B2137" s="52"/>
      <c r="C2137" s="165" t="str">
        <f>IF(X2136="LULUS","V","")</f>
        <v/>
      </c>
      <c r="D2137" s="53"/>
      <c r="E2137" s="155"/>
      <c r="F2137" s="148"/>
      <c r="G2137" s="144"/>
      <c r="H2137" s="67"/>
      <c r="I2137" s="67"/>
      <c r="J2137" s="67"/>
      <c r="K2137" s="67"/>
      <c r="L2137" s="146"/>
      <c r="M2137" s="147"/>
      <c r="N2137" s="148"/>
      <c r="O2137" s="143"/>
      <c r="P2137" s="140"/>
      <c r="Q2137" s="143"/>
      <c r="R2137" s="143"/>
      <c r="S2137" s="140"/>
      <c r="T2137" s="143"/>
      <c r="U2137" s="144"/>
      <c r="V2137" s="147"/>
      <c r="X2137" s="214"/>
    </row>
    <row r="2138" spans="2:24" ht="10.95" customHeight="1" x14ac:dyDescent="0.25">
      <c r="B2138" s="52"/>
      <c r="C2138" s="166"/>
      <c r="D2138" s="53"/>
      <c r="E2138" s="155"/>
      <c r="F2138" s="167" t="str">
        <f>_xlfn.IFNA(VLOOKUP(E2136,'Data Kyu'!$A$6:$I$471,2,0),"")</f>
        <v/>
      </c>
      <c r="G2138" s="168"/>
      <c r="H2138" s="168"/>
      <c r="I2138" s="168"/>
      <c r="J2138" s="168"/>
      <c r="K2138" s="169"/>
      <c r="L2138" s="146"/>
      <c r="M2138" s="147"/>
      <c r="N2138" s="173" t="s">
        <v>6</v>
      </c>
      <c r="O2138" s="159"/>
      <c r="P2138" s="57"/>
      <c r="Q2138" s="159" t="s">
        <v>7</v>
      </c>
      <c r="R2138" s="159"/>
      <c r="S2138" s="57"/>
      <c r="T2138" s="159" t="s">
        <v>8</v>
      </c>
      <c r="U2138" s="160"/>
      <c r="V2138" s="175"/>
      <c r="X2138" s="214"/>
    </row>
    <row r="2139" spans="2:24" ht="10.95" customHeight="1" x14ac:dyDescent="0.25">
      <c r="B2139" s="54"/>
      <c r="C2139" s="76"/>
      <c r="D2139" s="56"/>
      <c r="E2139" s="156"/>
      <c r="F2139" s="170"/>
      <c r="G2139" s="171"/>
      <c r="H2139" s="171"/>
      <c r="I2139" s="171"/>
      <c r="J2139" s="171"/>
      <c r="K2139" s="172"/>
      <c r="L2139" s="148"/>
      <c r="M2139" s="144"/>
      <c r="N2139" s="174"/>
      <c r="O2139" s="161"/>
      <c r="P2139" s="27"/>
      <c r="Q2139" s="161"/>
      <c r="R2139" s="161"/>
      <c r="S2139" s="27"/>
      <c r="T2139" s="161"/>
      <c r="U2139" s="162"/>
      <c r="V2139" s="176"/>
      <c r="X2139" s="214"/>
    </row>
    <row r="2140" spans="2:24" ht="10.95" customHeight="1" x14ac:dyDescent="0.25">
      <c r="B2140" s="41"/>
      <c r="C2140" s="77"/>
      <c r="D2140" s="42"/>
      <c r="E2140" s="154">
        <f t="shared" ref="E2140" si="138">E2136+1</f>
        <v>275</v>
      </c>
      <c r="F2140" s="145" t="str">
        <f>_xlfn.IFNA(VLOOKUP(E2140,'Data Kyu'!$A$6:$I$471,3,0),"")</f>
        <v/>
      </c>
      <c r="G2140" s="142"/>
      <c r="H2140" s="66"/>
      <c r="I2140" s="66"/>
      <c r="J2140" s="66"/>
      <c r="K2140" s="66"/>
      <c r="L2140" s="145" t="str">
        <f>_xlfn.IFNA(VLOOKUP(E2140,'Data Kyu'!$A$6:$I$471,9,0),"")</f>
        <v/>
      </c>
      <c r="M2140" s="142"/>
      <c r="N2140" s="145" t="str">
        <f>_xlfn.IFNA(VLOOKUP(E2140,'Data Kyu'!$A$6:$I$471,6,0),"")</f>
        <v/>
      </c>
      <c r="O2140" s="141"/>
      <c r="P2140" s="139" t="s">
        <v>5</v>
      </c>
      <c r="Q2140" s="141" t="str">
        <f>_xlfn.IFNA(VLOOKUP(E2140,'Data Kyu'!$A$6:$I$471,7,0),"")</f>
        <v/>
      </c>
      <c r="R2140" s="141"/>
      <c r="S2140" s="139" t="s">
        <v>5</v>
      </c>
      <c r="T2140" s="141" t="str">
        <f>_xlfn.IFNA(VLOOKUP(E2140,'Data Kyu'!$A$6:$I$471,8,0),"")</f>
        <v/>
      </c>
      <c r="U2140" s="142"/>
      <c r="V2140" s="142" t="str">
        <f>_xlfn.IFNA(VLOOKUP(E2140,'Data Kyu'!$A$6:$I$471,4,0),"")</f>
        <v/>
      </c>
      <c r="X2140" s="214" t="str">
        <f>_xlfn.IFNA(VLOOKUP(F2140,'Data Kyu'!$C$6:$N$997,12,0),"No Data")</f>
        <v>No Data</v>
      </c>
    </row>
    <row r="2141" spans="2:24" ht="10.95" customHeight="1" x14ac:dyDescent="0.25">
      <c r="B2141" s="52"/>
      <c r="C2141" s="165" t="str">
        <f>IF(X2140="LULUS","V","")</f>
        <v/>
      </c>
      <c r="D2141" s="53"/>
      <c r="E2141" s="155"/>
      <c r="F2141" s="148"/>
      <c r="G2141" s="144"/>
      <c r="H2141" s="67"/>
      <c r="I2141" s="67"/>
      <c r="J2141" s="67"/>
      <c r="K2141" s="67"/>
      <c r="L2141" s="146"/>
      <c r="M2141" s="147"/>
      <c r="N2141" s="148"/>
      <c r="O2141" s="143"/>
      <c r="P2141" s="140"/>
      <c r="Q2141" s="143"/>
      <c r="R2141" s="143"/>
      <c r="S2141" s="140"/>
      <c r="T2141" s="143"/>
      <c r="U2141" s="144"/>
      <c r="V2141" s="147"/>
      <c r="X2141" s="214"/>
    </row>
    <row r="2142" spans="2:24" ht="10.95" customHeight="1" x14ac:dyDescent="0.25">
      <c r="B2142" s="52"/>
      <c r="C2142" s="166"/>
      <c r="D2142" s="53"/>
      <c r="E2142" s="155"/>
      <c r="F2142" s="167" t="str">
        <f>_xlfn.IFNA(VLOOKUP(E2140,'Data Kyu'!$A$6:$I$471,2,0),"")</f>
        <v/>
      </c>
      <c r="G2142" s="168"/>
      <c r="H2142" s="168"/>
      <c r="I2142" s="168"/>
      <c r="J2142" s="168"/>
      <c r="K2142" s="169"/>
      <c r="L2142" s="146"/>
      <c r="M2142" s="147"/>
      <c r="N2142" s="173" t="s">
        <v>6</v>
      </c>
      <c r="O2142" s="159"/>
      <c r="P2142" s="57"/>
      <c r="Q2142" s="159" t="s">
        <v>7</v>
      </c>
      <c r="R2142" s="159"/>
      <c r="S2142" s="57"/>
      <c r="T2142" s="159" t="s">
        <v>8</v>
      </c>
      <c r="U2142" s="160"/>
      <c r="V2142" s="175"/>
      <c r="X2142" s="214"/>
    </row>
    <row r="2143" spans="2:24" ht="10.95" customHeight="1" x14ac:dyDescent="0.25">
      <c r="B2143" s="54"/>
      <c r="C2143" s="76"/>
      <c r="D2143" s="56"/>
      <c r="E2143" s="156"/>
      <c r="F2143" s="170"/>
      <c r="G2143" s="171"/>
      <c r="H2143" s="171"/>
      <c r="I2143" s="171"/>
      <c r="J2143" s="171"/>
      <c r="K2143" s="172"/>
      <c r="L2143" s="148"/>
      <c r="M2143" s="144"/>
      <c r="N2143" s="174"/>
      <c r="O2143" s="161"/>
      <c r="P2143" s="27"/>
      <c r="Q2143" s="161"/>
      <c r="R2143" s="161"/>
      <c r="S2143" s="27"/>
      <c r="T2143" s="161"/>
      <c r="U2143" s="162"/>
      <c r="V2143" s="176"/>
      <c r="X2143" s="214"/>
    </row>
    <row r="2144" spans="2:24" ht="10.95" customHeight="1" x14ac:dyDescent="0.25">
      <c r="B2144" s="41"/>
      <c r="C2144" s="77"/>
      <c r="D2144" s="42"/>
      <c r="E2144" s="154">
        <f t="shared" ref="E2144" si="139">E2140+1</f>
        <v>276</v>
      </c>
      <c r="F2144" s="145" t="str">
        <f>_xlfn.IFNA(VLOOKUP(E2144,'Data Kyu'!$A$6:$I$471,3,0),"")</f>
        <v/>
      </c>
      <c r="G2144" s="142"/>
      <c r="H2144" s="66"/>
      <c r="I2144" s="66"/>
      <c r="J2144" s="66"/>
      <c r="K2144" s="66"/>
      <c r="L2144" s="145" t="str">
        <f>_xlfn.IFNA(VLOOKUP(E2144,'Data Kyu'!$A$6:$I$471,9,0),"")</f>
        <v/>
      </c>
      <c r="M2144" s="142"/>
      <c r="N2144" s="145" t="str">
        <f>_xlfn.IFNA(VLOOKUP(E2144,'Data Kyu'!$A$6:$I$471,6,0),"")</f>
        <v/>
      </c>
      <c r="O2144" s="141"/>
      <c r="P2144" s="139" t="s">
        <v>5</v>
      </c>
      <c r="Q2144" s="141" t="str">
        <f>_xlfn.IFNA(VLOOKUP(E2144,'Data Kyu'!$A$6:$I$471,7,0),"")</f>
        <v/>
      </c>
      <c r="R2144" s="141"/>
      <c r="S2144" s="139" t="s">
        <v>5</v>
      </c>
      <c r="T2144" s="141" t="str">
        <f>_xlfn.IFNA(VLOOKUP(E2144,'Data Kyu'!$A$6:$I$471,8,0),"")</f>
        <v/>
      </c>
      <c r="U2144" s="142"/>
      <c r="V2144" s="142" t="str">
        <f>_xlfn.IFNA(VLOOKUP(E2144,'Data Kyu'!$A$6:$I$471,4,0),"")</f>
        <v/>
      </c>
      <c r="X2144" s="214" t="str">
        <f>_xlfn.IFNA(VLOOKUP(F2144,'Data Kyu'!$C$6:$N$997,12,0),"No Data")</f>
        <v>No Data</v>
      </c>
    </row>
    <row r="2145" spans="2:24" ht="10.95" customHeight="1" x14ac:dyDescent="0.25">
      <c r="B2145" s="52"/>
      <c r="C2145" s="165" t="str">
        <f>IF(X2144="LULUS","V","")</f>
        <v/>
      </c>
      <c r="D2145" s="53"/>
      <c r="E2145" s="155"/>
      <c r="F2145" s="148"/>
      <c r="G2145" s="144"/>
      <c r="H2145" s="67"/>
      <c r="I2145" s="67"/>
      <c r="J2145" s="67"/>
      <c r="K2145" s="67"/>
      <c r="L2145" s="146"/>
      <c r="M2145" s="147"/>
      <c r="N2145" s="148"/>
      <c r="O2145" s="143"/>
      <c r="P2145" s="140"/>
      <c r="Q2145" s="143"/>
      <c r="R2145" s="143"/>
      <c r="S2145" s="140"/>
      <c r="T2145" s="143"/>
      <c r="U2145" s="144"/>
      <c r="V2145" s="147"/>
      <c r="X2145" s="214"/>
    </row>
    <row r="2146" spans="2:24" ht="10.95" customHeight="1" x14ac:dyDescent="0.25">
      <c r="B2146" s="52"/>
      <c r="C2146" s="166"/>
      <c r="D2146" s="53"/>
      <c r="E2146" s="155"/>
      <c r="F2146" s="167" t="str">
        <f>_xlfn.IFNA(VLOOKUP(E2144,'Data Kyu'!$A$6:$I$471,2,0),"")</f>
        <v/>
      </c>
      <c r="G2146" s="168"/>
      <c r="H2146" s="168"/>
      <c r="I2146" s="168"/>
      <c r="J2146" s="168"/>
      <c r="K2146" s="169"/>
      <c r="L2146" s="146"/>
      <c r="M2146" s="147"/>
      <c r="N2146" s="173" t="s">
        <v>6</v>
      </c>
      <c r="O2146" s="159"/>
      <c r="P2146" s="57"/>
      <c r="Q2146" s="159" t="s">
        <v>7</v>
      </c>
      <c r="R2146" s="159"/>
      <c r="S2146" s="57"/>
      <c r="T2146" s="159" t="s">
        <v>8</v>
      </c>
      <c r="U2146" s="160"/>
      <c r="V2146" s="175"/>
      <c r="X2146" s="214"/>
    </row>
    <row r="2147" spans="2:24" ht="10.95" customHeight="1" x14ac:dyDescent="0.25">
      <c r="B2147" s="54"/>
      <c r="C2147" s="76"/>
      <c r="D2147" s="56"/>
      <c r="E2147" s="156"/>
      <c r="F2147" s="170"/>
      <c r="G2147" s="171"/>
      <c r="H2147" s="171"/>
      <c r="I2147" s="171"/>
      <c r="J2147" s="171"/>
      <c r="K2147" s="172"/>
      <c r="L2147" s="148"/>
      <c r="M2147" s="144"/>
      <c r="N2147" s="174"/>
      <c r="O2147" s="161"/>
      <c r="P2147" s="27"/>
      <c r="Q2147" s="161"/>
      <c r="R2147" s="161"/>
      <c r="S2147" s="27"/>
      <c r="T2147" s="161"/>
      <c r="U2147" s="162"/>
      <c r="V2147" s="176"/>
      <c r="X2147" s="214"/>
    </row>
    <row r="2148" spans="2:24" ht="10.95" customHeight="1" x14ac:dyDescent="0.25">
      <c r="B2148" s="41"/>
      <c r="C2148" s="77"/>
      <c r="D2148" s="42"/>
      <c r="E2148" s="154">
        <f t="shared" ref="E2148" si="140">E2144+1</f>
        <v>277</v>
      </c>
      <c r="F2148" s="145" t="str">
        <f>_xlfn.IFNA(VLOOKUP(E2148,'Data Kyu'!$A$6:$I$471,3,0),"")</f>
        <v/>
      </c>
      <c r="G2148" s="142"/>
      <c r="H2148" s="66"/>
      <c r="I2148" s="66"/>
      <c r="J2148" s="66"/>
      <c r="K2148" s="66"/>
      <c r="L2148" s="145" t="str">
        <f>_xlfn.IFNA(VLOOKUP(E2148,'Data Kyu'!$A$6:$I$471,9,0),"")</f>
        <v/>
      </c>
      <c r="M2148" s="142"/>
      <c r="N2148" s="145" t="str">
        <f>_xlfn.IFNA(VLOOKUP(E2148,'Data Kyu'!$A$6:$I$471,6,0),"")</f>
        <v/>
      </c>
      <c r="O2148" s="141"/>
      <c r="P2148" s="139" t="s">
        <v>5</v>
      </c>
      <c r="Q2148" s="141" t="str">
        <f>_xlfn.IFNA(VLOOKUP(E2148,'Data Kyu'!$A$6:$I$471,7,0),"")</f>
        <v/>
      </c>
      <c r="R2148" s="141"/>
      <c r="S2148" s="139" t="s">
        <v>5</v>
      </c>
      <c r="T2148" s="141" t="str">
        <f>_xlfn.IFNA(VLOOKUP(E2148,'Data Kyu'!$A$6:$I$471,8,0),"")</f>
        <v/>
      </c>
      <c r="U2148" s="142"/>
      <c r="V2148" s="142" t="str">
        <f>_xlfn.IFNA(VLOOKUP(E2148,'Data Kyu'!$A$6:$I$471,4,0),"")</f>
        <v/>
      </c>
      <c r="X2148" s="214" t="str">
        <f>_xlfn.IFNA(VLOOKUP(F2148,'Data Kyu'!$C$6:$N$997,12,0),"No Data")</f>
        <v>No Data</v>
      </c>
    </row>
    <row r="2149" spans="2:24" ht="10.95" customHeight="1" x14ac:dyDescent="0.25">
      <c r="B2149" s="52"/>
      <c r="C2149" s="165" t="str">
        <f>IF(X2148="LULUS","V","")</f>
        <v/>
      </c>
      <c r="D2149" s="53"/>
      <c r="E2149" s="155"/>
      <c r="F2149" s="148"/>
      <c r="G2149" s="144"/>
      <c r="H2149" s="67"/>
      <c r="I2149" s="67"/>
      <c r="J2149" s="67"/>
      <c r="K2149" s="67"/>
      <c r="L2149" s="146"/>
      <c r="M2149" s="147"/>
      <c r="N2149" s="148"/>
      <c r="O2149" s="143"/>
      <c r="P2149" s="140"/>
      <c r="Q2149" s="143"/>
      <c r="R2149" s="143"/>
      <c r="S2149" s="140"/>
      <c r="T2149" s="143"/>
      <c r="U2149" s="144"/>
      <c r="V2149" s="147"/>
      <c r="X2149" s="214"/>
    </row>
    <row r="2150" spans="2:24" ht="10.95" customHeight="1" x14ac:dyDescent="0.25">
      <c r="B2150" s="52"/>
      <c r="C2150" s="166"/>
      <c r="D2150" s="53"/>
      <c r="E2150" s="155"/>
      <c r="F2150" s="167" t="str">
        <f>_xlfn.IFNA(VLOOKUP(E2148,'Data Kyu'!$A$6:$I$471,2,0),"")</f>
        <v/>
      </c>
      <c r="G2150" s="168"/>
      <c r="H2150" s="168"/>
      <c r="I2150" s="168"/>
      <c r="J2150" s="168"/>
      <c r="K2150" s="169"/>
      <c r="L2150" s="146"/>
      <c r="M2150" s="147"/>
      <c r="N2150" s="173" t="s">
        <v>6</v>
      </c>
      <c r="O2150" s="159"/>
      <c r="P2150" s="57"/>
      <c r="Q2150" s="159" t="s">
        <v>7</v>
      </c>
      <c r="R2150" s="159"/>
      <c r="S2150" s="57"/>
      <c r="T2150" s="159" t="s">
        <v>8</v>
      </c>
      <c r="U2150" s="160"/>
      <c r="V2150" s="175"/>
      <c r="X2150" s="214"/>
    </row>
    <row r="2151" spans="2:24" ht="10.95" customHeight="1" x14ac:dyDescent="0.25">
      <c r="B2151" s="54"/>
      <c r="C2151" s="76"/>
      <c r="D2151" s="56"/>
      <c r="E2151" s="156"/>
      <c r="F2151" s="170"/>
      <c r="G2151" s="171"/>
      <c r="H2151" s="171"/>
      <c r="I2151" s="171"/>
      <c r="J2151" s="171"/>
      <c r="K2151" s="172"/>
      <c r="L2151" s="148"/>
      <c r="M2151" s="144"/>
      <c r="N2151" s="174"/>
      <c r="O2151" s="161"/>
      <c r="P2151" s="27"/>
      <c r="Q2151" s="161"/>
      <c r="R2151" s="161"/>
      <c r="S2151" s="27"/>
      <c r="T2151" s="161"/>
      <c r="U2151" s="162"/>
      <c r="V2151" s="176"/>
      <c r="X2151" s="214"/>
    </row>
    <row r="2152" spans="2:24" ht="10.95" customHeight="1" x14ac:dyDescent="0.25">
      <c r="B2152" s="41"/>
      <c r="C2152" s="77"/>
      <c r="D2152" s="42"/>
      <c r="E2152" s="154">
        <f t="shared" ref="E2152" si="141">E2148+1</f>
        <v>278</v>
      </c>
      <c r="F2152" s="145" t="str">
        <f>_xlfn.IFNA(VLOOKUP(E2152,'Data Kyu'!$A$6:$I$471,3,0),"")</f>
        <v/>
      </c>
      <c r="G2152" s="142"/>
      <c r="H2152" s="66"/>
      <c r="I2152" s="66"/>
      <c r="J2152" s="66"/>
      <c r="K2152" s="66"/>
      <c r="L2152" s="145" t="str">
        <f>_xlfn.IFNA(VLOOKUP(E2152,'Data Kyu'!$A$6:$I$471,9,0),"")</f>
        <v/>
      </c>
      <c r="M2152" s="142"/>
      <c r="N2152" s="145" t="str">
        <f>_xlfn.IFNA(VLOOKUP(E2152,'Data Kyu'!$A$6:$I$471,6,0),"")</f>
        <v/>
      </c>
      <c r="O2152" s="141"/>
      <c r="P2152" s="139" t="s">
        <v>5</v>
      </c>
      <c r="Q2152" s="141" t="str">
        <f>_xlfn.IFNA(VLOOKUP(E2152,'Data Kyu'!$A$6:$I$471,7,0),"")</f>
        <v/>
      </c>
      <c r="R2152" s="141"/>
      <c r="S2152" s="139" t="s">
        <v>5</v>
      </c>
      <c r="T2152" s="141" t="str">
        <f>_xlfn.IFNA(VLOOKUP(E2152,'Data Kyu'!$A$6:$I$471,8,0),"")</f>
        <v/>
      </c>
      <c r="U2152" s="142"/>
      <c r="V2152" s="142" t="str">
        <f>_xlfn.IFNA(VLOOKUP(E2152,'Data Kyu'!$A$6:$I$471,4,0),"")</f>
        <v/>
      </c>
      <c r="X2152" s="214" t="str">
        <f>_xlfn.IFNA(VLOOKUP(F2152,'Data Kyu'!$C$6:$N$997,12,0),"No Data")</f>
        <v>No Data</v>
      </c>
    </row>
    <row r="2153" spans="2:24" ht="10.95" customHeight="1" x14ac:dyDescent="0.25">
      <c r="B2153" s="52"/>
      <c r="C2153" s="165" t="str">
        <f>IF(X2152="LULUS","V","")</f>
        <v/>
      </c>
      <c r="D2153" s="53"/>
      <c r="E2153" s="155"/>
      <c r="F2153" s="148"/>
      <c r="G2153" s="144"/>
      <c r="H2153" s="67"/>
      <c r="I2153" s="67"/>
      <c r="J2153" s="67"/>
      <c r="K2153" s="67"/>
      <c r="L2153" s="146"/>
      <c r="M2153" s="147"/>
      <c r="N2153" s="148"/>
      <c r="O2153" s="143"/>
      <c r="P2153" s="140"/>
      <c r="Q2153" s="143"/>
      <c r="R2153" s="143"/>
      <c r="S2153" s="140"/>
      <c r="T2153" s="143"/>
      <c r="U2153" s="144"/>
      <c r="V2153" s="147"/>
      <c r="X2153" s="214"/>
    </row>
    <row r="2154" spans="2:24" ht="10.95" customHeight="1" x14ac:dyDescent="0.25">
      <c r="B2154" s="52"/>
      <c r="C2154" s="166"/>
      <c r="D2154" s="53"/>
      <c r="E2154" s="155"/>
      <c r="F2154" s="167" t="str">
        <f>_xlfn.IFNA(VLOOKUP(E2152,'Data Kyu'!$A$6:$I$471,2,0),"")</f>
        <v/>
      </c>
      <c r="G2154" s="168"/>
      <c r="H2154" s="168"/>
      <c r="I2154" s="168"/>
      <c r="J2154" s="168"/>
      <c r="K2154" s="169"/>
      <c r="L2154" s="146"/>
      <c r="M2154" s="147"/>
      <c r="N2154" s="173" t="s">
        <v>6</v>
      </c>
      <c r="O2154" s="159"/>
      <c r="P2154" s="57"/>
      <c r="Q2154" s="159" t="s">
        <v>7</v>
      </c>
      <c r="R2154" s="159"/>
      <c r="S2154" s="57"/>
      <c r="T2154" s="159" t="s">
        <v>8</v>
      </c>
      <c r="U2154" s="160"/>
      <c r="V2154" s="175"/>
      <c r="X2154" s="214"/>
    </row>
    <row r="2155" spans="2:24" ht="10.95" customHeight="1" x14ac:dyDescent="0.25">
      <c r="B2155" s="54"/>
      <c r="C2155" s="76"/>
      <c r="D2155" s="56"/>
      <c r="E2155" s="156"/>
      <c r="F2155" s="170"/>
      <c r="G2155" s="171"/>
      <c r="H2155" s="171"/>
      <c r="I2155" s="171"/>
      <c r="J2155" s="171"/>
      <c r="K2155" s="172"/>
      <c r="L2155" s="148"/>
      <c r="M2155" s="144"/>
      <c r="N2155" s="174"/>
      <c r="O2155" s="161"/>
      <c r="P2155" s="27"/>
      <c r="Q2155" s="161"/>
      <c r="R2155" s="161"/>
      <c r="S2155" s="27"/>
      <c r="T2155" s="161"/>
      <c r="U2155" s="162"/>
      <c r="V2155" s="176"/>
      <c r="X2155" s="214"/>
    </row>
    <row r="2156" spans="2:24" ht="10.95" customHeight="1" x14ac:dyDescent="0.25">
      <c r="B2156" s="41"/>
      <c r="C2156" s="77"/>
      <c r="D2156" s="42"/>
      <c r="E2156" s="154">
        <f t="shared" ref="E2156" si="142">E2152+1</f>
        <v>279</v>
      </c>
      <c r="F2156" s="145" t="str">
        <f>_xlfn.IFNA(VLOOKUP(E2156,'Data Kyu'!$A$6:$I$471,3,0),"")</f>
        <v/>
      </c>
      <c r="G2156" s="142"/>
      <c r="H2156" s="66"/>
      <c r="I2156" s="66"/>
      <c r="J2156" s="66"/>
      <c r="K2156" s="66"/>
      <c r="L2156" s="145" t="str">
        <f>_xlfn.IFNA(VLOOKUP(E2156,'Data Kyu'!$A$6:$I$471,9,0),"")</f>
        <v/>
      </c>
      <c r="M2156" s="142"/>
      <c r="N2156" s="145" t="str">
        <f>_xlfn.IFNA(VLOOKUP(E2156,'Data Kyu'!$A$6:$I$471,6,0),"")</f>
        <v/>
      </c>
      <c r="O2156" s="141"/>
      <c r="P2156" s="139" t="s">
        <v>5</v>
      </c>
      <c r="Q2156" s="141" t="str">
        <f>_xlfn.IFNA(VLOOKUP(E2156,'Data Kyu'!$A$6:$I$471,7,0),"")</f>
        <v/>
      </c>
      <c r="R2156" s="141"/>
      <c r="S2156" s="139" t="s">
        <v>5</v>
      </c>
      <c r="T2156" s="141" t="str">
        <f>_xlfn.IFNA(VLOOKUP(E2156,'Data Kyu'!$A$6:$I$471,8,0),"")</f>
        <v/>
      </c>
      <c r="U2156" s="142"/>
      <c r="V2156" s="142" t="str">
        <f>_xlfn.IFNA(VLOOKUP(E2156,'Data Kyu'!$A$6:$I$471,4,0),"")</f>
        <v/>
      </c>
      <c r="X2156" s="214" t="str">
        <f>_xlfn.IFNA(VLOOKUP(F2156,'Data Kyu'!$C$6:$N$997,12,0),"No Data")</f>
        <v>No Data</v>
      </c>
    </row>
    <row r="2157" spans="2:24" ht="10.95" customHeight="1" x14ac:dyDescent="0.25">
      <c r="B2157" s="52"/>
      <c r="C2157" s="165" t="str">
        <f>IF(X2156="LULUS","V","")</f>
        <v/>
      </c>
      <c r="D2157" s="53"/>
      <c r="E2157" s="155"/>
      <c r="F2157" s="148"/>
      <c r="G2157" s="144"/>
      <c r="H2157" s="67"/>
      <c r="I2157" s="67"/>
      <c r="J2157" s="67"/>
      <c r="K2157" s="67"/>
      <c r="L2157" s="146"/>
      <c r="M2157" s="147"/>
      <c r="N2157" s="148"/>
      <c r="O2157" s="143"/>
      <c r="P2157" s="140"/>
      <c r="Q2157" s="143"/>
      <c r="R2157" s="143"/>
      <c r="S2157" s="140"/>
      <c r="T2157" s="143"/>
      <c r="U2157" s="144"/>
      <c r="V2157" s="147"/>
      <c r="X2157" s="214"/>
    </row>
    <row r="2158" spans="2:24" ht="10.95" customHeight="1" x14ac:dyDescent="0.25">
      <c r="B2158" s="52"/>
      <c r="C2158" s="166"/>
      <c r="D2158" s="53"/>
      <c r="E2158" s="155"/>
      <c r="F2158" s="167" t="str">
        <f>_xlfn.IFNA(VLOOKUP(E2156,'Data Kyu'!$A$6:$I$471,2,0),"")</f>
        <v/>
      </c>
      <c r="G2158" s="168"/>
      <c r="H2158" s="168"/>
      <c r="I2158" s="168"/>
      <c r="J2158" s="168"/>
      <c r="K2158" s="169"/>
      <c r="L2158" s="146"/>
      <c r="M2158" s="147"/>
      <c r="N2158" s="173" t="s">
        <v>6</v>
      </c>
      <c r="O2158" s="159"/>
      <c r="P2158" s="57"/>
      <c r="Q2158" s="159" t="s">
        <v>7</v>
      </c>
      <c r="R2158" s="159"/>
      <c r="S2158" s="57"/>
      <c r="T2158" s="159" t="s">
        <v>8</v>
      </c>
      <c r="U2158" s="160"/>
      <c r="V2158" s="175"/>
      <c r="X2158" s="214"/>
    </row>
    <row r="2159" spans="2:24" ht="10.95" customHeight="1" x14ac:dyDescent="0.25">
      <c r="B2159" s="54"/>
      <c r="C2159" s="76"/>
      <c r="D2159" s="56"/>
      <c r="E2159" s="156"/>
      <c r="F2159" s="170"/>
      <c r="G2159" s="171"/>
      <c r="H2159" s="171"/>
      <c r="I2159" s="171"/>
      <c r="J2159" s="171"/>
      <c r="K2159" s="172"/>
      <c r="L2159" s="148"/>
      <c r="M2159" s="144"/>
      <c r="N2159" s="174"/>
      <c r="O2159" s="161"/>
      <c r="P2159" s="27"/>
      <c r="Q2159" s="161"/>
      <c r="R2159" s="161"/>
      <c r="S2159" s="27"/>
      <c r="T2159" s="161"/>
      <c r="U2159" s="162"/>
      <c r="V2159" s="176"/>
      <c r="X2159" s="214"/>
    </row>
    <row r="2160" spans="2:24" ht="10.95" customHeight="1" x14ac:dyDescent="0.25">
      <c r="B2160" s="41"/>
      <c r="C2160" s="77"/>
      <c r="D2160" s="42"/>
      <c r="E2160" s="154">
        <f t="shared" ref="E2160" si="143">E2156+1</f>
        <v>280</v>
      </c>
      <c r="F2160" s="145" t="str">
        <f>_xlfn.IFNA(VLOOKUP(E2160,'Data Kyu'!$A$6:$I$471,3,0),"")</f>
        <v/>
      </c>
      <c r="G2160" s="142"/>
      <c r="H2160" s="66"/>
      <c r="I2160" s="66"/>
      <c r="J2160" s="66"/>
      <c r="K2160" s="66"/>
      <c r="L2160" s="145" t="str">
        <f>_xlfn.IFNA(VLOOKUP(E2160,'Data Kyu'!$A$6:$I$471,9,0),"")</f>
        <v/>
      </c>
      <c r="M2160" s="142"/>
      <c r="N2160" s="145" t="str">
        <f>_xlfn.IFNA(VLOOKUP(E2160,'Data Kyu'!$A$6:$I$471,6,0),"")</f>
        <v/>
      </c>
      <c r="O2160" s="141"/>
      <c r="P2160" s="139" t="s">
        <v>5</v>
      </c>
      <c r="Q2160" s="141" t="str">
        <f>_xlfn.IFNA(VLOOKUP(E2160,'Data Kyu'!$A$6:$I$471,7,0),"")</f>
        <v/>
      </c>
      <c r="R2160" s="141"/>
      <c r="S2160" s="139" t="s">
        <v>5</v>
      </c>
      <c r="T2160" s="141" t="str">
        <f>_xlfn.IFNA(VLOOKUP(E2160,'Data Kyu'!$A$6:$I$471,8,0),"")</f>
        <v/>
      </c>
      <c r="U2160" s="142"/>
      <c r="V2160" s="142" t="str">
        <f>_xlfn.IFNA(VLOOKUP(E2160,'Data Kyu'!$A$6:$I$471,4,0),"")</f>
        <v/>
      </c>
      <c r="X2160" s="214" t="str">
        <f>_xlfn.IFNA(VLOOKUP(F2160,'Data Kyu'!$C$6:$N$997,12,0),"No Data")</f>
        <v>No Data</v>
      </c>
    </row>
    <row r="2161" spans="2:24" ht="10.95" customHeight="1" x14ac:dyDescent="0.25">
      <c r="B2161" s="52"/>
      <c r="C2161" s="165" t="str">
        <f>IF(X2160="LULUS","V","")</f>
        <v/>
      </c>
      <c r="D2161" s="53"/>
      <c r="E2161" s="155"/>
      <c r="F2161" s="148"/>
      <c r="G2161" s="144"/>
      <c r="H2161" s="67"/>
      <c r="I2161" s="67"/>
      <c r="J2161" s="67"/>
      <c r="K2161" s="67"/>
      <c r="L2161" s="146"/>
      <c r="M2161" s="147"/>
      <c r="N2161" s="148"/>
      <c r="O2161" s="143"/>
      <c r="P2161" s="140"/>
      <c r="Q2161" s="143"/>
      <c r="R2161" s="143"/>
      <c r="S2161" s="140"/>
      <c r="T2161" s="143"/>
      <c r="U2161" s="144"/>
      <c r="V2161" s="147"/>
      <c r="X2161" s="214"/>
    </row>
    <row r="2162" spans="2:24" ht="10.95" customHeight="1" x14ac:dyDescent="0.25">
      <c r="B2162" s="52"/>
      <c r="C2162" s="166"/>
      <c r="D2162" s="53"/>
      <c r="E2162" s="155"/>
      <c r="F2162" s="167" t="str">
        <f>_xlfn.IFNA(VLOOKUP(E2160,'Data Kyu'!$A$6:$I$471,2,0),"")</f>
        <v/>
      </c>
      <c r="G2162" s="168"/>
      <c r="H2162" s="168"/>
      <c r="I2162" s="168"/>
      <c r="J2162" s="168"/>
      <c r="K2162" s="169"/>
      <c r="L2162" s="146"/>
      <c r="M2162" s="147"/>
      <c r="N2162" s="173" t="s">
        <v>6</v>
      </c>
      <c r="O2162" s="159"/>
      <c r="P2162" s="57"/>
      <c r="Q2162" s="159" t="s">
        <v>7</v>
      </c>
      <c r="R2162" s="159"/>
      <c r="S2162" s="57"/>
      <c r="T2162" s="159" t="s">
        <v>8</v>
      </c>
      <c r="U2162" s="160"/>
      <c r="V2162" s="175"/>
      <c r="X2162" s="214"/>
    </row>
    <row r="2163" spans="2:24" ht="10.95" customHeight="1" x14ac:dyDescent="0.25">
      <c r="B2163" s="54"/>
      <c r="C2163" s="55"/>
      <c r="D2163" s="56"/>
      <c r="E2163" s="156"/>
      <c r="F2163" s="170"/>
      <c r="G2163" s="171"/>
      <c r="H2163" s="171"/>
      <c r="I2163" s="171"/>
      <c r="J2163" s="171"/>
      <c r="K2163" s="172"/>
      <c r="L2163" s="148"/>
      <c r="M2163" s="144"/>
      <c r="N2163" s="174"/>
      <c r="O2163" s="161"/>
      <c r="P2163" s="27"/>
      <c r="Q2163" s="161"/>
      <c r="R2163" s="161"/>
      <c r="S2163" s="27"/>
      <c r="T2163" s="161"/>
      <c r="U2163" s="162"/>
      <c r="V2163" s="176"/>
      <c r="X2163" s="214"/>
    </row>
    <row r="2164" spans="2:24" ht="7.5" customHeight="1" x14ac:dyDescent="0.25"/>
    <row r="2165" spans="2:24" s="34" customFormat="1" x14ac:dyDescent="0.25">
      <c r="E2165" s="35" t="s">
        <v>30</v>
      </c>
      <c r="K2165" s="35" t="s">
        <v>28</v>
      </c>
    </row>
    <row r="2166" spans="2:24" x14ac:dyDescent="0.25">
      <c r="E2166" s="33" t="s">
        <v>31</v>
      </c>
      <c r="F2166" s="149"/>
      <c r="G2166" s="149"/>
      <c r="H2166" s="149"/>
      <c r="I2166" s="149"/>
      <c r="J2166" s="149"/>
      <c r="K2166" s="33" t="s">
        <v>29</v>
      </c>
      <c r="L2166" s="12"/>
      <c r="M2166" s="12"/>
      <c r="N2166" s="12"/>
      <c r="O2166" s="12"/>
      <c r="P2166" s="12"/>
      <c r="Q2166" s="12"/>
      <c r="R2166" s="12"/>
      <c r="S2166" s="12"/>
      <c r="T2166" s="12"/>
      <c r="U2166" s="12"/>
      <c r="V2166" s="12"/>
    </row>
    <row r="2167" spans="2:24" ht="6.75" customHeight="1" x14ac:dyDescent="0.25">
      <c r="F2167" s="34"/>
      <c r="G2167" s="34"/>
      <c r="H2167" s="34"/>
      <c r="I2167" s="34"/>
      <c r="J2167" s="34"/>
    </row>
    <row r="2168" spans="2:24" s="34" customFormat="1" x14ac:dyDescent="0.25">
      <c r="E2168" s="35" t="s">
        <v>32</v>
      </c>
      <c r="K2168" s="35" t="s">
        <v>36</v>
      </c>
    </row>
    <row r="2169" spans="2:24" x14ac:dyDescent="0.25">
      <c r="E2169" s="33" t="s">
        <v>33</v>
      </c>
      <c r="F2169" s="149"/>
      <c r="G2169" s="149"/>
      <c r="H2169" s="149"/>
      <c r="I2169" s="149"/>
      <c r="J2169" s="149"/>
      <c r="K2169" s="33" t="s">
        <v>29</v>
      </c>
      <c r="L2169" s="12"/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</row>
    <row r="2170" spans="2:24" ht="6.75" customHeight="1" x14ac:dyDescent="0.25">
      <c r="F2170" s="34"/>
      <c r="G2170" s="34"/>
      <c r="H2170" s="34"/>
      <c r="I2170" s="34"/>
      <c r="J2170" s="34"/>
    </row>
    <row r="2171" spans="2:24" s="34" customFormat="1" ht="13.8" x14ac:dyDescent="0.25">
      <c r="E2171" s="35" t="s">
        <v>34</v>
      </c>
      <c r="F2171" s="177" t="str">
        <f>IF(F2124&lt;&gt;"",$F$65,"")</f>
        <v/>
      </c>
      <c r="G2171" s="177"/>
      <c r="H2171" s="177"/>
      <c r="I2171" s="177"/>
      <c r="J2171" s="177"/>
      <c r="K2171" s="35" t="s">
        <v>28</v>
      </c>
      <c r="X2171" s="70" t="s">
        <v>107</v>
      </c>
    </row>
    <row r="2172" spans="2:24" ht="13.8" x14ac:dyDescent="0.25">
      <c r="E2172" s="33" t="s">
        <v>35</v>
      </c>
      <c r="F2172" s="178"/>
      <c r="G2172" s="178"/>
      <c r="H2172" s="178"/>
      <c r="I2172" s="178"/>
      <c r="J2172" s="178"/>
      <c r="K2172" s="33" t="s">
        <v>29</v>
      </c>
      <c r="L2172" s="12"/>
      <c r="M2172" s="12"/>
      <c r="N2172" s="12"/>
      <c r="O2172" s="12"/>
      <c r="P2172" s="12"/>
      <c r="Q2172" s="12"/>
      <c r="R2172" s="12"/>
      <c r="S2172" s="12"/>
      <c r="T2172" s="12"/>
      <c r="U2172" s="12"/>
      <c r="V2172" s="12"/>
      <c r="X2172" s="70" t="s">
        <v>105</v>
      </c>
    </row>
    <row r="2173" spans="2:24" ht="12.75" customHeight="1" thickBot="1" x14ac:dyDescent="0.3"/>
    <row r="2174" spans="2:24" ht="13.8" thickTop="1" x14ac:dyDescent="0.25">
      <c r="B2174" s="34" t="s">
        <v>37</v>
      </c>
      <c r="C2174" s="34"/>
      <c r="D2174" s="34"/>
      <c r="H2174" s="150" t="s">
        <v>40</v>
      </c>
      <c r="I2174" s="151"/>
      <c r="J2174" s="151"/>
      <c r="K2174" s="151"/>
      <c r="L2174" s="151"/>
      <c r="M2174" s="151"/>
      <c r="N2174" s="151"/>
      <c r="O2174" s="151"/>
      <c r="P2174" s="151"/>
      <c r="Q2174" s="151"/>
      <c r="R2174" s="151"/>
      <c r="S2174" s="151"/>
      <c r="T2174" s="151"/>
      <c r="U2174" s="151"/>
      <c r="V2174" s="151"/>
    </row>
    <row r="2175" spans="2:24" x14ac:dyDescent="0.25">
      <c r="B2175" s="34" t="s">
        <v>38</v>
      </c>
      <c r="C2175" s="34"/>
      <c r="D2175" s="34"/>
      <c r="H2175" s="152"/>
      <c r="I2175" s="153"/>
      <c r="J2175" s="153"/>
      <c r="K2175" s="153"/>
      <c r="L2175" s="153"/>
      <c r="M2175" s="153"/>
      <c r="N2175" s="153"/>
      <c r="O2175" s="153"/>
      <c r="P2175" s="153"/>
      <c r="Q2175" s="153"/>
      <c r="R2175" s="153"/>
      <c r="S2175" s="153"/>
      <c r="T2175" s="153"/>
      <c r="U2175" s="153"/>
      <c r="V2175" s="153"/>
    </row>
    <row r="2176" spans="2:24" ht="12.75" customHeight="1" x14ac:dyDescent="0.25">
      <c r="B2176" s="163" t="s">
        <v>39</v>
      </c>
      <c r="C2176" s="163"/>
      <c r="D2176" s="163"/>
      <c r="E2176" s="163"/>
      <c r="F2176" s="163"/>
      <c r="H2176" s="37" t="s">
        <v>41</v>
      </c>
    </row>
    <row r="2177" spans="2:24" ht="13.8" x14ac:dyDescent="0.25">
      <c r="B2177" s="163"/>
      <c r="C2177" s="163"/>
      <c r="D2177" s="163"/>
      <c r="E2177" s="163"/>
      <c r="F2177" s="163"/>
      <c r="H2177" s="38" t="s">
        <v>42</v>
      </c>
    </row>
    <row r="2178" spans="2:24" x14ac:dyDescent="0.25">
      <c r="B2178" s="163"/>
      <c r="C2178" s="163"/>
      <c r="D2178" s="163"/>
      <c r="E2178" s="163"/>
      <c r="F2178" s="163"/>
      <c r="H2178" s="36"/>
    </row>
    <row r="2179" spans="2:24" x14ac:dyDescent="0.25">
      <c r="B2179" s="163"/>
      <c r="C2179" s="163"/>
      <c r="D2179" s="163"/>
      <c r="E2179" s="163"/>
      <c r="F2179" s="163"/>
      <c r="H2179" s="36"/>
    </row>
    <row r="2180" spans="2:24" x14ac:dyDescent="0.25">
      <c r="H2180" s="36"/>
    </row>
    <row r="2181" spans="2:24" x14ac:dyDescent="0.25">
      <c r="H2181" s="36"/>
    </row>
    <row r="2182" spans="2:24" x14ac:dyDescent="0.25">
      <c r="H2182" s="36"/>
    </row>
    <row r="2183" spans="2:24" x14ac:dyDescent="0.25">
      <c r="H2183" s="36"/>
    </row>
    <row r="2184" spans="2:24" ht="13.8" x14ac:dyDescent="0.25">
      <c r="H2184" s="157" t="str">
        <f>IF(F2124&lt;&gt;"",$H$78,"")</f>
        <v/>
      </c>
      <c r="I2184" s="158"/>
      <c r="J2184" s="158"/>
      <c r="K2184" s="158"/>
      <c r="L2184" s="158"/>
      <c r="M2184" s="158"/>
      <c r="N2184" s="158"/>
      <c r="O2184" s="158"/>
      <c r="P2184" s="158"/>
      <c r="Q2184" s="158"/>
      <c r="R2184" s="158"/>
      <c r="S2184" s="158"/>
      <c r="T2184" s="158"/>
      <c r="U2184" s="158"/>
      <c r="V2184" s="158"/>
    </row>
    <row r="2185" spans="2:24" x14ac:dyDescent="0.25">
      <c r="H2185" s="36"/>
    </row>
    <row r="2186" spans="2:24" ht="28.5" customHeight="1" x14ac:dyDescent="0.3">
      <c r="B2186" s="193" t="s">
        <v>43</v>
      </c>
      <c r="C2186" s="193"/>
      <c r="D2186" s="193"/>
      <c r="E2186" s="194"/>
      <c r="F2186" s="194"/>
      <c r="G2186" s="194"/>
      <c r="H2186" s="194"/>
      <c r="I2186" s="2"/>
      <c r="J2186" s="2"/>
      <c r="K2186" s="13" t="s">
        <v>25</v>
      </c>
      <c r="L2186" s="195" t="s">
        <v>14</v>
      </c>
      <c r="M2186" s="196"/>
      <c r="N2186" s="196"/>
      <c r="O2186" s="196"/>
      <c r="P2186" s="196"/>
      <c r="Q2186" s="196"/>
      <c r="R2186" s="196"/>
      <c r="S2186" s="196"/>
      <c r="T2186" s="196"/>
      <c r="U2186" s="196"/>
      <c r="V2186" s="197"/>
      <c r="X2186" s="1"/>
    </row>
    <row r="2187" spans="2:24" ht="26.25" customHeight="1" x14ac:dyDescent="0.4">
      <c r="B2187" s="39" t="s">
        <v>44</v>
      </c>
      <c r="C2187" s="39"/>
      <c r="D2187" s="39"/>
      <c r="E2187" s="2"/>
      <c r="F2187" s="2"/>
      <c r="G2187" s="2"/>
      <c r="H2187" s="2"/>
      <c r="I2187" s="2"/>
      <c r="J2187" s="2"/>
      <c r="K2187" s="29" t="s">
        <v>13</v>
      </c>
      <c r="L2187" s="15">
        <v>4</v>
      </c>
      <c r="M2187" s="16">
        <v>1</v>
      </c>
      <c r="N2187" s="15">
        <v>0</v>
      </c>
      <c r="O2187" s="198">
        <v>0</v>
      </c>
      <c r="P2187" s="199"/>
      <c r="Q2187" s="14">
        <v>0</v>
      </c>
      <c r="R2187" s="200">
        <v>1</v>
      </c>
      <c r="S2187" s="201"/>
      <c r="T2187" s="6"/>
      <c r="U2187" s="6"/>
      <c r="V2187" s="7"/>
      <c r="X2187" s="1"/>
    </row>
    <row r="2188" spans="2:24" ht="21" customHeight="1" x14ac:dyDescent="0.25">
      <c r="B2188" s="26" t="s">
        <v>45</v>
      </c>
      <c r="C2188" s="26"/>
      <c r="D2188" s="26"/>
      <c r="E2188" s="25"/>
      <c r="F2188" s="25"/>
      <c r="G2188" s="25"/>
      <c r="H2188" s="25"/>
      <c r="I2188" s="25"/>
      <c r="J2188" s="25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X2188" s="1"/>
    </row>
    <row r="2189" spans="2:24" ht="13.5" customHeight="1" x14ac:dyDescent="0.25">
      <c r="B2189" s="40" t="s">
        <v>24</v>
      </c>
      <c r="C2189" s="40"/>
      <c r="D2189" s="40"/>
      <c r="E2189" s="25"/>
      <c r="F2189" s="25"/>
      <c r="G2189" s="25"/>
      <c r="H2189" s="25"/>
      <c r="I2189" s="25"/>
      <c r="J2189" s="25"/>
      <c r="K2189" s="28" t="s">
        <v>6</v>
      </c>
      <c r="L2189" s="202" t="str">
        <f>IF(F2202&lt;&gt;"",$L$5,"")</f>
        <v/>
      </c>
      <c r="M2189" s="203"/>
      <c r="N2189" s="204" t="s">
        <v>15</v>
      </c>
      <c r="O2189" s="204"/>
      <c r="P2189" s="204"/>
      <c r="Q2189" s="205" t="str">
        <f>IF(F2202&lt;&gt;"",$Q$5,"")</f>
        <v/>
      </c>
      <c r="R2189" s="206"/>
      <c r="S2189" s="207" t="s">
        <v>16</v>
      </c>
      <c r="T2189" s="204"/>
      <c r="U2189" s="82" t="str">
        <f>IF(F2202&lt;&gt;"",$U$5,"")</f>
        <v/>
      </c>
      <c r="V2189" s="63"/>
      <c r="X2189" s="1"/>
    </row>
    <row r="2190" spans="2:24" ht="8.25" customHeight="1" x14ac:dyDescent="0.25"/>
    <row r="2191" spans="2:24" ht="11.25" customHeight="1" x14ac:dyDescent="0.25">
      <c r="B2191" s="24" t="s">
        <v>17</v>
      </c>
      <c r="C2191" s="24"/>
      <c r="D2191" s="24"/>
    </row>
    <row r="2192" spans="2:24" ht="11.25" customHeight="1" x14ac:dyDescent="0.25">
      <c r="B2192" s="8" t="s">
        <v>18</v>
      </c>
      <c r="C2192" s="8"/>
      <c r="D2192" s="8"/>
    </row>
    <row r="2193" spans="2:24" ht="5.25" customHeight="1" x14ac:dyDescent="0.25">
      <c r="B2193" s="8"/>
      <c r="C2193" s="8"/>
      <c r="D2193" s="8"/>
    </row>
    <row r="2194" spans="2:24" x14ac:dyDescent="0.25">
      <c r="B2194" s="179" t="s">
        <v>19</v>
      </c>
      <c r="C2194" s="179"/>
      <c r="D2194" s="179"/>
      <c r="E2194" s="179"/>
      <c r="F2194" s="179"/>
      <c r="G2194" s="18" t="s">
        <v>6</v>
      </c>
      <c r="H2194" s="64" t="str">
        <f>IF(F2202&lt;&gt;"",$H$10,"")</f>
        <v/>
      </c>
      <c r="I2194" s="9" t="s">
        <v>15</v>
      </c>
      <c r="J2194" s="83" t="str">
        <f>IF(F2202&lt;&gt;"",$J$10,"")</f>
        <v/>
      </c>
      <c r="K2194" s="9" t="s">
        <v>16</v>
      </c>
      <c r="L2194" s="180" t="str">
        <f>IF(F2202&lt;&gt;"",$L$10,"")</f>
        <v/>
      </c>
      <c r="M2194" s="181"/>
      <c r="X2194" s="32"/>
    </row>
    <row r="2195" spans="2:24" ht="5.25" customHeight="1" x14ac:dyDescent="0.25">
      <c r="B2195" s="8"/>
      <c r="C2195" s="8"/>
      <c r="D2195" s="8"/>
      <c r="E2195" s="8"/>
      <c r="F2195" s="8"/>
      <c r="G2195" s="19"/>
      <c r="H2195" s="20"/>
      <c r="I2195" s="21"/>
      <c r="J2195" s="20"/>
      <c r="K2195" s="10"/>
      <c r="L2195" s="22"/>
      <c r="X2195" s="32"/>
    </row>
    <row r="2196" spans="2:24" s="73" customFormat="1" ht="14.4" customHeight="1" x14ac:dyDescent="0.25">
      <c r="B2196" s="72" t="s">
        <v>20</v>
      </c>
      <c r="C2196" s="72"/>
      <c r="D2196" s="72"/>
      <c r="X2196" s="74"/>
    </row>
    <row r="2197" spans="2:24" s="73" customFormat="1" ht="14.4" customHeight="1" x14ac:dyDescent="0.25">
      <c r="B2197" s="75" t="s">
        <v>21</v>
      </c>
      <c r="C2197" s="10"/>
      <c r="D2197" s="10"/>
      <c r="E2197" s="22" t="s">
        <v>22</v>
      </c>
      <c r="X2197" s="74"/>
    </row>
    <row r="2198" spans="2:24" s="73" customFormat="1" ht="14.4" customHeight="1" x14ac:dyDescent="0.25">
      <c r="B2198" s="22"/>
      <c r="C2198" s="22"/>
      <c r="D2198" s="22"/>
      <c r="E2198" s="22" t="s">
        <v>23</v>
      </c>
      <c r="X2198" s="164" t="s">
        <v>102</v>
      </c>
    </row>
    <row r="2199" spans="2:24" ht="7.5" customHeight="1" x14ac:dyDescent="0.25">
      <c r="B2199" s="8"/>
      <c r="C2199" s="8"/>
      <c r="D2199" s="8"/>
      <c r="X2199" s="164"/>
    </row>
    <row r="2200" spans="2:24" ht="17.25" customHeight="1" x14ac:dyDescent="0.25">
      <c r="B2200" s="182"/>
      <c r="C2200" s="59"/>
      <c r="D2200" s="60"/>
      <c r="E2200" s="184" t="s">
        <v>0</v>
      </c>
      <c r="F2200" s="186" t="s">
        <v>1</v>
      </c>
      <c r="G2200" s="187"/>
      <c r="H2200" s="4"/>
      <c r="I2200" s="4"/>
      <c r="J2200" s="4"/>
      <c r="K2200" s="5"/>
      <c r="L2200" s="145" t="s">
        <v>3</v>
      </c>
      <c r="M2200" s="142"/>
      <c r="N2200" s="188" t="s">
        <v>10</v>
      </c>
      <c r="O2200" s="188"/>
      <c r="P2200" s="188"/>
      <c r="Q2200" s="188"/>
      <c r="R2200" s="188"/>
      <c r="S2200" s="188"/>
      <c r="T2200" s="188"/>
      <c r="U2200" s="189"/>
      <c r="V2200" s="3" t="s">
        <v>12</v>
      </c>
      <c r="X2200" s="68" t="s">
        <v>200</v>
      </c>
    </row>
    <row r="2201" spans="2:24" ht="17.25" customHeight="1" x14ac:dyDescent="0.25">
      <c r="B2201" s="183"/>
      <c r="C2201" s="61"/>
      <c r="D2201" s="62"/>
      <c r="E2201" s="185"/>
      <c r="F2201" s="30" t="s">
        <v>2</v>
      </c>
      <c r="G2201" s="17"/>
      <c r="H2201" s="6"/>
      <c r="I2201" s="6"/>
      <c r="J2201" s="6"/>
      <c r="K2201" s="7"/>
      <c r="L2201" s="190" t="s">
        <v>4</v>
      </c>
      <c r="M2201" s="191"/>
      <c r="N2201" s="192" t="s">
        <v>9</v>
      </c>
      <c r="O2201" s="192"/>
      <c r="P2201" s="192"/>
      <c r="Q2201" s="192"/>
      <c r="R2201" s="192"/>
      <c r="S2201" s="192"/>
      <c r="T2201" s="192"/>
      <c r="U2201" s="191"/>
      <c r="V2201" s="31" t="s">
        <v>11</v>
      </c>
      <c r="X2201" s="69"/>
    </row>
    <row r="2202" spans="2:24" ht="10.95" customHeight="1" x14ac:dyDescent="0.25">
      <c r="B2202" s="41"/>
      <c r="C2202" s="51"/>
      <c r="D2202" s="42"/>
      <c r="E2202" s="154">
        <v>281</v>
      </c>
      <c r="F2202" s="145" t="str">
        <f>_xlfn.IFNA(VLOOKUP(E2202,'Data Kyu'!$A$6:$I$471,3,0),"")</f>
        <v/>
      </c>
      <c r="G2202" s="142"/>
      <c r="H2202" s="66"/>
      <c r="I2202" s="66"/>
      <c r="J2202" s="66"/>
      <c r="K2202" s="66"/>
      <c r="L2202" s="145" t="str">
        <f>_xlfn.IFNA(VLOOKUP(E2202,'Data Kyu'!$A$6:$I$471,9,0),"")</f>
        <v/>
      </c>
      <c r="M2202" s="142"/>
      <c r="N2202" s="145" t="str">
        <f>_xlfn.IFNA(VLOOKUP(E2202,'Data Kyu'!$A$6:$I$471,6,0),"")</f>
        <v/>
      </c>
      <c r="O2202" s="141"/>
      <c r="P2202" s="139" t="s">
        <v>5</v>
      </c>
      <c r="Q2202" s="141" t="str">
        <f>_xlfn.IFNA(VLOOKUP(E2202,'Data Kyu'!$A$6:$I$471,7,0),"")</f>
        <v/>
      </c>
      <c r="R2202" s="141"/>
      <c r="S2202" s="139" t="s">
        <v>5</v>
      </c>
      <c r="T2202" s="141" t="str">
        <f>_xlfn.IFNA(VLOOKUP(E2202,'Data Kyu'!$A$6:$I$471,8,0),"")</f>
        <v/>
      </c>
      <c r="U2202" s="142"/>
      <c r="V2202" s="142" t="str">
        <f>_xlfn.IFNA(VLOOKUP(E2202,'Data Kyu'!$A$6:$I$471,4,0),"")</f>
        <v/>
      </c>
      <c r="X2202" s="214" t="str">
        <f>_xlfn.IFNA(VLOOKUP(F2202,'Data Kyu'!$C$6:$N$997,12,0),"No Data")</f>
        <v>No Data</v>
      </c>
    </row>
    <row r="2203" spans="2:24" ht="10.95" customHeight="1" x14ac:dyDescent="0.25">
      <c r="B2203" s="52"/>
      <c r="C2203" s="165" t="str">
        <f>IF(X2202="LULUS","V","")</f>
        <v/>
      </c>
      <c r="D2203" s="53"/>
      <c r="E2203" s="155"/>
      <c r="F2203" s="148"/>
      <c r="G2203" s="144"/>
      <c r="H2203" s="67"/>
      <c r="I2203" s="67"/>
      <c r="J2203" s="67"/>
      <c r="K2203" s="67"/>
      <c r="L2203" s="146"/>
      <c r="M2203" s="147"/>
      <c r="N2203" s="148"/>
      <c r="O2203" s="143"/>
      <c r="P2203" s="140"/>
      <c r="Q2203" s="143"/>
      <c r="R2203" s="143"/>
      <c r="S2203" s="140"/>
      <c r="T2203" s="143"/>
      <c r="U2203" s="144"/>
      <c r="V2203" s="147"/>
      <c r="X2203" s="214"/>
    </row>
    <row r="2204" spans="2:24" ht="10.95" customHeight="1" x14ac:dyDescent="0.25">
      <c r="B2204" s="52"/>
      <c r="C2204" s="166"/>
      <c r="D2204" s="53"/>
      <c r="E2204" s="155"/>
      <c r="F2204" s="167" t="str">
        <f>_xlfn.IFNA(VLOOKUP(E2202,'Data Kyu'!$A$6:$I$471,2,0),"")</f>
        <v/>
      </c>
      <c r="G2204" s="168"/>
      <c r="H2204" s="168"/>
      <c r="I2204" s="168"/>
      <c r="J2204" s="168"/>
      <c r="K2204" s="169"/>
      <c r="L2204" s="146"/>
      <c r="M2204" s="147"/>
      <c r="N2204" s="173" t="s">
        <v>6</v>
      </c>
      <c r="O2204" s="159"/>
      <c r="P2204" s="57"/>
      <c r="Q2204" s="159" t="s">
        <v>7</v>
      </c>
      <c r="R2204" s="159"/>
      <c r="S2204" s="57"/>
      <c r="T2204" s="159" t="s">
        <v>8</v>
      </c>
      <c r="U2204" s="160"/>
      <c r="V2204" s="175"/>
      <c r="X2204" s="214"/>
    </row>
    <row r="2205" spans="2:24" ht="10.95" customHeight="1" x14ac:dyDescent="0.25">
      <c r="B2205" s="54"/>
      <c r="C2205" s="76"/>
      <c r="D2205" s="56"/>
      <c r="E2205" s="156"/>
      <c r="F2205" s="170"/>
      <c r="G2205" s="171"/>
      <c r="H2205" s="171"/>
      <c r="I2205" s="171"/>
      <c r="J2205" s="171"/>
      <c r="K2205" s="172"/>
      <c r="L2205" s="148"/>
      <c r="M2205" s="144"/>
      <c r="N2205" s="174"/>
      <c r="O2205" s="161"/>
      <c r="P2205" s="27"/>
      <c r="Q2205" s="161"/>
      <c r="R2205" s="161"/>
      <c r="S2205" s="27"/>
      <c r="T2205" s="161"/>
      <c r="U2205" s="162"/>
      <c r="V2205" s="176"/>
      <c r="X2205" s="214"/>
    </row>
    <row r="2206" spans="2:24" ht="10.95" customHeight="1" x14ac:dyDescent="0.25">
      <c r="B2206" s="41"/>
      <c r="C2206" s="77"/>
      <c r="D2206" s="42"/>
      <c r="E2206" s="154">
        <f>E2202+1</f>
        <v>282</v>
      </c>
      <c r="F2206" s="145" t="str">
        <f>_xlfn.IFNA(VLOOKUP(E2206,'Data Kyu'!$A$6:$I$471,3,0),"")</f>
        <v/>
      </c>
      <c r="G2206" s="142"/>
      <c r="H2206" s="66"/>
      <c r="I2206" s="66"/>
      <c r="J2206" s="66"/>
      <c r="K2206" s="66"/>
      <c r="L2206" s="145" t="str">
        <f>_xlfn.IFNA(VLOOKUP(E2206,'Data Kyu'!$A$6:$I$471,9,0),"")</f>
        <v/>
      </c>
      <c r="M2206" s="142"/>
      <c r="N2206" s="145" t="str">
        <f>_xlfn.IFNA(VLOOKUP(E2206,'Data Kyu'!$A$6:$I$471,6,0),"")</f>
        <v/>
      </c>
      <c r="O2206" s="141"/>
      <c r="P2206" s="139" t="s">
        <v>5</v>
      </c>
      <c r="Q2206" s="141" t="str">
        <f>_xlfn.IFNA(VLOOKUP(E2206,'Data Kyu'!$A$6:$I$471,7,0),"")</f>
        <v/>
      </c>
      <c r="R2206" s="141"/>
      <c r="S2206" s="139" t="s">
        <v>5</v>
      </c>
      <c r="T2206" s="141" t="str">
        <f>_xlfn.IFNA(VLOOKUP(E2206,'Data Kyu'!$A$6:$I$471,8,0),"")</f>
        <v/>
      </c>
      <c r="U2206" s="142"/>
      <c r="V2206" s="142" t="str">
        <f>_xlfn.IFNA(VLOOKUP(E2206,'Data Kyu'!$A$6:$I$471,4,0),"")</f>
        <v/>
      </c>
      <c r="X2206" s="214" t="str">
        <f>_xlfn.IFNA(VLOOKUP(F2206,'Data Kyu'!$C$6:$N$997,12,0),"No Data")</f>
        <v>No Data</v>
      </c>
    </row>
    <row r="2207" spans="2:24" ht="10.95" customHeight="1" x14ac:dyDescent="0.25">
      <c r="B2207" s="52"/>
      <c r="C2207" s="165" t="str">
        <f>IF(X2206="LULUS","V","")</f>
        <v/>
      </c>
      <c r="D2207" s="53"/>
      <c r="E2207" s="155"/>
      <c r="F2207" s="148"/>
      <c r="G2207" s="144"/>
      <c r="H2207" s="67"/>
      <c r="I2207" s="67"/>
      <c r="J2207" s="67"/>
      <c r="K2207" s="67"/>
      <c r="L2207" s="146"/>
      <c r="M2207" s="147"/>
      <c r="N2207" s="148"/>
      <c r="O2207" s="143"/>
      <c r="P2207" s="140"/>
      <c r="Q2207" s="143"/>
      <c r="R2207" s="143"/>
      <c r="S2207" s="140"/>
      <c r="T2207" s="143"/>
      <c r="U2207" s="144"/>
      <c r="V2207" s="147"/>
      <c r="X2207" s="214"/>
    </row>
    <row r="2208" spans="2:24" ht="10.95" customHeight="1" x14ac:dyDescent="0.25">
      <c r="B2208" s="52"/>
      <c r="C2208" s="166"/>
      <c r="D2208" s="53"/>
      <c r="E2208" s="155"/>
      <c r="F2208" s="167" t="str">
        <f>_xlfn.IFNA(VLOOKUP(E2206,'Data Kyu'!$A$6:$I$471,2,0),"")</f>
        <v/>
      </c>
      <c r="G2208" s="168"/>
      <c r="H2208" s="168"/>
      <c r="I2208" s="168"/>
      <c r="J2208" s="168"/>
      <c r="K2208" s="169"/>
      <c r="L2208" s="146"/>
      <c r="M2208" s="147"/>
      <c r="N2208" s="173" t="s">
        <v>6</v>
      </c>
      <c r="O2208" s="159"/>
      <c r="P2208" s="57"/>
      <c r="Q2208" s="159" t="s">
        <v>7</v>
      </c>
      <c r="R2208" s="159"/>
      <c r="S2208" s="57"/>
      <c r="T2208" s="159" t="s">
        <v>8</v>
      </c>
      <c r="U2208" s="160"/>
      <c r="V2208" s="175"/>
      <c r="X2208" s="214"/>
    </row>
    <row r="2209" spans="2:24" ht="10.95" customHeight="1" x14ac:dyDescent="0.25">
      <c r="B2209" s="54"/>
      <c r="C2209" s="76"/>
      <c r="D2209" s="56"/>
      <c r="E2209" s="156"/>
      <c r="F2209" s="170"/>
      <c r="G2209" s="171"/>
      <c r="H2209" s="171"/>
      <c r="I2209" s="171"/>
      <c r="J2209" s="171"/>
      <c r="K2209" s="172"/>
      <c r="L2209" s="148"/>
      <c r="M2209" s="144"/>
      <c r="N2209" s="174"/>
      <c r="O2209" s="161"/>
      <c r="P2209" s="27"/>
      <c r="Q2209" s="161"/>
      <c r="R2209" s="161"/>
      <c r="S2209" s="27"/>
      <c r="T2209" s="161"/>
      <c r="U2209" s="162"/>
      <c r="V2209" s="176"/>
      <c r="X2209" s="214"/>
    </row>
    <row r="2210" spans="2:24" ht="10.95" customHeight="1" x14ac:dyDescent="0.25">
      <c r="B2210" s="41"/>
      <c r="C2210" s="77"/>
      <c r="D2210" s="42"/>
      <c r="E2210" s="154">
        <f t="shared" ref="E2210" si="144">E2206+1</f>
        <v>283</v>
      </c>
      <c r="F2210" s="145" t="str">
        <f>_xlfn.IFNA(VLOOKUP(E2210,'Data Kyu'!$A$6:$I$471,3,0),"")</f>
        <v/>
      </c>
      <c r="G2210" s="142"/>
      <c r="H2210" s="66"/>
      <c r="I2210" s="66"/>
      <c r="J2210" s="66"/>
      <c r="K2210" s="66"/>
      <c r="L2210" s="145" t="str">
        <f>_xlfn.IFNA(VLOOKUP(E2210,'Data Kyu'!$A$6:$I$471,9,0),"")</f>
        <v/>
      </c>
      <c r="M2210" s="142"/>
      <c r="N2210" s="145" t="str">
        <f>_xlfn.IFNA(VLOOKUP(E2210,'Data Kyu'!$A$6:$I$471,6,0),"")</f>
        <v/>
      </c>
      <c r="O2210" s="141"/>
      <c r="P2210" s="139" t="s">
        <v>5</v>
      </c>
      <c r="Q2210" s="141" t="str">
        <f>_xlfn.IFNA(VLOOKUP(E2210,'Data Kyu'!$A$6:$I$471,7,0),"")</f>
        <v/>
      </c>
      <c r="R2210" s="141"/>
      <c r="S2210" s="139" t="s">
        <v>5</v>
      </c>
      <c r="T2210" s="141" t="str">
        <f>_xlfn.IFNA(VLOOKUP(E2210,'Data Kyu'!$A$6:$I$471,8,0),"")</f>
        <v/>
      </c>
      <c r="U2210" s="142"/>
      <c r="V2210" s="142" t="str">
        <f>_xlfn.IFNA(VLOOKUP(E2210,'Data Kyu'!$A$6:$I$471,4,0),"")</f>
        <v/>
      </c>
      <c r="X2210" s="214" t="str">
        <f>_xlfn.IFNA(VLOOKUP(F2210,'Data Kyu'!$C$6:$N$997,12,0),"No Data")</f>
        <v>No Data</v>
      </c>
    </row>
    <row r="2211" spans="2:24" ht="10.95" customHeight="1" x14ac:dyDescent="0.25">
      <c r="B2211" s="52"/>
      <c r="C2211" s="165" t="str">
        <f>IF(X2210="LULUS","V","")</f>
        <v/>
      </c>
      <c r="D2211" s="53"/>
      <c r="E2211" s="155"/>
      <c r="F2211" s="148"/>
      <c r="G2211" s="144"/>
      <c r="H2211" s="67"/>
      <c r="I2211" s="67"/>
      <c r="J2211" s="67"/>
      <c r="K2211" s="67"/>
      <c r="L2211" s="146"/>
      <c r="M2211" s="147"/>
      <c r="N2211" s="148"/>
      <c r="O2211" s="143"/>
      <c r="P2211" s="140"/>
      <c r="Q2211" s="143"/>
      <c r="R2211" s="143"/>
      <c r="S2211" s="140"/>
      <c r="T2211" s="143"/>
      <c r="U2211" s="144"/>
      <c r="V2211" s="147"/>
      <c r="X2211" s="214"/>
    </row>
    <row r="2212" spans="2:24" ht="10.95" customHeight="1" x14ac:dyDescent="0.25">
      <c r="B2212" s="52"/>
      <c r="C2212" s="166"/>
      <c r="D2212" s="53"/>
      <c r="E2212" s="155"/>
      <c r="F2212" s="167" t="str">
        <f>_xlfn.IFNA(VLOOKUP(E2210,'Data Kyu'!$A$6:$I$471,2,0),"")</f>
        <v/>
      </c>
      <c r="G2212" s="168"/>
      <c r="H2212" s="168"/>
      <c r="I2212" s="168"/>
      <c r="J2212" s="168"/>
      <c r="K2212" s="169"/>
      <c r="L2212" s="146"/>
      <c r="M2212" s="147"/>
      <c r="N2212" s="173" t="s">
        <v>6</v>
      </c>
      <c r="O2212" s="159"/>
      <c r="P2212" s="57"/>
      <c r="Q2212" s="159" t="s">
        <v>7</v>
      </c>
      <c r="R2212" s="159"/>
      <c r="S2212" s="57"/>
      <c r="T2212" s="159" t="s">
        <v>8</v>
      </c>
      <c r="U2212" s="160"/>
      <c r="V2212" s="175"/>
      <c r="X2212" s="214"/>
    </row>
    <row r="2213" spans="2:24" ht="10.95" customHeight="1" x14ac:dyDescent="0.25">
      <c r="B2213" s="54"/>
      <c r="C2213" s="76"/>
      <c r="D2213" s="56"/>
      <c r="E2213" s="156"/>
      <c r="F2213" s="170"/>
      <c r="G2213" s="171"/>
      <c r="H2213" s="171"/>
      <c r="I2213" s="171"/>
      <c r="J2213" s="171"/>
      <c r="K2213" s="172"/>
      <c r="L2213" s="148"/>
      <c r="M2213" s="144"/>
      <c r="N2213" s="174"/>
      <c r="O2213" s="161"/>
      <c r="P2213" s="27"/>
      <c r="Q2213" s="161"/>
      <c r="R2213" s="161"/>
      <c r="S2213" s="27"/>
      <c r="T2213" s="161"/>
      <c r="U2213" s="162"/>
      <c r="V2213" s="176"/>
      <c r="X2213" s="214"/>
    </row>
    <row r="2214" spans="2:24" ht="10.95" customHeight="1" x14ac:dyDescent="0.25">
      <c r="B2214" s="41"/>
      <c r="C2214" s="77"/>
      <c r="D2214" s="42"/>
      <c r="E2214" s="154">
        <f t="shared" ref="E2214" si="145">E2210+1</f>
        <v>284</v>
      </c>
      <c r="F2214" s="145" t="str">
        <f>_xlfn.IFNA(VLOOKUP(E2214,'Data Kyu'!$A$6:$I$471,3,0),"")</f>
        <v/>
      </c>
      <c r="G2214" s="142"/>
      <c r="H2214" s="66"/>
      <c r="I2214" s="66"/>
      <c r="J2214" s="66"/>
      <c r="K2214" s="66"/>
      <c r="L2214" s="145" t="str">
        <f>_xlfn.IFNA(VLOOKUP(E2214,'Data Kyu'!$A$6:$I$471,9,0),"")</f>
        <v/>
      </c>
      <c r="M2214" s="142"/>
      <c r="N2214" s="145" t="str">
        <f>_xlfn.IFNA(VLOOKUP(E2214,'Data Kyu'!$A$6:$I$471,6,0),"")</f>
        <v/>
      </c>
      <c r="O2214" s="141"/>
      <c r="P2214" s="139" t="s">
        <v>5</v>
      </c>
      <c r="Q2214" s="141" t="str">
        <f>_xlfn.IFNA(VLOOKUP(E2214,'Data Kyu'!$A$6:$I$471,7,0),"")</f>
        <v/>
      </c>
      <c r="R2214" s="141"/>
      <c r="S2214" s="139" t="s">
        <v>5</v>
      </c>
      <c r="T2214" s="141" t="str">
        <f>_xlfn.IFNA(VLOOKUP(E2214,'Data Kyu'!$A$6:$I$471,8,0),"")</f>
        <v/>
      </c>
      <c r="U2214" s="142"/>
      <c r="V2214" s="142" t="str">
        <f>_xlfn.IFNA(VLOOKUP(E2214,'Data Kyu'!$A$6:$I$471,4,0),"")</f>
        <v/>
      </c>
      <c r="X2214" s="214" t="str">
        <f>_xlfn.IFNA(VLOOKUP(F2214,'Data Kyu'!$C$6:$N$997,12,0),"No Data")</f>
        <v>No Data</v>
      </c>
    </row>
    <row r="2215" spans="2:24" ht="10.95" customHeight="1" x14ac:dyDescent="0.25">
      <c r="B2215" s="52"/>
      <c r="C2215" s="165" t="str">
        <f>IF(X2214="LULUS","V","")</f>
        <v/>
      </c>
      <c r="D2215" s="53"/>
      <c r="E2215" s="155"/>
      <c r="F2215" s="148"/>
      <c r="G2215" s="144"/>
      <c r="H2215" s="67"/>
      <c r="I2215" s="67"/>
      <c r="J2215" s="67"/>
      <c r="K2215" s="67"/>
      <c r="L2215" s="146"/>
      <c r="M2215" s="147"/>
      <c r="N2215" s="148"/>
      <c r="O2215" s="143"/>
      <c r="P2215" s="140"/>
      <c r="Q2215" s="143"/>
      <c r="R2215" s="143"/>
      <c r="S2215" s="140"/>
      <c r="T2215" s="143"/>
      <c r="U2215" s="144"/>
      <c r="V2215" s="147"/>
      <c r="X2215" s="214"/>
    </row>
    <row r="2216" spans="2:24" ht="10.95" customHeight="1" x14ac:dyDescent="0.25">
      <c r="B2216" s="52"/>
      <c r="C2216" s="166"/>
      <c r="D2216" s="53"/>
      <c r="E2216" s="155"/>
      <c r="F2216" s="167" t="str">
        <f>_xlfn.IFNA(VLOOKUP(E2214,'Data Kyu'!$A$6:$I$471,2,0),"")</f>
        <v/>
      </c>
      <c r="G2216" s="168"/>
      <c r="H2216" s="168"/>
      <c r="I2216" s="168"/>
      <c r="J2216" s="168"/>
      <c r="K2216" s="169"/>
      <c r="L2216" s="146"/>
      <c r="M2216" s="147"/>
      <c r="N2216" s="173" t="s">
        <v>6</v>
      </c>
      <c r="O2216" s="159"/>
      <c r="P2216" s="57"/>
      <c r="Q2216" s="159" t="s">
        <v>7</v>
      </c>
      <c r="R2216" s="159"/>
      <c r="S2216" s="57"/>
      <c r="T2216" s="159" t="s">
        <v>8</v>
      </c>
      <c r="U2216" s="160"/>
      <c r="V2216" s="175"/>
      <c r="X2216" s="214"/>
    </row>
    <row r="2217" spans="2:24" ht="10.95" customHeight="1" x14ac:dyDescent="0.25">
      <c r="B2217" s="54"/>
      <c r="C2217" s="76"/>
      <c r="D2217" s="56"/>
      <c r="E2217" s="156"/>
      <c r="F2217" s="170"/>
      <c r="G2217" s="171"/>
      <c r="H2217" s="171"/>
      <c r="I2217" s="171"/>
      <c r="J2217" s="171"/>
      <c r="K2217" s="172"/>
      <c r="L2217" s="148"/>
      <c r="M2217" s="144"/>
      <c r="N2217" s="174"/>
      <c r="O2217" s="161"/>
      <c r="P2217" s="27"/>
      <c r="Q2217" s="161"/>
      <c r="R2217" s="161"/>
      <c r="S2217" s="27"/>
      <c r="T2217" s="161"/>
      <c r="U2217" s="162"/>
      <c r="V2217" s="176"/>
      <c r="X2217" s="214"/>
    </row>
    <row r="2218" spans="2:24" ht="10.95" customHeight="1" x14ac:dyDescent="0.25">
      <c r="B2218" s="41"/>
      <c r="C2218" s="77"/>
      <c r="D2218" s="42"/>
      <c r="E2218" s="154">
        <f t="shared" ref="E2218" si="146">E2214+1</f>
        <v>285</v>
      </c>
      <c r="F2218" s="145" t="str">
        <f>_xlfn.IFNA(VLOOKUP(E2218,'Data Kyu'!$A$6:$I$471,3,0),"")</f>
        <v/>
      </c>
      <c r="G2218" s="142"/>
      <c r="H2218" s="66"/>
      <c r="I2218" s="66"/>
      <c r="J2218" s="66"/>
      <c r="K2218" s="66"/>
      <c r="L2218" s="145" t="str">
        <f>_xlfn.IFNA(VLOOKUP(E2218,'Data Kyu'!$A$6:$I$471,9,0),"")</f>
        <v/>
      </c>
      <c r="M2218" s="142"/>
      <c r="N2218" s="145" t="str">
        <f>_xlfn.IFNA(VLOOKUP(E2218,'Data Kyu'!$A$6:$I$471,6,0),"")</f>
        <v/>
      </c>
      <c r="O2218" s="141"/>
      <c r="P2218" s="139" t="s">
        <v>5</v>
      </c>
      <c r="Q2218" s="141" t="str">
        <f>_xlfn.IFNA(VLOOKUP(E2218,'Data Kyu'!$A$6:$I$471,7,0),"")</f>
        <v/>
      </c>
      <c r="R2218" s="141"/>
      <c r="S2218" s="139" t="s">
        <v>5</v>
      </c>
      <c r="T2218" s="141" t="str">
        <f>_xlfn.IFNA(VLOOKUP(E2218,'Data Kyu'!$A$6:$I$471,8,0),"")</f>
        <v/>
      </c>
      <c r="U2218" s="142"/>
      <c r="V2218" s="142" t="str">
        <f>_xlfn.IFNA(VLOOKUP(E2218,'Data Kyu'!$A$6:$I$471,4,0),"")</f>
        <v/>
      </c>
      <c r="X2218" s="214" t="str">
        <f>_xlfn.IFNA(VLOOKUP(F2218,'Data Kyu'!$C$6:$N$997,12,0),"No Data")</f>
        <v>No Data</v>
      </c>
    </row>
    <row r="2219" spans="2:24" ht="10.95" customHeight="1" x14ac:dyDescent="0.25">
      <c r="B2219" s="52"/>
      <c r="C2219" s="165" t="str">
        <f>IF(X2218="LULUS","V","")</f>
        <v/>
      </c>
      <c r="D2219" s="53"/>
      <c r="E2219" s="155"/>
      <c r="F2219" s="148"/>
      <c r="G2219" s="144"/>
      <c r="H2219" s="67"/>
      <c r="I2219" s="67"/>
      <c r="J2219" s="67"/>
      <c r="K2219" s="67"/>
      <c r="L2219" s="146"/>
      <c r="M2219" s="147"/>
      <c r="N2219" s="148"/>
      <c r="O2219" s="143"/>
      <c r="P2219" s="140"/>
      <c r="Q2219" s="143"/>
      <c r="R2219" s="143"/>
      <c r="S2219" s="140"/>
      <c r="T2219" s="143"/>
      <c r="U2219" s="144"/>
      <c r="V2219" s="147"/>
      <c r="X2219" s="214"/>
    </row>
    <row r="2220" spans="2:24" ht="10.95" customHeight="1" x14ac:dyDescent="0.25">
      <c r="B2220" s="52"/>
      <c r="C2220" s="166"/>
      <c r="D2220" s="53"/>
      <c r="E2220" s="155"/>
      <c r="F2220" s="167" t="str">
        <f>_xlfn.IFNA(VLOOKUP(E2218,'Data Kyu'!$A$6:$I$471,2,0),"")</f>
        <v/>
      </c>
      <c r="G2220" s="168"/>
      <c r="H2220" s="168"/>
      <c r="I2220" s="168"/>
      <c r="J2220" s="168"/>
      <c r="K2220" s="169"/>
      <c r="L2220" s="146"/>
      <c r="M2220" s="147"/>
      <c r="N2220" s="173" t="s">
        <v>6</v>
      </c>
      <c r="O2220" s="159"/>
      <c r="P2220" s="57"/>
      <c r="Q2220" s="159" t="s">
        <v>7</v>
      </c>
      <c r="R2220" s="159"/>
      <c r="S2220" s="57"/>
      <c r="T2220" s="159" t="s">
        <v>8</v>
      </c>
      <c r="U2220" s="160"/>
      <c r="V2220" s="175"/>
      <c r="X2220" s="214"/>
    </row>
    <row r="2221" spans="2:24" ht="10.95" customHeight="1" x14ac:dyDescent="0.25">
      <c r="B2221" s="54"/>
      <c r="C2221" s="76"/>
      <c r="D2221" s="56"/>
      <c r="E2221" s="156"/>
      <c r="F2221" s="170"/>
      <c r="G2221" s="171"/>
      <c r="H2221" s="171"/>
      <c r="I2221" s="171"/>
      <c r="J2221" s="171"/>
      <c r="K2221" s="172"/>
      <c r="L2221" s="148"/>
      <c r="M2221" s="144"/>
      <c r="N2221" s="174"/>
      <c r="O2221" s="161"/>
      <c r="P2221" s="27"/>
      <c r="Q2221" s="161"/>
      <c r="R2221" s="161"/>
      <c r="S2221" s="27"/>
      <c r="T2221" s="161"/>
      <c r="U2221" s="162"/>
      <c r="V2221" s="176"/>
      <c r="X2221" s="214"/>
    </row>
    <row r="2222" spans="2:24" ht="10.95" customHeight="1" x14ac:dyDescent="0.25">
      <c r="B2222" s="41"/>
      <c r="C2222" s="77"/>
      <c r="D2222" s="42"/>
      <c r="E2222" s="154">
        <f t="shared" ref="E2222" si="147">E2218+1</f>
        <v>286</v>
      </c>
      <c r="F2222" s="145" t="str">
        <f>_xlfn.IFNA(VLOOKUP(E2222,'Data Kyu'!$A$6:$I$471,3,0),"")</f>
        <v/>
      </c>
      <c r="G2222" s="142"/>
      <c r="H2222" s="66"/>
      <c r="I2222" s="66"/>
      <c r="J2222" s="66"/>
      <c r="K2222" s="66"/>
      <c r="L2222" s="145" t="str">
        <f>_xlfn.IFNA(VLOOKUP(E2222,'Data Kyu'!$A$6:$I$471,9,0),"")</f>
        <v/>
      </c>
      <c r="M2222" s="142"/>
      <c r="N2222" s="145" t="str">
        <f>_xlfn.IFNA(VLOOKUP(E2222,'Data Kyu'!$A$6:$I$471,6,0),"")</f>
        <v/>
      </c>
      <c r="O2222" s="141"/>
      <c r="P2222" s="139" t="s">
        <v>5</v>
      </c>
      <c r="Q2222" s="141" t="str">
        <f>_xlfn.IFNA(VLOOKUP(E2222,'Data Kyu'!$A$6:$I$471,7,0),"")</f>
        <v/>
      </c>
      <c r="R2222" s="141"/>
      <c r="S2222" s="139" t="s">
        <v>5</v>
      </c>
      <c r="T2222" s="141" t="str">
        <f>_xlfn.IFNA(VLOOKUP(E2222,'Data Kyu'!$A$6:$I$471,8,0),"")</f>
        <v/>
      </c>
      <c r="U2222" s="142"/>
      <c r="V2222" s="142" t="str">
        <f>_xlfn.IFNA(VLOOKUP(E2222,'Data Kyu'!$A$6:$I$471,4,0),"")</f>
        <v/>
      </c>
      <c r="X2222" s="214" t="str">
        <f>_xlfn.IFNA(VLOOKUP(F2222,'Data Kyu'!$C$6:$N$997,12,0),"No Data")</f>
        <v>No Data</v>
      </c>
    </row>
    <row r="2223" spans="2:24" ht="10.95" customHeight="1" x14ac:dyDescent="0.25">
      <c r="B2223" s="52"/>
      <c r="C2223" s="165" t="str">
        <f>IF(X2222="LULUS","V","")</f>
        <v/>
      </c>
      <c r="D2223" s="53"/>
      <c r="E2223" s="155"/>
      <c r="F2223" s="148"/>
      <c r="G2223" s="144"/>
      <c r="H2223" s="67"/>
      <c r="I2223" s="67"/>
      <c r="J2223" s="67"/>
      <c r="K2223" s="67"/>
      <c r="L2223" s="146"/>
      <c r="M2223" s="147"/>
      <c r="N2223" s="148"/>
      <c r="O2223" s="143"/>
      <c r="P2223" s="140"/>
      <c r="Q2223" s="143"/>
      <c r="R2223" s="143"/>
      <c r="S2223" s="140"/>
      <c r="T2223" s="143"/>
      <c r="U2223" s="144"/>
      <c r="V2223" s="147"/>
      <c r="X2223" s="214"/>
    </row>
    <row r="2224" spans="2:24" ht="10.95" customHeight="1" x14ac:dyDescent="0.25">
      <c r="B2224" s="52"/>
      <c r="C2224" s="166"/>
      <c r="D2224" s="53"/>
      <c r="E2224" s="155"/>
      <c r="F2224" s="167" t="str">
        <f>_xlfn.IFNA(VLOOKUP(E2222,'Data Kyu'!$A$6:$I$471,2,0),"")</f>
        <v/>
      </c>
      <c r="G2224" s="168"/>
      <c r="H2224" s="168"/>
      <c r="I2224" s="168"/>
      <c r="J2224" s="168"/>
      <c r="K2224" s="169"/>
      <c r="L2224" s="146"/>
      <c r="M2224" s="147"/>
      <c r="N2224" s="173" t="s">
        <v>6</v>
      </c>
      <c r="O2224" s="159"/>
      <c r="P2224" s="57"/>
      <c r="Q2224" s="159" t="s">
        <v>7</v>
      </c>
      <c r="R2224" s="159"/>
      <c r="S2224" s="57"/>
      <c r="T2224" s="159" t="s">
        <v>8</v>
      </c>
      <c r="U2224" s="160"/>
      <c r="V2224" s="175"/>
      <c r="X2224" s="214"/>
    </row>
    <row r="2225" spans="2:24" ht="10.95" customHeight="1" x14ac:dyDescent="0.25">
      <c r="B2225" s="54"/>
      <c r="C2225" s="76"/>
      <c r="D2225" s="56"/>
      <c r="E2225" s="156"/>
      <c r="F2225" s="170"/>
      <c r="G2225" s="171"/>
      <c r="H2225" s="171"/>
      <c r="I2225" s="171"/>
      <c r="J2225" s="171"/>
      <c r="K2225" s="172"/>
      <c r="L2225" s="148"/>
      <c r="M2225" s="144"/>
      <c r="N2225" s="174"/>
      <c r="O2225" s="161"/>
      <c r="P2225" s="27"/>
      <c r="Q2225" s="161"/>
      <c r="R2225" s="161"/>
      <c r="S2225" s="27"/>
      <c r="T2225" s="161"/>
      <c r="U2225" s="162"/>
      <c r="V2225" s="176"/>
      <c r="X2225" s="214"/>
    </row>
    <row r="2226" spans="2:24" ht="10.95" customHeight="1" x14ac:dyDescent="0.25">
      <c r="B2226" s="41"/>
      <c r="C2226" s="77"/>
      <c r="D2226" s="42"/>
      <c r="E2226" s="154">
        <f t="shared" ref="E2226" si="148">E2222+1</f>
        <v>287</v>
      </c>
      <c r="F2226" s="145" t="str">
        <f>_xlfn.IFNA(VLOOKUP(E2226,'Data Kyu'!$A$6:$I$471,3,0),"")</f>
        <v/>
      </c>
      <c r="G2226" s="142"/>
      <c r="H2226" s="66"/>
      <c r="I2226" s="66"/>
      <c r="J2226" s="66"/>
      <c r="K2226" s="66"/>
      <c r="L2226" s="145" t="str">
        <f>_xlfn.IFNA(VLOOKUP(E2226,'Data Kyu'!$A$6:$I$471,9,0),"")</f>
        <v/>
      </c>
      <c r="M2226" s="142"/>
      <c r="N2226" s="145" t="str">
        <f>_xlfn.IFNA(VLOOKUP(E2226,'Data Kyu'!$A$6:$I$471,6,0),"")</f>
        <v/>
      </c>
      <c r="O2226" s="141"/>
      <c r="P2226" s="139" t="s">
        <v>5</v>
      </c>
      <c r="Q2226" s="141" t="str">
        <f>_xlfn.IFNA(VLOOKUP(E2226,'Data Kyu'!$A$6:$I$471,7,0),"")</f>
        <v/>
      </c>
      <c r="R2226" s="141"/>
      <c r="S2226" s="139" t="s">
        <v>5</v>
      </c>
      <c r="T2226" s="141" t="str">
        <f>_xlfn.IFNA(VLOOKUP(E2226,'Data Kyu'!$A$6:$I$471,8,0),"")</f>
        <v/>
      </c>
      <c r="U2226" s="142"/>
      <c r="V2226" s="142" t="str">
        <f>_xlfn.IFNA(VLOOKUP(E2226,'Data Kyu'!$A$6:$I$471,4,0),"")</f>
        <v/>
      </c>
      <c r="X2226" s="214" t="str">
        <f>_xlfn.IFNA(VLOOKUP(F2226,'Data Kyu'!$C$6:$N$997,12,0),"No Data")</f>
        <v>No Data</v>
      </c>
    </row>
    <row r="2227" spans="2:24" ht="10.95" customHeight="1" x14ac:dyDescent="0.25">
      <c r="B2227" s="52"/>
      <c r="C2227" s="165" t="str">
        <f>IF(X2226="LULUS","V","")</f>
        <v/>
      </c>
      <c r="D2227" s="53"/>
      <c r="E2227" s="155"/>
      <c r="F2227" s="148"/>
      <c r="G2227" s="144"/>
      <c r="H2227" s="67"/>
      <c r="I2227" s="67"/>
      <c r="J2227" s="67"/>
      <c r="K2227" s="67"/>
      <c r="L2227" s="146"/>
      <c r="M2227" s="147"/>
      <c r="N2227" s="148"/>
      <c r="O2227" s="143"/>
      <c r="P2227" s="140"/>
      <c r="Q2227" s="143"/>
      <c r="R2227" s="143"/>
      <c r="S2227" s="140"/>
      <c r="T2227" s="143"/>
      <c r="U2227" s="144"/>
      <c r="V2227" s="147"/>
      <c r="X2227" s="214"/>
    </row>
    <row r="2228" spans="2:24" ht="10.95" customHeight="1" x14ac:dyDescent="0.25">
      <c r="B2228" s="52"/>
      <c r="C2228" s="166"/>
      <c r="D2228" s="53"/>
      <c r="E2228" s="155"/>
      <c r="F2228" s="167" t="str">
        <f>_xlfn.IFNA(VLOOKUP(E2226,'Data Kyu'!$A$6:$I$471,2,0),"")</f>
        <v/>
      </c>
      <c r="G2228" s="168"/>
      <c r="H2228" s="168"/>
      <c r="I2228" s="168"/>
      <c r="J2228" s="168"/>
      <c r="K2228" s="169"/>
      <c r="L2228" s="146"/>
      <c r="M2228" s="147"/>
      <c r="N2228" s="173" t="s">
        <v>6</v>
      </c>
      <c r="O2228" s="159"/>
      <c r="P2228" s="57"/>
      <c r="Q2228" s="159" t="s">
        <v>7</v>
      </c>
      <c r="R2228" s="159"/>
      <c r="S2228" s="57"/>
      <c r="T2228" s="159" t="s">
        <v>8</v>
      </c>
      <c r="U2228" s="160"/>
      <c r="V2228" s="175"/>
      <c r="X2228" s="214"/>
    </row>
    <row r="2229" spans="2:24" ht="10.95" customHeight="1" x14ac:dyDescent="0.25">
      <c r="B2229" s="54"/>
      <c r="C2229" s="76"/>
      <c r="D2229" s="56"/>
      <c r="E2229" s="156"/>
      <c r="F2229" s="170"/>
      <c r="G2229" s="171"/>
      <c r="H2229" s="171"/>
      <c r="I2229" s="171"/>
      <c r="J2229" s="171"/>
      <c r="K2229" s="172"/>
      <c r="L2229" s="148"/>
      <c r="M2229" s="144"/>
      <c r="N2229" s="174"/>
      <c r="O2229" s="161"/>
      <c r="P2229" s="27"/>
      <c r="Q2229" s="161"/>
      <c r="R2229" s="161"/>
      <c r="S2229" s="27"/>
      <c r="T2229" s="161"/>
      <c r="U2229" s="162"/>
      <c r="V2229" s="176"/>
      <c r="X2229" s="214"/>
    </row>
    <row r="2230" spans="2:24" ht="10.95" customHeight="1" x14ac:dyDescent="0.25">
      <c r="B2230" s="41"/>
      <c r="C2230" s="77"/>
      <c r="D2230" s="42"/>
      <c r="E2230" s="154">
        <f t="shared" ref="E2230" si="149">E2226+1</f>
        <v>288</v>
      </c>
      <c r="F2230" s="145" t="str">
        <f>_xlfn.IFNA(VLOOKUP(E2230,'Data Kyu'!$A$6:$I$471,3,0),"")</f>
        <v/>
      </c>
      <c r="G2230" s="142"/>
      <c r="H2230" s="66"/>
      <c r="I2230" s="66"/>
      <c r="J2230" s="66"/>
      <c r="K2230" s="66"/>
      <c r="L2230" s="145" t="str">
        <f>_xlfn.IFNA(VLOOKUP(E2230,'Data Kyu'!$A$6:$I$471,9,0),"")</f>
        <v/>
      </c>
      <c r="M2230" s="142"/>
      <c r="N2230" s="145" t="str">
        <f>_xlfn.IFNA(VLOOKUP(E2230,'Data Kyu'!$A$6:$I$471,6,0),"")</f>
        <v/>
      </c>
      <c r="O2230" s="141"/>
      <c r="P2230" s="139" t="s">
        <v>5</v>
      </c>
      <c r="Q2230" s="141" t="str">
        <f>_xlfn.IFNA(VLOOKUP(E2230,'Data Kyu'!$A$6:$I$471,7,0),"")</f>
        <v/>
      </c>
      <c r="R2230" s="141"/>
      <c r="S2230" s="139" t="s">
        <v>5</v>
      </c>
      <c r="T2230" s="141" t="str">
        <f>_xlfn.IFNA(VLOOKUP(E2230,'Data Kyu'!$A$6:$I$471,8,0),"")</f>
        <v/>
      </c>
      <c r="U2230" s="142"/>
      <c r="V2230" s="142" t="str">
        <f>_xlfn.IFNA(VLOOKUP(E2230,'Data Kyu'!$A$6:$I$471,4,0),"")</f>
        <v/>
      </c>
      <c r="X2230" s="214" t="str">
        <f>_xlfn.IFNA(VLOOKUP(F2230,'Data Kyu'!$C$6:$N$997,12,0),"No Data")</f>
        <v>No Data</v>
      </c>
    </row>
    <row r="2231" spans="2:24" ht="10.95" customHeight="1" x14ac:dyDescent="0.25">
      <c r="B2231" s="52"/>
      <c r="C2231" s="165" t="str">
        <f>IF(X2230="LULUS","V","")</f>
        <v/>
      </c>
      <c r="D2231" s="53"/>
      <c r="E2231" s="155"/>
      <c r="F2231" s="148"/>
      <c r="G2231" s="144"/>
      <c r="H2231" s="67"/>
      <c r="I2231" s="67"/>
      <c r="J2231" s="67"/>
      <c r="K2231" s="67"/>
      <c r="L2231" s="146"/>
      <c r="M2231" s="147"/>
      <c r="N2231" s="148"/>
      <c r="O2231" s="143"/>
      <c r="P2231" s="140"/>
      <c r="Q2231" s="143"/>
      <c r="R2231" s="143"/>
      <c r="S2231" s="140"/>
      <c r="T2231" s="143"/>
      <c r="U2231" s="144"/>
      <c r="V2231" s="147"/>
      <c r="X2231" s="214"/>
    </row>
    <row r="2232" spans="2:24" ht="10.95" customHeight="1" x14ac:dyDescent="0.25">
      <c r="B2232" s="52"/>
      <c r="C2232" s="166"/>
      <c r="D2232" s="53"/>
      <c r="E2232" s="155"/>
      <c r="F2232" s="167" t="str">
        <f>_xlfn.IFNA(VLOOKUP(E2230,'Data Kyu'!$A$6:$I$471,2,0),"")</f>
        <v/>
      </c>
      <c r="G2232" s="168"/>
      <c r="H2232" s="168"/>
      <c r="I2232" s="168"/>
      <c r="J2232" s="168"/>
      <c r="K2232" s="169"/>
      <c r="L2232" s="146"/>
      <c r="M2232" s="147"/>
      <c r="N2232" s="173" t="s">
        <v>6</v>
      </c>
      <c r="O2232" s="159"/>
      <c r="P2232" s="57"/>
      <c r="Q2232" s="159" t="s">
        <v>7</v>
      </c>
      <c r="R2232" s="159"/>
      <c r="S2232" s="57"/>
      <c r="T2232" s="159" t="s">
        <v>8</v>
      </c>
      <c r="U2232" s="160"/>
      <c r="V2232" s="175"/>
      <c r="X2232" s="214"/>
    </row>
    <row r="2233" spans="2:24" ht="10.95" customHeight="1" x14ac:dyDescent="0.25">
      <c r="B2233" s="54"/>
      <c r="C2233" s="76"/>
      <c r="D2233" s="56"/>
      <c r="E2233" s="156"/>
      <c r="F2233" s="170"/>
      <c r="G2233" s="171"/>
      <c r="H2233" s="171"/>
      <c r="I2233" s="171"/>
      <c r="J2233" s="171"/>
      <c r="K2233" s="172"/>
      <c r="L2233" s="148"/>
      <c r="M2233" s="144"/>
      <c r="N2233" s="174"/>
      <c r="O2233" s="161"/>
      <c r="P2233" s="27"/>
      <c r="Q2233" s="161"/>
      <c r="R2233" s="161"/>
      <c r="S2233" s="27"/>
      <c r="T2233" s="161"/>
      <c r="U2233" s="162"/>
      <c r="V2233" s="176"/>
      <c r="X2233" s="214"/>
    </row>
    <row r="2234" spans="2:24" ht="10.95" customHeight="1" x14ac:dyDescent="0.25">
      <c r="B2234" s="41"/>
      <c r="C2234" s="77"/>
      <c r="D2234" s="42"/>
      <c r="E2234" s="154">
        <f t="shared" ref="E2234" si="150">E2230+1</f>
        <v>289</v>
      </c>
      <c r="F2234" s="145" t="str">
        <f>_xlfn.IFNA(VLOOKUP(E2234,'Data Kyu'!$A$6:$I$471,3,0),"")</f>
        <v/>
      </c>
      <c r="G2234" s="142"/>
      <c r="H2234" s="66"/>
      <c r="I2234" s="66"/>
      <c r="J2234" s="66"/>
      <c r="K2234" s="66"/>
      <c r="L2234" s="145" t="str">
        <f>_xlfn.IFNA(VLOOKUP(E2234,'Data Kyu'!$A$6:$I$471,9,0),"")</f>
        <v/>
      </c>
      <c r="M2234" s="142"/>
      <c r="N2234" s="145" t="str">
        <f>_xlfn.IFNA(VLOOKUP(E2234,'Data Kyu'!$A$6:$I$471,6,0),"")</f>
        <v/>
      </c>
      <c r="O2234" s="141"/>
      <c r="P2234" s="139" t="s">
        <v>5</v>
      </c>
      <c r="Q2234" s="141" t="str">
        <f>_xlfn.IFNA(VLOOKUP(E2234,'Data Kyu'!$A$6:$I$471,7,0),"")</f>
        <v/>
      </c>
      <c r="R2234" s="141"/>
      <c r="S2234" s="139" t="s">
        <v>5</v>
      </c>
      <c r="T2234" s="141" t="str">
        <f>_xlfn.IFNA(VLOOKUP(E2234,'Data Kyu'!$A$6:$I$471,8,0),"")</f>
        <v/>
      </c>
      <c r="U2234" s="142"/>
      <c r="V2234" s="142" t="str">
        <f>_xlfn.IFNA(VLOOKUP(E2234,'Data Kyu'!$A$6:$I$471,4,0),"")</f>
        <v/>
      </c>
      <c r="X2234" s="214" t="str">
        <f>_xlfn.IFNA(VLOOKUP(F2234,'Data Kyu'!$C$6:$N$997,12,0),"No Data")</f>
        <v>No Data</v>
      </c>
    </row>
    <row r="2235" spans="2:24" ht="10.95" customHeight="1" x14ac:dyDescent="0.25">
      <c r="B2235" s="52"/>
      <c r="C2235" s="165" t="str">
        <f>IF(X2234="LULUS","V","")</f>
        <v/>
      </c>
      <c r="D2235" s="53"/>
      <c r="E2235" s="155"/>
      <c r="F2235" s="148"/>
      <c r="G2235" s="144"/>
      <c r="H2235" s="67"/>
      <c r="I2235" s="67"/>
      <c r="J2235" s="67"/>
      <c r="K2235" s="67"/>
      <c r="L2235" s="146"/>
      <c r="M2235" s="147"/>
      <c r="N2235" s="148"/>
      <c r="O2235" s="143"/>
      <c r="P2235" s="140"/>
      <c r="Q2235" s="143"/>
      <c r="R2235" s="143"/>
      <c r="S2235" s="140"/>
      <c r="T2235" s="143"/>
      <c r="U2235" s="144"/>
      <c r="V2235" s="147"/>
      <c r="X2235" s="214"/>
    </row>
    <row r="2236" spans="2:24" ht="10.95" customHeight="1" x14ac:dyDescent="0.25">
      <c r="B2236" s="52"/>
      <c r="C2236" s="166"/>
      <c r="D2236" s="53"/>
      <c r="E2236" s="155"/>
      <c r="F2236" s="167" t="str">
        <f>_xlfn.IFNA(VLOOKUP(E2234,'Data Kyu'!$A$6:$I$471,2,0),"")</f>
        <v/>
      </c>
      <c r="G2236" s="168"/>
      <c r="H2236" s="168"/>
      <c r="I2236" s="168"/>
      <c r="J2236" s="168"/>
      <c r="K2236" s="169"/>
      <c r="L2236" s="146"/>
      <c r="M2236" s="147"/>
      <c r="N2236" s="173" t="s">
        <v>6</v>
      </c>
      <c r="O2236" s="159"/>
      <c r="P2236" s="57"/>
      <c r="Q2236" s="159" t="s">
        <v>7</v>
      </c>
      <c r="R2236" s="159"/>
      <c r="S2236" s="57"/>
      <c r="T2236" s="159" t="s">
        <v>8</v>
      </c>
      <c r="U2236" s="160"/>
      <c r="V2236" s="175"/>
      <c r="X2236" s="214"/>
    </row>
    <row r="2237" spans="2:24" ht="10.95" customHeight="1" x14ac:dyDescent="0.25">
      <c r="B2237" s="54"/>
      <c r="C2237" s="76"/>
      <c r="D2237" s="56"/>
      <c r="E2237" s="156"/>
      <c r="F2237" s="170"/>
      <c r="G2237" s="171"/>
      <c r="H2237" s="171"/>
      <c r="I2237" s="171"/>
      <c r="J2237" s="171"/>
      <c r="K2237" s="172"/>
      <c r="L2237" s="148"/>
      <c r="M2237" s="144"/>
      <c r="N2237" s="174"/>
      <c r="O2237" s="161"/>
      <c r="P2237" s="27"/>
      <c r="Q2237" s="161"/>
      <c r="R2237" s="161"/>
      <c r="S2237" s="27"/>
      <c r="T2237" s="161"/>
      <c r="U2237" s="162"/>
      <c r="V2237" s="176"/>
      <c r="X2237" s="214"/>
    </row>
    <row r="2238" spans="2:24" ht="10.95" customHeight="1" x14ac:dyDescent="0.25">
      <c r="B2238" s="41"/>
      <c r="C2238" s="77"/>
      <c r="D2238" s="42"/>
      <c r="E2238" s="154">
        <f t="shared" ref="E2238" si="151">E2234+1</f>
        <v>290</v>
      </c>
      <c r="F2238" s="145" t="str">
        <f>_xlfn.IFNA(VLOOKUP(E2238,'Data Kyu'!$A$6:$I$471,3,0),"")</f>
        <v/>
      </c>
      <c r="G2238" s="142"/>
      <c r="H2238" s="66"/>
      <c r="I2238" s="66"/>
      <c r="J2238" s="66"/>
      <c r="K2238" s="66"/>
      <c r="L2238" s="145" t="str">
        <f>_xlfn.IFNA(VLOOKUP(E2238,'Data Kyu'!$A$6:$I$471,9,0),"")</f>
        <v/>
      </c>
      <c r="M2238" s="142"/>
      <c r="N2238" s="145" t="str">
        <f>_xlfn.IFNA(VLOOKUP(E2238,'Data Kyu'!$A$6:$I$471,6,0),"")</f>
        <v/>
      </c>
      <c r="O2238" s="141"/>
      <c r="P2238" s="139" t="s">
        <v>5</v>
      </c>
      <c r="Q2238" s="141" t="str">
        <f>_xlfn.IFNA(VLOOKUP(E2238,'Data Kyu'!$A$6:$I$471,7,0),"")</f>
        <v/>
      </c>
      <c r="R2238" s="141"/>
      <c r="S2238" s="139" t="s">
        <v>5</v>
      </c>
      <c r="T2238" s="141" t="str">
        <f>_xlfn.IFNA(VLOOKUP(E2238,'Data Kyu'!$A$6:$I$471,8,0),"")</f>
        <v/>
      </c>
      <c r="U2238" s="142"/>
      <c r="V2238" s="142" t="str">
        <f>_xlfn.IFNA(VLOOKUP(E2238,'Data Kyu'!$A$6:$I$471,4,0),"")</f>
        <v/>
      </c>
      <c r="X2238" s="214" t="str">
        <f>_xlfn.IFNA(VLOOKUP(F2238,'Data Kyu'!$C$6:$N$997,12,0),"No Data")</f>
        <v>No Data</v>
      </c>
    </row>
    <row r="2239" spans="2:24" ht="10.95" customHeight="1" x14ac:dyDescent="0.25">
      <c r="B2239" s="52"/>
      <c r="C2239" s="165" t="str">
        <f>IF(X2238="LULUS","V","")</f>
        <v/>
      </c>
      <c r="D2239" s="53"/>
      <c r="E2239" s="155"/>
      <c r="F2239" s="148"/>
      <c r="G2239" s="144"/>
      <c r="H2239" s="67"/>
      <c r="I2239" s="67"/>
      <c r="J2239" s="67"/>
      <c r="K2239" s="67"/>
      <c r="L2239" s="146"/>
      <c r="M2239" s="147"/>
      <c r="N2239" s="148"/>
      <c r="O2239" s="143"/>
      <c r="P2239" s="140"/>
      <c r="Q2239" s="143"/>
      <c r="R2239" s="143"/>
      <c r="S2239" s="140"/>
      <c r="T2239" s="143"/>
      <c r="U2239" s="144"/>
      <c r="V2239" s="147"/>
      <c r="X2239" s="214"/>
    </row>
    <row r="2240" spans="2:24" ht="10.95" customHeight="1" x14ac:dyDescent="0.25">
      <c r="B2240" s="52"/>
      <c r="C2240" s="166"/>
      <c r="D2240" s="53"/>
      <c r="E2240" s="155"/>
      <c r="F2240" s="167" t="str">
        <f>_xlfn.IFNA(VLOOKUP(E2238,'Data Kyu'!$A$6:$I$471,2,0),"")</f>
        <v/>
      </c>
      <c r="G2240" s="168"/>
      <c r="H2240" s="168"/>
      <c r="I2240" s="168"/>
      <c r="J2240" s="168"/>
      <c r="K2240" s="169"/>
      <c r="L2240" s="146"/>
      <c r="M2240" s="147"/>
      <c r="N2240" s="173" t="s">
        <v>6</v>
      </c>
      <c r="O2240" s="159"/>
      <c r="P2240" s="57"/>
      <c r="Q2240" s="159" t="s">
        <v>7</v>
      </c>
      <c r="R2240" s="159"/>
      <c r="S2240" s="57"/>
      <c r="T2240" s="159" t="s">
        <v>8</v>
      </c>
      <c r="U2240" s="160"/>
      <c r="V2240" s="175"/>
      <c r="X2240" s="214"/>
    </row>
    <row r="2241" spans="2:24" ht="10.95" customHeight="1" x14ac:dyDescent="0.25">
      <c r="B2241" s="54"/>
      <c r="C2241" s="55"/>
      <c r="D2241" s="56"/>
      <c r="E2241" s="156"/>
      <c r="F2241" s="170"/>
      <c r="G2241" s="171"/>
      <c r="H2241" s="171"/>
      <c r="I2241" s="171"/>
      <c r="J2241" s="171"/>
      <c r="K2241" s="172"/>
      <c r="L2241" s="148"/>
      <c r="M2241" s="144"/>
      <c r="N2241" s="174"/>
      <c r="O2241" s="161"/>
      <c r="P2241" s="27"/>
      <c r="Q2241" s="161"/>
      <c r="R2241" s="161"/>
      <c r="S2241" s="27"/>
      <c r="T2241" s="161"/>
      <c r="U2241" s="162"/>
      <c r="V2241" s="176"/>
      <c r="X2241" s="214"/>
    </row>
    <row r="2242" spans="2:24" ht="7.5" customHeight="1" x14ac:dyDescent="0.25"/>
    <row r="2243" spans="2:24" s="34" customFormat="1" x14ac:dyDescent="0.25">
      <c r="E2243" s="35" t="s">
        <v>30</v>
      </c>
      <c r="K2243" s="35" t="s">
        <v>28</v>
      </c>
    </row>
    <row r="2244" spans="2:24" x14ac:dyDescent="0.25">
      <c r="E2244" s="33" t="s">
        <v>31</v>
      </c>
      <c r="F2244" s="149"/>
      <c r="G2244" s="149"/>
      <c r="H2244" s="149"/>
      <c r="I2244" s="149"/>
      <c r="J2244" s="149"/>
      <c r="K2244" s="33" t="s">
        <v>29</v>
      </c>
      <c r="L2244" s="12"/>
      <c r="M2244" s="12"/>
      <c r="N2244" s="12"/>
      <c r="O2244" s="12"/>
      <c r="P2244" s="12"/>
      <c r="Q2244" s="12"/>
      <c r="R2244" s="12"/>
      <c r="S2244" s="12"/>
      <c r="T2244" s="12"/>
      <c r="U2244" s="12"/>
      <c r="V2244" s="12"/>
    </row>
    <row r="2245" spans="2:24" ht="6.75" customHeight="1" x14ac:dyDescent="0.25">
      <c r="F2245" s="34"/>
      <c r="G2245" s="34"/>
      <c r="H2245" s="34"/>
      <c r="I2245" s="34"/>
      <c r="J2245" s="34"/>
    </row>
    <row r="2246" spans="2:24" s="34" customFormat="1" x14ac:dyDescent="0.25">
      <c r="E2246" s="35" t="s">
        <v>32</v>
      </c>
      <c r="K2246" s="35" t="s">
        <v>36</v>
      </c>
    </row>
    <row r="2247" spans="2:24" x14ac:dyDescent="0.25">
      <c r="E2247" s="33" t="s">
        <v>33</v>
      </c>
      <c r="F2247" s="149"/>
      <c r="G2247" s="149"/>
      <c r="H2247" s="149"/>
      <c r="I2247" s="149"/>
      <c r="J2247" s="149"/>
      <c r="K2247" s="33" t="s">
        <v>29</v>
      </c>
      <c r="L2247" s="12"/>
      <c r="M2247" s="12"/>
      <c r="N2247" s="12"/>
      <c r="O2247" s="12"/>
      <c r="P2247" s="12"/>
      <c r="Q2247" s="12"/>
      <c r="R2247" s="12"/>
      <c r="S2247" s="12"/>
      <c r="T2247" s="12"/>
      <c r="U2247" s="12"/>
      <c r="V2247" s="12"/>
    </row>
    <row r="2248" spans="2:24" ht="6.75" customHeight="1" x14ac:dyDescent="0.25">
      <c r="F2248" s="34"/>
      <c r="G2248" s="34"/>
      <c r="H2248" s="34"/>
      <c r="I2248" s="34"/>
      <c r="J2248" s="34"/>
    </row>
    <row r="2249" spans="2:24" s="34" customFormat="1" ht="13.8" x14ac:dyDescent="0.25">
      <c r="E2249" s="35" t="s">
        <v>34</v>
      </c>
      <c r="F2249" s="177" t="str">
        <f>IF(F2202&lt;&gt;"",$F$65,"")</f>
        <v/>
      </c>
      <c r="G2249" s="177"/>
      <c r="H2249" s="177"/>
      <c r="I2249" s="177"/>
      <c r="J2249" s="177"/>
      <c r="K2249" s="35" t="s">
        <v>28</v>
      </c>
      <c r="X2249" s="70" t="s">
        <v>107</v>
      </c>
    </row>
    <row r="2250" spans="2:24" ht="13.8" x14ac:dyDescent="0.25">
      <c r="E2250" s="33" t="s">
        <v>35</v>
      </c>
      <c r="F2250" s="178"/>
      <c r="G2250" s="178"/>
      <c r="H2250" s="178"/>
      <c r="I2250" s="178"/>
      <c r="J2250" s="178"/>
      <c r="K2250" s="33" t="s">
        <v>29</v>
      </c>
      <c r="L2250" s="12"/>
      <c r="M2250" s="12"/>
      <c r="N2250" s="12"/>
      <c r="O2250" s="12"/>
      <c r="P2250" s="12"/>
      <c r="Q2250" s="12"/>
      <c r="R2250" s="12"/>
      <c r="S2250" s="12"/>
      <c r="T2250" s="12"/>
      <c r="U2250" s="12"/>
      <c r="V2250" s="12"/>
      <c r="X2250" s="70" t="s">
        <v>105</v>
      </c>
    </row>
    <row r="2251" spans="2:24" ht="12.75" customHeight="1" thickBot="1" x14ac:dyDescent="0.3"/>
    <row r="2252" spans="2:24" ht="13.8" thickTop="1" x14ac:dyDescent="0.25">
      <c r="B2252" s="34" t="s">
        <v>37</v>
      </c>
      <c r="C2252" s="34"/>
      <c r="D2252" s="34"/>
      <c r="H2252" s="150" t="s">
        <v>40</v>
      </c>
      <c r="I2252" s="151"/>
      <c r="J2252" s="151"/>
      <c r="K2252" s="151"/>
      <c r="L2252" s="151"/>
      <c r="M2252" s="151"/>
      <c r="N2252" s="151"/>
      <c r="O2252" s="151"/>
      <c r="P2252" s="151"/>
      <c r="Q2252" s="151"/>
      <c r="R2252" s="151"/>
      <c r="S2252" s="151"/>
      <c r="T2252" s="151"/>
      <c r="U2252" s="151"/>
      <c r="V2252" s="151"/>
    </row>
    <row r="2253" spans="2:24" x14ac:dyDescent="0.25">
      <c r="B2253" s="34" t="s">
        <v>38</v>
      </c>
      <c r="C2253" s="34"/>
      <c r="D2253" s="34"/>
      <c r="H2253" s="152"/>
      <c r="I2253" s="153"/>
      <c r="J2253" s="153"/>
      <c r="K2253" s="153"/>
      <c r="L2253" s="153"/>
      <c r="M2253" s="153"/>
      <c r="N2253" s="153"/>
      <c r="O2253" s="153"/>
      <c r="P2253" s="153"/>
      <c r="Q2253" s="153"/>
      <c r="R2253" s="153"/>
      <c r="S2253" s="153"/>
      <c r="T2253" s="153"/>
      <c r="U2253" s="153"/>
      <c r="V2253" s="153"/>
    </row>
    <row r="2254" spans="2:24" ht="12.75" customHeight="1" x14ac:dyDescent="0.25">
      <c r="B2254" s="163" t="s">
        <v>39</v>
      </c>
      <c r="C2254" s="163"/>
      <c r="D2254" s="163"/>
      <c r="E2254" s="163"/>
      <c r="F2254" s="163"/>
      <c r="H2254" s="37" t="s">
        <v>41</v>
      </c>
    </row>
    <row r="2255" spans="2:24" ht="13.8" x14ac:dyDescent="0.25">
      <c r="B2255" s="163"/>
      <c r="C2255" s="163"/>
      <c r="D2255" s="163"/>
      <c r="E2255" s="163"/>
      <c r="F2255" s="163"/>
      <c r="H2255" s="38" t="s">
        <v>42</v>
      </c>
    </row>
    <row r="2256" spans="2:24" x14ac:dyDescent="0.25">
      <c r="B2256" s="163"/>
      <c r="C2256" s="163"/>
      <c r="D2256" s="163"/>
      <c r="E2256" s="163"/>
      <c r="F2256" s="163"/>
      <c r="H2256" s="36"/>
    </row>
    <row r="2257" spans="2:24" x14ac:dyDescent="0.25">
      <c r="B2257" s="163"/>
      <c r="C2257" s="163"/>
      <c r="D2257" s="163"/>
      <c r="E2257" s="163"/>
      <c r="F2257" s="163"/>
      <c r="H2257" s="36"/>
    </row>
    <row r="2258" spans="2:24" x14ac:dyDescent="0.25">
      <c r="H2258" s="36"/>
    </row>
    <row r="2259" spans="2:24" x14ac:dyDescent="0.25">
      <c r="H2259" s="36"/>
    </row>
    <row r="2260" spans="2:24" x14ac:dyDescent="0.25">
      <c r="H2260" s="36"/>
    </row>
    <row r="2261" spans="2:24" x14ac:dyDescent="0.25">
      <c r="H2261" s="36"/>
    </row>
    <row r="2262" spans="2:24" ht="13.8" x14ac:dyDescent="0.25">
      <c r="H2262" s="157" t="str">
        <f>IF(F2202&lt;&gt;"",$H$78,"")</f>
        <v/>
      </c>
      <c r="I2262" s="158"/>
      <c r="J2262" s="158"/>
      <c r="K2262" s="158"/>
      <c r="L2262" s="158"/>
      <c r="M2262" s="158"/>
      <c r="N2262" s="158"/>
      <c r="O2262" s="158"/>
      <c r="P2262" s="158"/>
      <c r="Q2262" s="158"/>
      <c r="R2262" s="158"/>
      <c r="S2262" s="158"/>
      <c r="T2262" s="158"/>
      <c r="U2262" s="158"/>
      <c r="V2262" s="158"/>
    </row>
    <row r="2263" spans="2:24" x14ac:dyDescent="0.25">
      <c r="H2263" s="36"/>
    </row>
    <row r="2264" spans="2:24" ht="28.5" customHeight="1" x14ac:dyDescent="0.3">
      <c r="B2264" s="193" t="s">
        <v>43</v>
      </c>
      <c r="C2264" s="193"/>
      <c r="D2264" s="193"/>
      <c r="E2264" s="194"/>
      <c r="F2264" s="194"/>
      <c r="G2264" s="194"/>
      <c r="H2264" s="194"/>
      <c r="I2264" s="2"/>
      <c r="J2264" s="2"/>
      <c r="K2264" s="13" t="s">
        <v>25</v>
      </c>
      <c r="L2264" s="195" t="s">
        <v>14</v>
      </c>
      <c r="M2264" s="196"/>
      <c r="N2264" s="196"/>
      <c r="O2264" s="196"/>
      <c r="P2264" s="196"/>
      <c r="Q2264" s="196"/>
      <c r="R2264" s="196"/>
      <c r="S2264" s="196"/>
      <c r="T2264" s="196"/>
      <c r="U2264" s="196"/>
      <c r="V2264" s="197"/>
      <c r="X2264" s="1"/>
    </row>
    <row r="2265" spans="2:24" ht="26.25" customHeight="1" x14ac:dyDescent="0.4">
      <c r="B2265" s="39" t="s">
        <v>44</v>
      </c>
      <c r="C2265" s="39"/>
      <c r="D2265" s="39"/>
      <c r="E2265" s="2"/>
      <c r="F2265" s="2"/>
      <c r="G2265" s="2"/>
      <c r="H2265" s="2"/>
      <c r="I2265" s="2"/>
      <c r="J2265" s="2"/>
      <c r="K2265" s="29" t="s">
        <v>13</v>
      </c>
      <c r="L2265" s="15">
        <v>4</v>
      </c>
      <c r="M2265" s="16">
        <v>1</v>
      </c>
      <c r="N2265" s="15">
        <v>0</v>
      </c>
      <c r="O2265" s="198">
        <v>0</v>
      </c>
      <c r="P2265" s="199"/>
      <c r="Q2265" s="14">
        <v>0</v>
      </c>
      <c r="R2265" s="200">
        <v>1</v>
      </c>
      <c r="S2265" s="201"/>
      <c r="T2265" s="6"/>
      <c r="U2265" s="6"/>
      <c r="V2265" s="7"/>
      <c r="X2265" s="1"/>
    </row>
    <row r="2266" spans="2:24" ht="21" customHeight="1" x14ac:dyDescent="0.25">
      <c r="B2266" s="26" t="s">
        <v>45</v>
      </c>
      <c r="C2266" s="26"/>
      <c r="D2266" s="26"/>
      <c r="E2266" s="25"/>
      <c r="F2266" s="25"/>
      <c r="G2266" s="25"/>
      <c r="H2266" s="25"/>
      <c r="I2266" s="25"/>
      <c r="J2266" s="25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X2266" s="1"/>
    </row>
    <row r="2267" spans="2:24" ht="13.5" customHeight="1" x14ac:dyDescent="0.25">
      <c r="B2267" s="40" t="s">
        <v>24</v>
      </c>
      <c r="C2267" s="40"/>
      <c r="D2267" s="40"/>
      <c r="E2267" s="25"/>
      <c r="F2267" s="25"/>
      <c r="G2267" s="25"/>
      <c r="H2267" s="25"/>
      <c r="I2267" s="25"/>
      <c r="J2267" s="25"/>
      <c r="K2267" s="28" t="s">
        <v>6</v>
      </c>
      <c r="L2267" s="202" t="str">
        <f>IF(F2280&lt;&gt;"",$L$5,"")</f>
        <v/>
      </c>
      <c r="M2267" s="203"/>
      <c r="N2267" s="204" t="s">
        <v>15</v>
      </c>
      <c r="O2267" s="204"/>
      <c r="P2267" s="204"/>
      <c r="Q2267" s="205" t="str">
        <f>IF(F2280&lt;&gt;"",$Q$5,"")</f>
        <v/>
      </c>
      <c r="R2267" s="206"/>
      <c r="S2267" s="207" t="s">
        <v>16</v>
      </c>
      <c r="T2267" s="204"/>
      <c r="U2267" s="82" t="str">
        <f>IF(F2280&lt;&gt;"",$U$5,"")</f>
        <v/>
      </c>
      <c r="V2267" s="63"/>
      <c r="X2267" s="1"/>
    </row>
    <row r="2268" spans="2:24" ht="8.25" customHeight="1" x14ac:dyDescent="0.25"/>
    <row r="2269" spans="2:24" ht="11.25" customHeight="1" x14ac:dyDescent="0.25">
      <c r="B2269" s="24" t="s">
        <v>17</v>
      </c>
      <c r="C2269" s="24"/>
      <c r="D2269" s="24"/>
    </row>
    <row r="2270" spans="2:24" ht="11.25" customHeight="1" x14ac:dyDescent="0.25">
      <c r="B2270" s="8" t="s">
        <v>18</v>
      </c>
      <c r="C2270" s="8"/>
      <c r="D2270" s="8"/>
    </row>
    <row r="2271" spans="2:24" ht="5.25" customHeight="1" x14ac:dyDescent="0.25">
      <c r="B2271" s="8"/>
      <c r="C2271" s="8"/>
      <c r="D2271" s="8"/>
    </row>
    <row r="2272" spans="2:24" x14ac:dyDescent="0.25">
      <c r="B2272" s="179" t="s">
        <v>19</v>
      </c>
      <c r="C2272" s="179"/>
      <c r="D2272" s="179"/>
      <c r="E2272" s="179"/>
      <c r="F2272" s="179"/>
      <c r="G2272" s="18" t="s">
        <v>6</v>
      </c>
      <c r="H2272" s="64" t="str">
        <f>IF(F2280&lt;&gt;"",$H$10,"")</f>
        <v/>
      </c>
      <c r="I2272" s="9" t="s">
        <v>15</v>
      </c>
      <c r="J2272" s="83" t="str">
        <f>IF(F2280&lt;&gt;"",$J$10,"")</f>
        <v/>
      </c>
      <c r="K2272" s="9" t="s">
        <v>16</v>
      </c>
      <c r="L2272" s="180" t="str">
        <f>IF(F2280&lt;&gt;"",$L$10,"")</f>
        <v/>
      </c>
      <c r="M2272" s="181"/>
      <c r="X2272" s="32"/>
    </row>
    <row r="2273" spans="2:24" ht="5.25" customHeight="1" x14ac:dyDescent="0.25">
      <c r="B2273" s="8"/>
      <c r="C2273" s="8"/>
      <c r="D2273" s="8"/>
      <c r="E2273" s="8"/>
      <c r="F2273" s="8"/>
      <c r="G2273" s="19"/>
      <c r="H2273" s="20"/>
      <c r="I2273" s="21"/>
      <c r="J2273" s="20"/>
      <c r="K2273" s="10"/>
      <c r="L2273" s="22"/>
      <c r="X2273" s="32"/>
    </row>
    <row r="2274" spans="2:24" s="73" customFormat="1" ht="14.4" customHeight="1" x14ac:dyDescent="0.25">
      <c r="B2274" s="72" t="s">
        <v>20</v>
      </c>
      <c r="C2274" s="72"/>
      <c r="D2274" s="72"/>
      <c r="X2274" s="74"/>
    </row>
    <row r="2275" spans="2:24" s="73" customFormat="1" ht="14.4" customHeight="1" x14ac:dyDescent="0.25">
      <c r="B2275" s="75" t="s">
        <v>21</v>
      </c>
      <c r="C2275" s="10"/>
      <c r="D2275" s="10"/>
      <c r="E2275" s="22" t="s">
        <v>22</v>
      </c>
      <c r="X2275" s="74"/>
    </row>
    <row r="2276" spans="2:24" s="73" customFormat="1" ht="14.4" customHeight="1" x14ac:dyDescent="0.25">
      <c r="B2276" s="22"/>
      <c r="C2276" s="22"/>
      <c r="D2276" s="22"/>
      <c r="E2276" s="22" t="s">
        <v>23</v>
      </c>
      <c r="X2276" s="164" t="s">
        <v>102</v>
      </c>
    </row>
    <row r="2277" spans="2:24" ht="7.5" customHeight="1" x14ac:dyDescent="0.25">
      <c r="B2277" s="8"/>
      <c r="C2277" s="8"/>
      <c r="D2277" s="8"/>
      <c r="X2277" s="164"/>
    </row>
    <row r="2278" spans="2:24" ht="17.25" customHeight="1" x14ac:dyDescent="0.25">
      <c r="B2278" s="182"/>
      <c r="C2278" s="59"/>
      <c r="D2278" s="60"/>
      <c r="E2278" s="184" t="s">
        <v>0</v>
      </c>
      <c r="F2278" s="186" t="s">
        <v>1</v>
      </c>
      <c r="G2278" s="187"/>
      <c r="H2278" s="4"/>
      <c r="I2278" s="4"/>
      <c r="J2278" s="4"/>
      <c r="K2278" s="5"/>
      <c r="L2278" s="145" t="s">
        <v>3</v>
      </c>
      <c r="M2278" s="142"/>
      <c r="N2278" s="188" t="s">
        <v>10</v>
      </c>
      <c r="O2278" s="188"/>
      <c r="P2278" s="188"/>
      <c r="Q2278" s="188"/>
      <c r="R2278" s="188"/>
      <c r="S2278" s="188"/>
      <c r="T2278" s="188"/>
      <c r="U2278" s="189"/>
      <c r="V2278" s="3" t="s">
        <v>12</v>
      </c>
      <c r="X2278" s="68" t="s">
        <v>200</v>
      </c>
    </row>
    <row r="2279" spans="2:24" ht="17.25" customHeight="1" x14ac:dyDescent="0.25">
      <c r="B2279" s="183"/>
      <c r="C2279" s="61"/>
      <c r="D2279" s="62"/>
      <c r="E2279" s="185"/>
      <c r="F2279" s="30" t="s">
        <v>2</v>
      </c>
      <c r="G2279" s="17"/>
      <c r="H2279" s="6"/>
      <c r="I2279" s="6"/>
      <c r="J2279" s="6"/>
      <c r="K2279" s="7"/>
      <c r="L2279" s="190" t="s">
        <v>4</v>
      </c>
      <c r="M2279" s="191"/>
      <c r="N2279" s="192" t="s">
        <v>9</v>
      </c>
      <c r="O2279" s="192"/>
      <c r="P2279" s="192"/>
      <c r="Q2279" s="192"/>
      <c r="R2279" s="192"/>
      <c r="S2279" s="192"/>
      <c r="T2279" s="192"/>
      <c r="U2279" s="191"/>
      <c r="V2279" s="31" t="s">
        <v>11</v>
      </c>
      <c r="X2279" s="69"/>
    </row>
    <row r="2280" spans="2:24" ht="10.95" customHeight="1" x14ac:dyDescent="0.25">
      <c r="B2280" s="41"/>
      <c r="C2280" s="51"/>
      <c r="D2280" s="42"/>
      <c r="E2280" s="154">
        <v>291</v>
      </c>
      <c r="F2280" s="145" t="str">
        <f>_xlfn.IFNA(VLOOKUP(E2280,'Data Kyu'!$A$6:$I$471,3,0),"")</f>
        <v/>
      </c>
      <c r="G2280" s="142"/>
      <c r="H2280" s="66"/>
      <c r="I2280" s="66"/>
      <c r="J2280" s="66"/>
      <c r="K2280" s="66"/>
      <c r="L2280" s="145" t="str">
        <f>_xlfn.IFNA(VLOOKUP(E2280,'Data Kyu'!$A$6:$I$471,9,0),"")</f>
        <v/>
      </c>
      <c r="M2280" s="142"/>
      <c r="N2280" s="145" t="str">
        <f>_xlfn.IFNA(VLOOKUP(E2280,'Data Kyu'!$A$6:$I$471,6,0),"")</f>
        <v/>
      </c>
      <c r="O2280" s="141"/>
      <c r="P2280" s="139" t="s">
        <v>5</v>
      </c>
      <c r="Q2280" s="141" t="str">
        <f>_xlfn.IFNA(VLOOKUP(E2280,'Data Kyu'!$A$6:$I$471,7,0),"")</f>
        <v/>
      </c>
      <c r="R2280" s="141"/>
      <c r="S2280" s="139" t="s">
        <v>5</v>
      </c>
      <c r="T2280" s="141" t="str">
        <f>_xlfn.IFNA(VLOOKUP(E2280,'Data Kyu'!$A$6:$I$471,8,0),"")</f>
        <v/>
      </c>
      <c r="U2280" s="142"/>
      <c r="V2280" s="142" t="str">
        <f>_xlfn.IFNA(VLOOKUP(E2280,'Data Kyu'!$A$6:$I$471,4,0),"")</f>
        <v/>
      </c>
      <c r="X2280" s="214" t="str">
        <f>_xlfn.IFNA(VLOOKUP(F2280,'Data Kyu'!$C$6:$N$997,12,0),"No Data")</f>
        <v>No Data</v>
      </c>
    </row>
    <row r="2281" spans="2:24" ht="10.95" customHeight="1" x14ac:dyDescent="0.25">
      <c r="B2281" s="52"/>
      <c r="C2281" s="165" t="str">
        <f>IF(X2280="LULUS","V","")</f>
        <v/>
      </c>
      <c r="D2281" s="53"/>
      <c r="E2281" s="155"/>
      <c r="F2281" s="148"/>
      <c r="G2281" s="144"/>
      <c r="H2281" s="67"/>
      <c r="I2281" s="67"/>
      <c r="J2281" s="67"/>
      <c r="K2281" s="67"/>
      <c r="L2281" s="146"/>
      <c r="M2281" s="147"/>
      <c r="N2281" s="148"/>
      <c r="O2281" s="143"/>
      <c r="P2281" s="140"/>
      <c r="Q2281" s="143"/>
      <c r="R2281" s="143"/>
      <c r="S2281" s="140"/>
      <c r="T2281" s="143"/>
      <c r="U2281" s="144"/>
      <c r="V2281" s="147"/>
      <c r="X2281" s="214"/>
    </row>
    <row r="2282" spans="2:24" ht="10.95" customHeight="1" x14ac:dyDescent="0.25">
      <c r="B2282" s="52"/>
      <c r="C2282" s="166"/>
      <c r="D2282" s="53"/>
      <c r="E2282" s="155"/>
      <c r="F2282" s="167" t="str">
        <f>_xlfn.IFNA(VLOOKUP(E2280,'Data Kyu'!$A$6:$I$471,2,0),"")</f>
        <v/>
      </c>
      <c r="G2282" s="168"/>
      <c r="H2282" s="168"/>
      <c r="I2282" s="168"/>
      <c r="J2282" s="168"/>
      <c r="K2282" s="169"/>
      <c r="L2282" s="146"/>
      <c r="M2282" s="147"/>
      <c r="N2282" s="173" t="s">
        <v>6</v>
      </c>
      <c r="O2282" s="159"/>
      <c r="P2282" s="57"/>
      <c r="Q2282" s="159" t="s">
        <v>7</v>
      </c>
      <c r="R2282" s="159"/>
      <c r="S2282" s="57"/>
      <c r="T2282" s="159" t="s">
        <v>8</v>
      </c>
      <c r="U2282" s="160"/>
      <c r="V2282" s="175"/>
      <c r="X2282" s="214"/>
    </row>
    <row r="2283" spans="2:24" ht="10.95" customHeight="1" x14ac:dyDescent="0.25">
      <c r="B2283" s="54"/>
      <c r="C2283" s="76"/>
      <c r="D2283" s="56"/>
      <c r="E2283" s="156"/>
      <c r="F2283" s="170"/>
      <c r="G2283" s="171"/>
      <c r="H2283" s="171"/>
      <c r="I2283" s="171"/>
      <c r="J2283" s="171"/>
      <c r="K2283" s="172"/>
      <c r="L2283" s="148"/>
      <c r="M2283" s="144"/>
      <c r="N2283" s="174"/>
      <c r="O2283" s="161"/>
      <c r="P2283" s="27"/>
      <c r="Q2283" s="161"/>
      <c r="R2283" s="161"/>
      <c r="S2283" s="27"/>
      <c r="T2283" s="161"/>
      <c r="U2283" s="162"/>
      <c r="V2283" s="176"/>
      <c r="X2283" s="214"/>
    </row>
    <row r="2284" spans="2:24" ht="10.95" customHeight="1" x14ac:dyDescent="0.25">
      <c r="B2284" s="41"/>
      <c r="C2284" s="77"/>
      <c r="D2284" s="42"/>
      <c r="E2284" s="154">
        <f>E2280+1</f>
        <v>292</v>
      </c>
      <c r="F2284" s="145" t="str">
        <f>_xlfn.IFNA(VLOOKUP(E2284,'Data Kyu'!$A$6:$I$471,3,0),"")</f>
        <v/>
      </c>
      <c r="G2284" s="142"/>
      <c r="H2284" s="66"/>
      <c r="I2284" s="66"/>
      <c r="J2284" s="66"/>
      <c r="K2284" s="66"/>
      <c r="L2284" s="145" t="str">
        <f>_xlfn.IFNA(VLOOKUP(E2284,'Data Kyu'!$A$6:$I$471,9,0),"")</f>
        <v/>
      </c>
      <c r="M2284" s="142"/>
      <c r="N2284" s="145" t="str">
        <f>_xlfn.IFNA(VLOOKUP(E2284,'Data Kyu'!$A$6:$I$471,6,0),"")</f>
        <v/>
      </c>
      <c r="O2284" s="141"/>
      <c r="P2284" s="139" t="s">
        <v>5</v>
      </c>
      <c r="Q2284" s="141" t="str">
        <f>_xlfn.IFNA(VLOOKUP(E2284,'Data Kyu'!$A$6:$I$471,7,0),"")</f>
        <v/>
      </c>
      <c r="R2284" s="141"/>
      <c r="S2284" s="139" t="s">
        <v>5</v>
      </c>
      <c r="T2284" s="141" t="str">
        <f>_xlfn.IFNA(VLOOKUP(E2284,'Data Kyu'!$A$6:$I$471,8,0),"")</f>
        <v/>
      </c>
      <c r="U2284" s="142"/>
      <c r="V2284" s="142" t="str">
        <f>_xlfn.IFNA(VLOOKUP(E2284,'Data Kyu'!$A$6:$I$471,4,0),"")</f>
        <v/>
      </c>
      <c r="X2284" s="214" t="str">
        <f>_xlfn.IFNA(VLOOKUP(F2284,'Data Kyu'!$C$6:$N$997,12,0),"No Data")</f>
        <v>No Data</v>
      </c>
    </row>
    <row r="2285" spans="2:24" ht="10.95" customHeight="1" x14ac:dyDescent="0.25">
      <c r="B2285" s="52"/>
      <c r="C2285" s="165" t="str">
        <f>IF(X2284="LULUS","V","")</f>
        <v/>
      </c>
      <c r="D2285" s="53"/>
      <c r="E2285" s="155"/>
      <c r="F2285" s="148"/>
      <c r="G2285" s="144"/>
      <c r="H2285" s="67"/>
      <c r="I2285" s="67"/>
      <c r="J2285" s="67"/>
      <c r="K2285" s="67"/>
      <c r="L2285" s="146"/>
      <c r="M2285" s="147"/>
      <c r="N2285" s="148"/>
      <c r="O2285" s="143"/>
      <c r="P2285" s="140"/>
      <c r="Q2285" s="143"/>
      <c r="R2285" s="143"/>
      <c r="S2285" s="140"/>
      <c r="T2285" s="143"/>
      <c r="U2285" s="144"/>
      <c r="V2285" s="147"/>
      <c r="X2285" s="214"/>
    </row>
    <row r="2286" spans="2:24" ht="10.95" customHeight="1" x14ac:dyDescent="0.25">
      <c r="B2286" s="52"/>
      <c r="C2286" s="166"/>
      <c r="D2286" s="53"/>
      <c r="E2286" s="155"/>
      <c r="F2286" s="167" t="str">
        <f>_xlfn.IFNA(VLOOKUP(E2284,'Data Kyu'!$A$6:$I$471,2,0),"")</f>
        <v/>
      </c>
      <c r="G2286" s="168"/>
      <c r="H2286" s="168"/>
      <c r="I2286" s="168"/>
      <c r="J2286" s="168"/>
      <c r="K2286" s="169"/>
      <c r="L2286" s="146"/>
      <c r="M2286" s="147"/>
      <c r="N2286" s="173" t="s">
        <v>6</v>
      </c>
      <c r="O2286" s="159"/>
      <c r="P2286" s="57"/>
      <c r="Q2286" s="159" t="s">
        <v>7</v>
      </c>
      <c r="R2286" s="159"/>
      <c r="S2286" s="57"/>
      <c r="T2286" s="159" t="s">
        <v>8</v>
      </c>
      <c r="U2286" s="160"/>
      <c r="V2286" s="175"/>
      <c r="X2286" s="214"/>
    </row>
    <row r="2287" spans="2:24" ht="10.95" customHeight="1" x14ac:dyDescent="0.25">
      <c r="B2287" s="54"/>
      <c r="C2287" s="76"/>
      <c r="D2287" s="56"/>
      <c r="E2287" s="156"/>
      <c r="F2287" s="170"/>
      <c r="G2287" s="171"/>
      <c r="H2287" s="171"/>
      <c r="I2287" s="171"/>
      <c r="J2287" s="171"/>
      <c r="K2287" s="172"/>
      <c r="L2287" s="148"/>
      <c r="M2287" s="144"/>
      <c r="N2287" s="174"/>
      <c r="O2287" s="161"/>
      <c r="P2287" s="27"/>
      <c r="Q2287" s="161"/>
      <c r="R2287" s="161"/>
      <c r="S2287" s="27"/>
      <c r="T2287" s="161"/>
      <c r="U2287" s="162"/>
      <c r="V2287" s="176"/>
      <c r="X2287" s="214"/>
    </row>
    <row r="2288" spans="2:24" ht="10.95" customHeight="1" x14ac:dyDescent="0.25">
      <c r="B2288" s="41"/>
      <c r="C2288" s="77"/>
      <c r="D2288" s="42"/>
      <c r="E2288" s="154">
        <f t="shared" ref="E2288" si="152">E2284+1</f>
        <v>293</v>
      </c>
      <c r="F2288" s="145" t="str">
        <f>_xlfn.IFNA(VLOOKUP(E2288,'Data Kyu'!$A$6:$I$471,3,0),"")</f>
        <v/>
      </c>
      <c r="G2288" s="142"/>
      <c r="H2288" s="66"/>
      <c r="I2288" s="66"/>
      <c r="J2288" s="66"/>
      <c r="K2288" s="66"/>
      <c r="L2288" s="145" t="str">
        <f>_xlfn.IFNA(VLOOKUP(E2288,'Data Kyu'!$A$6:$I$471,9,0),"")</f>
        <v/>
      </c>
      <c r="M2288" s="142"/>
      <c r="N2288" s="145" t="str">
        <f>_xlfn.IFNA(VLOOKUP(E2288,'Data Kyu'!$A$6:$I$471,6,0),"")</f>
        <v/>
      </c>
      <c r="O2288" s="141"/>
      <c r="P2288" s="139" t="s">
        <v>5</v>
      </c>
      <c r="Q2288" s="141" t="str">
        <f>_xlfn.IFNA(VLOOKUP(E2288,'Data Kyu'!$A$6:$I$471,7,0),"")</f>
        <v/>
      </c>
      <c r="R2288" s="141"/>
      <c r="S2288" s="139" t="s">
        <v>5</v>
      </c>
      <c r="T2288" s="141" t="str">
        <f>_xlfn.IFNA(VLOOKUP(E2288,'Data Kyu'!$A$6:$I$471,8,0),"")</f>
        <v/>
      </c>
      <c r="U2288" s="142"/>
      <c r="V2288" s="142" t="str">
        <f>_xlfn.IFNA(VLOOKUP(E2288,'Data Kyu'!$A$6:$I$471,4,0),"")</f>
        <v/>
      </c>
      <c r="X2288" s="214" t="str">
        <f>_xlfn.IFNA(VLOOKUP(F2288,'Data Kyu'!$C$6:$N$997,12,0),"No Data")</f>
        <v>No Data</v>
      </c>
    </row>
    <row r="2289" spans="2:24" ht="10.95" customHeight="1" x14ac:dyDescent="0.25">
      <c r="B2289" s="52"/>
      <c r="C2289" s="165" t="str">
        <f>IF(X2288="LULUS","V","")</f>
        <v/>
      </c>
      <c r="D2289" s="53"/>
      <c r="E2289" s="155"/>
      <c r="F2289" s="148"/>
      <c r="G2289" s="144"/>
      <c r="H2289" s="67"/>
      <c r="I2289" s="67"/>
      <c r="J2289" s="67"/>
      <c r="K2289" s="67"/>
      <c r="L2289" s="146"/>
      <c r="M2289" s="147"/>
      <c r="N2289" s="148"/>
      <c r="O2289" s="143"/>
      <c r="P2289" s="140"/>
      <c r="Q2289" s="143"/>
      <c r="R2289" s="143"/>
      <c r="S2289" s="140"/>
      <c r="T2289" s="143"/>
      <c r="U2289" s="144"/>
      <c r="V2289" s="147"/>
      <c r="X2289" s="214"/>
    </row>
    <row r="2290" spans="2:24" ht="10.95" customHeight="1" x14ac:dyDescent="0.25">
      <c r="B2290" s="52"/>
      <c r="C2290" s="166"/>
      <c r="D2290" s="53"/>
      <c r="E2290" s="155"/>
      <c r="F2290" s="167" t="str">
        <f>_xlfn.IFNA(VLOOKUP(E2288,'Data Kyu'!$A$6:$I$471,2,0),"")</f>
        <v/>
      </c>
      <c r="G2290" s="168"/>
      <c r="H2290" s="168"/>
      <c r="I2290" s="168"/>
      <c r="J2290" s="168"/>
      <c r="K2290" s="169"/>
      <c r="L2290" s="146"/>
      <c r="M2290" s="147"/>
      <c r="N2290" s="173" t="s">
        <v>6</v>
      </c>
      <c r="O2290" s="159"/>
      <c r="P2290" s="57"/>
      <c r="Q2290" s="159" t="s">
        <v>7</v>
      </c>
      <c r="R2290" s="159"/>
      <c r="S2290" s="57"/>
      <c r="T2290" s="159" t="s">
        <v>8</v>
      </c>
      <c r="U2290" s="160"/>
      <c r="V2290" s="175"/>
      <c r="X2290" s="214"/>
    </row>
    <row r="2291" spans="2:24" ht="10.95" customHeight="1" x14ac:dyDescent="0.25">
      <c r="B2291" s="54"/>
      <c r="C2291" s="76"/>
      <c r="D2291" s="56"/>
      <c r="E2291" s="156"/>
      <c r="F2291" s="170"/>
      <c r="G2291" s="171"/>
      <c r="H2291" s="171"/>
      <c r="I2291" s="171"/>
      <c r="J2291" s="171"/>
      <c r="K2291" s="172"/>
      <c r="L2291" s="148"/>
      <c r="M2291" s="144"/>
      <c r="N2291" s="174"/>
      <c r="O2291" s="161"/>
      <c r="P2291" s="27"/>
      <c r="Q2291" s="161"/>
      <c r="R2291" s="161"/>
      <c r="S2291" s="27"/>
      <c r="T2291" s="161"/>
      <c r="U2291" s="162"/>
      <c r="V2291" s="176"/>
      <c r="X2291" s="214"/>
    </row>
    <row r="2292" spans="2:24" ht="10.95" customHeight="1" x14ac:dyDescent="0.25">
      <c r="B2292" s="41"/>
      <c r="C2292" s="77"/>
      <c r="D2292" s="42"/>
      <c r="E2292" s="154">
        <f t="shared" ref="E2292" si="153">E2288+1</f>
        <v>294</v>
      </c>
      <c r="F2292" s="145" t="str">
        <f>_xlfn.IFNA(VLOOKUP(E2292,'Data Kyu'!$A$6:$I$471,3,0),"")</f>
        <v/>
      </c>
      <c r="G2292" s="142"/>
      <c r="H2292" s="66"/>
      <c r="I2292" s="66"/>
      <c r="J2292" s="66"/>
      <c r="K2292" s="66"/>
      <c r="L2292" s="145" t="str">
        <f>_xlfn.IFNA(VLOOKUP(E2292,'Data Kyu'!$A$6:$I$471,9,0),"")</f>
        <v/>
      </c>
      <c r="M2292" s="142"/>
      <c r="N2292" s="145" t="str">
        <f>_xlfn.IFNA(VLOOKUP(E2292,'Data Kyu'!$A$6:$I$471,6,0),"")</f>
        <v/>
      </c>
      <c r="O2292" s="141"/>
      <c r="P2292" s="139" t="s">
        <v>5</v>
      </c>
      <c r="Q2292" s="141" t="str">
        <f>_xlfn.IFNA(VLOOKUP(E2292,'Data Kyu'!$A$6:$I$471,7,0),"")</f>
        <v/>
      </c>
      <c r="R2292" s="141"/>
      <c r="S2292" s="139" t="s">
        <v>5</v>
      </c>
      <c r="T2292" s="141" t="str">
        <f>_xlfn.IFNA(VLOOKUP(E2292,'Data Kyu'!$A$6:$I$471,8,0),"")</f>
        <v/>
      </c>
      <c r="U2292" s="142"/>
      <c r="V2292" s="142" t="str">
        <f>_xlfn.IFNA(VLOOKUP(E2292,'Data Kyu'!$A$6:$I$471,4,0),"")</f>
        <v/>
      </c>
      <c r="X2292" s="214" t="str">
        <f>_xlfn.IFNA(VLOOKUP(F2292,'Data Kyu'!$C$6:$N$997,12,0),"No Data")</f>
        <v>No Data</v>
      </c>
    </row>
    <row r="2293" spans="2:24" ht="10.95" customHeight="1" x14ac:dyDescent="0.25">
      <c r="B2293" s="52"/>
      <c r="C2293" s="165" t="str">
        <f>IF(X2292="LULUS","V","")</f>
        <v/>
      </c>
      <c r="D2293" s="53"/>
      <c r="E2293" s="155"/>
      <c r="F2293" s="148"/>
      <c r="G2293" s="144"/>
      <c r="H2293" s="67"/>
      <c r="I2293" s="67"/>
      <c r="J2293" s="67"/>
      <c r="K2293" s="67"/>
      <c r="L2293" s="146"/>
      <c r="M2293" s="147"/>
      <c r="N2293" s="148"/>
      <c r="O2293" s="143"/>
      <c r="P2293" s="140"/>
      <c r="Q2293" s="143"/>
      <c r="R2293" s="143"/>
      <c r="S2293" s="140"/>
      <c r="T2293" s="143"/>
      <c r="U2293" s="144"/>
      <c r="V2293" s="147"/>
      <c r="X2293" s="214"/>
    </row>
    <row r="2294" spans="2:24" ht="10.95" customHeight="1" x14ac:dyDescent="0.25">
      <c r="B2294" s="52"/>
      <c r="C2294" s="166"/>
      <c r="D2294" s="53"/>
      <c r="E2294" s="155"/>
      <c r="F2294" s="167" t="str">
        <f>_xlfn.IFNA(VLOOKUP(E2292,'Data Kyu'!$A$6:$I$471,2,0),"")</f>
        <v/>
      </c>
      <c r="G2294" s="168"/>
      <c r="H2294" s="168"/>
      <c r="I2294" s="168"/>
      <c r="J2294" s="168"/>
      <c r="K2294" s="169"/>
      <c r="L2294" s="146"/>
      <c r="M2294" s="147"/>
      <c r="N2294" s="173" t="s">
        <v>6</v>
      </c>
      <c r="O2294" s="159"/>
      <c r="P2294" s="57"/>
      <c r="Q2294" s="159" t="s">
        <v>7</v>
      </c>
      <c r="R2294" s="159"/>
      <c r="S2294" s="57"/>
      <c r="T2294" s="159" t="s">
        <v>8</v>
      </c>
      <c r="U2294" s="160"/>
      <c r="V2294" s="175"/>
      <c r="X2294" s="214"/>
    </row>
    <row r="2295" spans="2:24" ht="10.95" customHeight="1" x14ac:dyDescent="0.25">
      <c r="B2295" s="54"/>
      <c r="C2295" s="76"/>
      <c r="D2295" s="56"/>
      <c r="E2295" s="156"/>
      <c r="F2295" s="170"/>
      <c r="G2295" s="171"/>
      <c r="H2295" s="171"/>
      <c r="I2295" s="171"/>
      <c r="J2295" s="171"/>
      <c r="K2295" s="172"/>
      <c r="L2295" s="148"/>
      <c r="M2295" s="144"/>
      <c r="N2295" s="174"/>
      <c r="O2295" s="161"/>
      <c r="P2295" s="27"/>
      <c r="Q2295" s="161"/>
      <c r="R2295" s="161"/>
      <c r="S2295" s="27"/>
      <c r="T2295" s="161"/>
      <c r="U2295" s="162"/>
      <c r="V2295" s="176"/>
      <c r="X2295" s="214"/>
    </row>
    <row r="2296" spans="2:24" ht="10.95" customHeight="1" x14ac:dyDescent="0.25">
      <c r="B2296" s="41"/>
      <c r="C2296" s="77"/>
      <c r="D2296" s="42"/>
      <c r="E2296" s="154">
        <f t="shared" ref="E2296" si="154">E2292+1</f>
        <v>295</v>
      </c>
      <c r="F2296" s="145" t="str">
        <f>_xlfn.IFNA(VLOOKUP(E2296,'Data Kyu'!$A$6:$I$471,3,0),"")</f>
        <v/>
      </c>
      <c r="G2296" s="142"/>
      <c r="H2296" s="66"/>
      <c r="I2296" s="66"/>
      <c r="J2296" s="66"/>
      <c r="K2296" s="66"/>
      <c r="L2296" s="145" t="str">
        <f>_xlfn.IFNA(VLOOKUP(E2296,'Data Kyu'!$A$6:$I$471,9,0),"")</f>
        <v/>
      </c>
      <c r="M2296" s="142"/>
      <c r="N2296" s="145" t="str">
        <f>_xlfn.IFNA(VLOOKUP(E2296,'Data Kyu'!$A$6:$I$471,6,0),"")</f>
        <v/>
      </c>
      <c r="O2296" s="141"/>
      <c r="P2296" s="139" t="s">
        <v>5</v>
      </c>
      <c r="Q2296" s="141" t="str">
        <f>_xlfn.IFNA(VLOOKUP(E2296,'Data Kyu'!$A$6:$I$471,7,0),"")</f>
        <v/>
      </c>
      <c r="R2296" s="141"/>
      <c r="S2296" s="139" t="s">
        <v>5</v>
      </c>
      <c r="T2296" s="141" t="str">
        <f>_xlfn.IFNA(VLOOKUP(E2296,'Data Kyu'!$A$6:$I$471,8,0),"")</f>
        <v/>
      </c>
      <c r="U2296" s="142"/>
      <c r="V2296" s="142" t="str">
        <f>_xlfn.IFNA(VLOOKUP(E2296,'Data Kyu'!$A$6:$I$471,4,0),"")</f>
        <v/>
      </c>
      <c r="X2296" s="214" t="str">
        <f>_xlfn.IFNA(VLOOKUP(F2296,'Data Kyu'!$C$6:$N$997,12,0),"No Data")</f>
        <v>No Data</v>
      </c>
    </row>
    <row r="2297" spans="2:24" ht="10.95" customHeight="1" x14ac:dyDescent="0.25">
      <c r="B2297" s="52"/>
      <c r="C2297" s="165" t="str">
        <f>IF(X2296="LULUS","V","")</f>
        <v/>
      </c>
      <c r="D2297" s="53"/>
      <c r="E2297" s="155"/>
      <c r="F2297" s="148"/>
      <c r="G2297" s="144"/>
      <c r="H2297" s="67"/>
      <c r="I2297" s="67"/>
      <c r="J2297" s="67"/>
      <c r="K2297" s="67"/>
      <c r="L2297" s="146"/>
      <c r="M2297" s="147"/>
      <c r="N2297" s="148"/>
      <c r="O2297" s="143"/>
      <c r="P2297" s="140"/>
      <c r="Q2297" s="143"/>
      <c r="R2297" s="143"/>
      <c r="S2297" s="140"/>
      <c r="T2297" s="143"/>
      <c r="U2297" s="144"/>
      <c r="V2297" s="147"/>
      <c r="X2297" s="214"/>
    </row>
    <row r="2298" spans="2:24" ht="10.95" customHeight="1" x14ac:dyDescent="0.25">
      <c r="B2298" s="52"/>
      <c r="C2298" s="166"/>
      <c r="D2298" s="53"/>
      <c r="E2298" s="155"/>
      <c r="F2298" s="167" t="str">
        <f>_xlfn.IFNA(VLOOKUP(E2296,'Data Kyu'!$A$6:$I$471,2,0),"")</f>
        <v/>
      </c>
      <c r="G2298" s="168"/>
      <c r="H2298" s="168"/>
      <c r="I2298" s="168"/>
      <c r="J2298" s="168"/>
      <c r="K2298" s="169"/>
      <c r="L2298" s="146"/>
      <c r="M2298" s="147"/>
      <c r="N2298" s="173" t="s">
        <v>6</v>
      </c>
      <c r="O2298" s="159"/>
      <c r="P2298" s="57"/>
      <c r="Q2298" s="159" t="s">
        <v>7</v>
      </c>
      <c r="R2298" s="159"/>
      <c r="S2298" s="57"/>
      <c r="T2298" s="159" t="s">
        <v>8</v>
      </c>
      <c r="U2298" s="160"/>
      <c r="V2298" s="175"/>
      <c r="X2298" s="214"/>
    </row>
    <row r="2299" spans="2:24" ht="10.95" customHeight="1" x14ac:dyDescent="0.25">
      <c r="B2299" s="54"/>
      <c r="C2299" s="76"/>
      <c r="D2299" s="56"/>
      <c r="E2299" s="156"/>
      <c r="F2299" s="170"/>
      <c r="G2299" s="171"/>
      <c r="H2299" s="171"/>
      <c r="I2299" s="171"/>
      <c r="J2299" s="171"/>
      <c r="K2299" s="172"/>
      <c r="L2299" s="148"/>
      <c r="M2299" s="144"/>
      <c r="N2299" s="174"/>
      <c r="O2299" s="161"/>
      <c r="P2299" s="27"/>
      <c r="Q2299" s="161"/>
      <c r="R2299" s="161"/>
      <c r="S2299" s="27"/>
      <c r="T2299" s="161"/>
      <c r="U2299" s="162"/>
      <c r="V2299" s="176"/>
      <c r="X2299" s="214"/>
    </row>
    <row r="2300" spans="2:24" ht="10.95" customHeight="1" x14ac:dyDescent="0.25">
      <c r="B2300" s="41"/>
      <c r="C2300" s="77"/>
      <c r="D2300" s="42"/>
      <c r="E2300" s="154">
        <f t="shared" ref="E2300" si="155">E2296+1</f>
        <v>296</v>
      </c>
      <c r="F2300" s="145" t="str">
        <f>_xlfn.IFNA(VLOOKUP(E2300,'Data Kyu'!$A$6:$I$471,3,0),"")</f>
        <v/>
      </c>
      <c r="G2300" s="142"/>
      <c r="H2300" s="66"/>
      <c r="I2300" s="66"/>
      <c r="J2300" s="66"/>
      <c r="K2300" s="66"/>
      <c r="L2300" s="145" t="str">
        <f>_xlfn.IFNA(VLOOKUP(E2300,'Data Kyu'!$A$6:$I$471,9,0),"")</f>
        <v/>
      </c>
      <c r="M2300" s="142"/>
      <c r="N2300" s="145" t="str">
        <f>_xlfn.IFNA(VLOOKUP(E2300,'Data Kyu'!$A$6:$I$471,6,0),"")</f>
        <v/>
      </c>
      <c r="O2300" s="141"/>
      <c r="P2300" s="139" t="s">
        <v>5</v>
      </c>
      <c r="Q2300" s="141" t="str">
        <f>_xlfn.IFNA(VLOOKUP(E2300,'Data Kyu'!$A$6:$I$471,7,0),"")</f>
        <v/>
      </c>
      <c r="R2300" s="141"/>
      <c r="S2300" s="139" t="s">
        <v>5</v>
      </c>
      <c r="T2300" s="141" t="str">
        <f>_xlfn.IFNA(VLOOKUP(E2300,'Data Kyu'!$A$6:$I$471,8,0),"")</f>
        <v/>
      </c>
      <c r="U2300" s="142"/>
      <c r="V2300" s="142" t="str">
        <f>_xlfn.IFNA(VLOOKUP(E2300,'Data Kyu'!$A$6:$I$471,4,0),"")</f>
        <v/>
      </c>
      <c r="X2300" s="214" t="str">
        <f>_xlfn.IFNA(VLOOKUP(F2300,'Data Kyu'!$C$6:$N$997,12,0),"No Data")</f>
        <v>No Data</v>
      </c>
    </row>
    <row r="2301" spans="2:24" ht="10.95" customHeight="1" x14ac:dyDescent="0.25">
      <c r="B2301" s="52"/>
      <c r="C2301" s="165" t="str">
        <f>IF(X2300="LULUS","V","")</f>
        <v/>
      </c>
      <c r="D2301" s="53"/>
      <c r="E2301" s="155"/>
      <c r="F2301" s="148"/>
      <c r="G2301" s="144"/>
      <c r="H2301" s="67"/>
      <c r="I2301" s="67"/>
      <c r="J2301" s="67"/>
      <c r="K2301" s="67"/>
      <c r="L2301" s="146"/>
      <c r="M2301" s="147"/>
      <c r="N2301" s="148"/>
      <c r="O2301" s="143"/>
      <c r="P2301" s="140"/>
      <c r="Q2301" s="143"/>
      <c r="R2301" s="143"/>
      <c r="S2301" s="140"/>
      <c r="T2301" s="143"/>
      <c r="U2301" s="144"/>
      <c r="V2301" s="147"/>
      <c r="X2301" s="214"/>
    </row>
    <row r="2302" spans="2:24" ht="10.95" customHeight="1" x14ac:dyDescent="0.25">
      <c r="B2302" s="52"/>
      <c r="C2302" s="166"/>
      <c r="D2302" s="53"/>
      <c r="E2302" s="155"/>
      <c r="F2302" s="167" t="str">
        <f>_xlfn.IFNA(VLOOKUP(E2300,'Data Kyu'!$A$6:$I$471,2,0),"")</f>
        <v/>
      </c>
      <c r="G2302" s="168"/>
      <c r="H2302" s="168"/>
      <c r="I2302" s="168"/>
      <c r="J2302" s="168"/>
      <c r="K2302" s="169"/>
      <c r="L2302" s="146"/>
      <c r="M2302" s="147"/>
      <c r="N2302" s="173" t="s">
        <v>6</v>
      </c>
      <c r="O2302" s="159"/>
      <c r="P2302" s="57"/>
      <c r="Q2302" s="159" t="s">
        <v>7</v>
      </c>
      <c r="R2302" s="159"/>
      <c r="S2302" s="57"/>
      <c r="T2302" s="159" t="s">
        <v>8</v>
      </c>
      <c r="U2302" s="160"/>
      <c r="V2302" s="175"/>
      <c r="X2302" s="214"/>
    </row>
    <row r="2303" spans="2:24" ht="10.95" customHeight="1" x14ac:dyDescent="0.25">
      <c r="B2303" s="54"/>
      <c r="C2303" s="76"/>
      <c r="D2303" s="56"/>
      <c r="E2303" s="156"/>
      <c r="F2303" s="170"/>
      <c r="G2303" s="171"/>
      <c r="H2303" s="171"/>
      <c r="I2303" s="171"/>
      <c r="J2303" s="171"/>
      <c r="K2303" s="172"/>
      <c r="L2303" s="148"/>
      <c r="M2303" s="144"/>
      <c r="N2303" s="174"/>
      <c r="O2303" s="161"/>
      <c r="P2303" s="27"/>
      <c r="Q2303" s="161"/>
      <c r="R2303" s="161"/>
      <c r="S2303" s="27"/>
      <c r="T2303" s="161"/>
      <c r="U2303" s="162"/>
      <c r="V2303" s="176"/>
      <c r="X2303" s="214"/>
    </row>
    <row r="2304" spans="2:24" ht="10.95" customHeight="1" x14ac:dyDescent="0.25">
      <c r="B2304" s="41"/>
      <c r="C2304" s="77"/>
      <c r="D2304" s="42"/>
      <c r="E2304" s="154">
        <f t="shared" ref="E2304" si="156">E2300+1</f>
        <v>297</v>
      </c>
      <c r="F2304" s="145" t="str">
        <f>_xlfn.IFNA(VLOOKUP(E2304,'Data Kyu'!$A$6:$I$471,3,0),"")</f>
        <v/>
      </c>
      <c r="G2304" s="142"/>
      <c r="H2304" s="66"/>
      <c r="I2304" s="66"/>
      <c r="J2304" s="66"/>
      <c r="K2304" s="66"/>
      <c r="L2304" s="145" t="str">
        <f>_xlfn.IFNA(VLOOKUP(E2304,'Data Kyu'!$A$6:$I$471,9,0),"")</f>
        <v/>
      </c>
      <c r="M2304" s="142"/>
      <c r="N2304" s="145" t="str">
        <f>_xlfn.IFNA(VLOOKUP(E2304,'Data Kyu'!$A$6:$I$471,6,0),"")</f>
        <v/>
      </c>
      <c r="O2304" s="141"/>
      <c r="P2304" s="139" t="s">
        <v>5</v>
      </c>
      <c r="Q2304" s="141" t="str">
        <f>_xlfn.IFNA(VLOOKUP(E2304,'Data Kyu'!$A$6:$I$471,7,0),"")</f>
        <v/>
      </c>
      <c r="R2304" s="141"/>
      <c r="S2304" s="139" t="s">
        <v>5</v>
      </c>
      <c r="T2304" s="141" t="str">
        <f>_xlfn.IFNA(VLOOKUP(E2304,'Data Kyu'!$A$6:$I$471,8,0),"")</f>
        <v/>
      </c>
      <c r="U2304" s="142"/>
      <c r="V2304" s="142" t="str">
        <f>_xlfn.IFNA(VLOOKUP(E2304,'Data Kyu'!$A$6:$I$471,4,0),"")</f>
        <v/>
      </c>
      <c r="X2304" s="214" t="str">
        <f>_xlfn.IFNA(VLOOKUP(F2304,'Data Kyu'!$C$6:$N$997,12,0),"No Data")</f>
        <v>No Data</v>
      </c>
    </row>
    <row r="2305" spans="2:24" ht="10.95" customHeight="1" x14ac:dyDescent="0.25">
      <c r="B2305" s="52"/>
      <c r="C2305" s="165" t="str">
        <f>IF(X2304="LULUS","V","")</f>
        <v/>
      </c>
      <c r="D2305" s="53"/>
      <c r="E2305" s="155"/>
      <c r="F2305" s="148"/>
      <c r="G2305" s="144"/>
      <c r="H2305" s="67"/>
      <c r="I2305" s="67"/>
      <c r="J2305" s="67"/>
      <c r="K2305" s="67"/>
      <c r="L2305" s="146"/>
      <c r="M2305" s="147"/>
      <c r="N2305" s="148"/>
      <c r="O2305" s="143"/>
      <c r="P2305" s="140"/>
      <c r="Q2305" s="143"/>
      <c r="R2305" s="143"/>
      <c r="S2305" s="140"/>
      <c r="T2305" s="143"/>
      <c r="U2305" s="144"/>
      <c r="V2305" s="147"/>
      <c r="X2305" s="214"/>
    </row>
    <row r="2306" spans="2:24" ht="10.95" customHeight="1" x14ac:dyDescent="0.25">
      <c r="B2306" s="52"/>
      <c r="C2306" s="166"/>
      <c r="D2306" s="53"/>
      <c r="E2306" s="155"/>
      <c r="F2306" s="167" t="str">
        <f>_xlfn.IFNA(VLOOKUP(E2304,'Data Kyu'!$A$6:$I$471,2,0),"")</f>
        <v/>
      </c>
      <c r="G2306" s="168"/>
      <c r="H2306" s="168"/>
      <c r="I2306" s="168"/>
      <c r="J2306" s="168"/>
      <c r="K2306" s="169"/>
      <c r="L2306" s="146"/>
      <c r="M2306" s="147"/>
      <c r="N2306" s="173" t="s">
        <v>6</v>
      </c>
      <c r="O2306" s="159"/>
      <c r="P2306" s="57"/>
      <c r="Q2306" s="159" t="s">
        <v>7</v>
      </c>
      <c r="R2306" s="159"/>
      <c r="S2306" s="57"/>
      <c r="T2306" s="159" t="s">
        <v>8</v>
      </c>
      <c r="U2306" s="160"/>
      <c r="V2306" s="175"/>
      <c r="X2306" s="214"/>
    </row>
    <row r="2307" spans="2:24" ht="10.95" customHeight="1" x14ac:dyDescent="0.25">
      <c r="B2307" s="54"/>
      <c r="C2307" s="76"/>
      <c r="D2307" s="56"/>
      <c r="E2307" s="156"/>
      <c r="F2307" s="170"/>
      <c r="G2307" s="171"/>
      <c r="H2307" s="171"/>
      <c r="I2307" s="171"/>
      <c r="J2307" s="171"/>
      <c r="K2307" s="172"/>
      <c r="L2307" s="148"/>
      <c r="M2307" s="144"/>
      <c r="N2307" s="174"/>
      <c r="O2307" s="161"/>
      <c r="P2307" s="27"/>
      <c r="Q2307" s="161"/>
      <c r="R2307" s="161"/>
      <c r="S2307" s="27"/>
      <c r="T2307" s="161"/>
      <c r="U2307" s="162"/>
      <c r="V2307" s="176"/>
      <c r="X2307" s="214"/>
    </row>
    <row r="2308" spans="2:24" ht="10.95" customHeight="1" x14ac:dyDescent="0.25">
      <c r="B2308" s="41"/>
      <c r="C2308" s="77"/>
      <c r="D2308" s="42"/>
      <c r="E2308" s="154">
        <f t="shared" ref="E2308" si="157">E2304+1</f>
        <v>298</v>
      </c>
      <c r="F2308" s="145" t="str">
        <f>_xlfn.IFNA(VLOOKUP(E2308,'Data Kyu'!$A$6:$I$471,3,0),"")</f>
        <v/>
      </c>
      <c r="G2308" s="142"/>
      <c r="H2308" s="66"/>
      <c r="I2308" s="66"/>
      <c r="J2308" s="66"/>
      <c r="K2308" s="66"/>
      <c r="L2308" s="145" t="str">
        <f>_xlfn.IFNA(VLOOKUP(E2308,'Data Kyu'!$A$6:$I$471,9,0),"")</f>
        <v/>
      </c>
      <c r="M2308" s="142"/>
      <c r="N2308" s="145" t="str">
        <f>_xlfn.IFNA(VLOOKUP(E2308,'Data Kyu'!$A$6:$I$471,6,0),"")</f>
        <v/>
      </c>
      <c r="O2308" s="141"/>
      <c r="P2308" s="139" t="s">
        <v>5</v>
      </c>
      <c r="Q2308" s="141" t="str">
        <f>_xlfn.IFNA(VLOOKUP(E2308,'Data Kyu'!$A$6:$I$471,7,0),"")</f>
        <v/>
      </c>
      <c r="R2308" s="141"/>
      <c r="S2308" s="139" t="s">
        <v>5</v>
      </c>
      <c r="T2308" s="141" t="str">
        <f>_xlfn.IFNA(VLOOKUP(E2308,'Data Kyu'!$A$6:$I$471,8,0),"")</f>
        <v/>
      </c>
      <c r="U2308" s="142"/>
      <c r="V2308" s="142" t="str">
        <f>_xlfn.IFNA(VLOOKUP(E2308,'Data Kyu'!$A$6:$I$471,4,0),"")</f>
        <v/>
      </c>
      <c r="X2308" s="214" t="str">
        <f>_xlfn.IFNA(VLOOKUP(F2308,'Data Kyu'!$C$6:$N$997,12,0),"No Data")</f>
        <v>No Data</v>
      </c>
    </row>
    <row r="2309" spans="2:24" ht="10.95" customHeight="1" x14ac:dyDescent="0.25">
      <c r="B2309" s="52"/>
      <c r="C2309" s="165" t="str">
        <f>IF(X2308="LULUS","V","")</f>
        <v/>
      </c>
      <c r="D2309" s="53"/>
      <c r="E2309" s="155"/>
      <c r="F2309" s="148"/>
      <c r="G2309" s="144"/>
      <c r="H2309" s="67"/>
      <c r="I2309" s="67"/>
      <c r="J2309" s="67"/>
      <c r="K2309" s="67"/>
      <c r="L2309" s="146"/>
      <c r="M2309" s="147"/>
      <c r="N2309" s="148"/>
      <c r="O2309" s="143"/>
      <c r="P2309" s="140"/>
      <c r="Q2309" s="143"/>
      <c r="R2309" s="143"/>
      <c r="S2309" s="140"/>
      <c r="T2309" s="143"/>
      <c r="U2309" s="144"/>
      <c r="V2309" s="147"/>
      <c r="X2309" s="214"/>
    </row>
    <row r="2310" spans="2:24" ht="10.95" customHeight="1" x14ac:dyDescent="0.25">
      <c r="B2310" s="52"/>
      <c r="C2310" s="166"/>
      <c r="D2310" s="53"/>
      <c r="E2310" s="155"/>
      <c r="F2310" s="167" t="str">
        <f>_xlfn.IFNA(VLOOKUP(E2308,'Data Kyu'!$A$6:$I$471,2,0),"")</f>
        <v/>
      </c>
      <c r="G2310" s="168"/>
      <c r="H2310" s="168"/>
      <c r="I2310" s="168"/>
      <c r="J2310" s="168"/>
      <c r="K2310" s="169"/>
      <c r="L2310" s="146"/>
      <c r="M2310" s="147"/>
      <c r="N2310" s="173" t="s">
        <v>6</v>
      </c>
      <c r="O2310" s="159"/>
      <c r="P2310" s="57"/>
      <c r="Q2310" s="159" t="s">
        <v>7</v>
      </c>
      <c r="R2310" s="159"/>
      <c r="S2310" s="57"/>
      <c r="T2310" s="159" t="s">
        <v>8</v>
      </c>
      <c r="U2310" s="160"/>
      <c r="V2310" s="175"/>
      <c r="X2310" s="214"/>
    </row>
    <row r="2311" spans="2:24" ht="10.95" customHeight="1" x14ac:dyDescent="0.25">
      <c r="B2311" s="54"/>
      <c r="C2311" s="76"/>
      <c r="D2311" s="56"/>
      <c r="E2311" s="156"/>
      <c r="F2311" s="170"/>
      <c r="G2311" s="171"/>
      <c r="H2311" s="171"/>
      <c r="I2311" s="171"/>
      <c r="J2311" s="171"/>
      <c r="K2311" s="172"/>
      <c r="L2311" s="148"/>
      <c r="M2311" s="144"/>
      <c r="N2311" s="174"/>
      <c r="O2311" s="161"/>
      <c r="P2311" s="27"/>
      <c r="Q2311" s="161"/>
      <c r="R2311" s="161"/>
      <c r="S2311" s="27"/>
      <c r="T2311" s="161"/>
      <c r="U2311" s="162"/>
      <c r="V2311" s="176"/>
      <c r="X2311" s="214"/>
    </row>
    <row r="2312" spans="2:24" ht="10.95" customHeight="1" x14ac:dyDescent="0.25">
      <c r="B2312" s="41"/>
      <c r="C2312" s="77"/>
      <c r="D2312" s="42"/>
      <c r="E2312" s="154">
        <f t="shared" ref="E2312" si="158">E2308+1</f>
        <v>299</v>
      </c>
      <c r="F2312" s="145" t="str">
        <f>_xlfn.IFNA(VLOOKUP(E2312,'Data Kyu'!$A$6:$I$471,3,0),"")</f>
        <v/>
      </c>
      <c r="G2312" s="142"/>
      <c r="H2312" s="66"/>
      <c r="I2312" s="66"/>
      <c r="J2312" s="66"/>
      <c r="K2312" s="66"/>
      <c r="L2312" s="145" t="str">
        <f>_xlfn.IFNA(VLOOKUP(E2312,'Data Kyu'!$A$6:$I$471,9,0),"")</f>
        <v/>
      </c>
      <c r="M2312" s="142"/>
      <c r="N2312" s="145" t="str">
        <f>_xlfn.IFNA(VLOOKUP(E2312,'Data Kyu'!$A$6:$I$471,6,0),"")</f>
        <v/>
      </c>
      <c r="O2312" s="141"/>
      <c r="P2312" s="139" t="s">
        <v>5</v>
      </c>
      <c r="Q2312" s="141" t="str">
        <f>_xlfn.IFNA(VLOOKUP(E2312,'Data Kyu'!$A$6:$I$471,7,0),"")</f>
        <v/>
      </c>
      <c r="R2312" s="141"/>
      <c r="S2312" s="139" t="s">
        <v>5</v>
      </c>
      <c r="T2312" s="141" t="str">
        <f>_xlfn.IFNA(VLOOKUP(E2312,'Data Kyu'!$A$6:$I$471,8,0),"")</f>
        <v/>
      </c>
      <c r="U2312" s="142"/>
      <c r="V2312" s="142" t="str">
        <f>_xlfn.IFNA(VLOOKUP(E2312,'Data Kyu'!$A$6:$I$471,4,0),"")</f>
        <v/>
      </c>
      <c r="X2312" s="214" t="str">
        <f>_xlfn.IFNA(VLOOKUP(F2312,'Data Kyu'!$C$6:$N$997,12,0),"No Data")</f>
        <v>No Data</v>
      </c>
    </row>
    <row r="2313" spans="2:24" ht="10.95" customHeight="1" x14ac:dyDescent="0.25">
      <c r="B2313" s="52"/>
      <c r="C2313" s="165" t="str">
        <f>IF(X2312="LULUS","V","")</f>
        <v/>
      </c>
      <c r="D2313" s="53"/>
      <c r="E2313" s="155"/>
      <c r="F2313" s="148"/>
      <c r="G2313" s="144"/>
      <c r="H2313" s="67"/>
      <c r="I2313" s="67"/>
      <c r="J2313" s="67"/>
      <c r="K2313" s="67"/>
      <c r="L2313" s="146"/>
      <c r="M2313" s="147"/>
      <c r="N2313" s="148"/>
      <c r="O2313" s="143"/>
      <c r="P2313" s="140"/>
      <c r="Q2313" s="143"/>
      <c r="R2313" s="143"/>
      <c r="S2313" s="140"/>
      <c r="T2313" s="143"/>
      <c r="U2313" s="144"/>
      <c r="V2313" s="147"/>
      <c r="X2313" s="214"/>
    </row>
    <row r="2314" spans="2:24" ht="10.95" customHeight="1" x14ac:dyDescent="0.25">
      <c r="B2314" s="52"/>
      <c r="C2314" s="166"/>
      <c r="D2314" s="53"/>
      <c r="E2314" s="155"/>
      <c r="F2314" s="167" t="str">
        <f>_xlfn.IFNA(VLOOKUP(E2312,'Data Kyu'!$A$6:$I$471,2,0),"")</f>
        <v/>
      </c>
      <c r="G2314" s="168"/>
      <c r="H2314" s="168"/>
      <c r="I2314" s="168"/>
      <c r="J2314" s="168"/>
      <c r="K2314" s="169"/>
      <c r="L2314" s="146"/>
      <c r="M2314" s="147"/>
      <c r="N2314" s="173" t="s">
        <v>6</v>
      </c>
      <c r="O2314" s="159"/>
      <c r="P2314" s="57"/>
      <c r="Q2314" s="159" t="s">
        <v>7</v>
      </c>
      <c r="R2314" s="159"/>
      <c r="S2314" s="57"/>
      <c r="T2314" s="159" t="s">
        <v>8</v>
      </c>
      <c r="U2314" s="160"/>
      <c r="V2314" s="175"/>
      <c r="X2314" s="214"/>
    </row>
    <row r="2315" spans="2:24" ht="10.95" customHeight="1" x14ac:dyDescent="0.25">
      <c r="B2315" s="54"/>
      <c r="C2315" s="76"/>
      <c r="D2315" s="56"/>
      <c r="E2315" s="156"/>
      <c r="F2315" s="170"/>
      <c r="G2315" s="171"/>
      <c r="H2315" s="171"/>
      <c r="I2315" s="171"/>
      <c r="J2315" s="171"/>
      <c r="K2315" s="172"/>
      <c r="L2315" s="148"/>
      <c r="M2315" s="144"/>
      <c r="N2315" s="174"/>
      <c r="O2315" s="161"/>
      <c r="P2315" s="27"/>
      <c r="Q2315" s="161"/>
      <c r="R2315" s="161"/>
      <c r="S2315" s="27"/>
      <c r="T2315" s="161"/>
      <c r="U2315" s="162"/>
      <c r="V2315" s="176"/>
      <c r="X2315" s="214"/>
    </row>
    <row r="2316" spans="2:24" ht="10.95" customHeight="1" x14ac:dyDescent="0.25">
      <c r="B2316" s="41"/>
      <c r="C2316" s="77"/>
      <c r="D2316" s="42"/>
      <c r="E2316" s="154">
        <f t="shared" ref="E2316" si="159">E2312+1</f>
        <v>300</v>
      </c>
      <c r="F2316" s="145" t="str">
        <f>_xlfn.IFNA(VLOOKUP(E2316,'Data Kyu'!$A$6:$I$471,3,0),"")</f>
        <v/>
      </c>
      <c r="G2316" s="142"/>
      <c r="H2316" s="66"/>
      <c r="I2316" s="66"/>
      <c r="J2316" s="66"/>
      <c r="K2316" s="66"/>
      <c r="L2316" s="145" t="str">
        <f>_xlfn.IFNA(VLOOKUP(E2316,'Data Kyu'!$A$6:$I$471,9,0),"")</f>
        <v/>
      </c>
      <c r="M2316" s="142"/>
      <c r="N2316" s="145" t="str">
        <f>_xlfn.IFNA(VLOOKUP(E2316,'Data Kyu'!$A$6:$I$471,6,0),"")</f>
        <v/>
      </c>
      <c r="O2316" s="141"/>
      <c r="P2316" s="139" t="s">
        <v>5</v>
      </c>
      <c r="Q2316" s="141" t="str">
        <f>_xlfn.IFNA(VLOOKUP(E2316,'Data Kyu'!$A$6:$I$471,7,0),"")</f>
        <v/>
      </c>
      <c r="R2316" s="141"/>
      <c r="S2316" s="139" t="s">
        <v>5</v>
      </c>
      <c r="T2316" s="141" t="str">
        <f>_xlfn.IFNA(VLOOKUP(E2316,'Data Kyu'!$A$6:$I$471,8,0),"")</f>
        <v/>
      </c>
      <c r="U2316" s="142"/>
      <c r="V2316" s="142" t="str">
        <f>_xlfn.IFNA(VLOOKUP(E2316,'Data Kyu'!$A$6:$I$471,4,0),"")</f>
        <v/>
      </c>
      <c r="X2316" s="214" t="str">
        <f>_xlfn.IFNA(VLOOKUP(F2316,'Data Kyu'!$C$6:$N$997,12,0),"No Data")</f>
        <v>No Data</v>
      </c>
    </row>
    <row r="2317" spans="2:24" ht="10.95" customHeight="1" x14ac:dyDescent="0.25">
      <c r="B2317" s="52"/>
      <c r="C2317" s="165" t="str">
        <f>IF(X2316="LULUS","V","")</f>
        <v/>
      </c>
      <c r="D2317" s="53"/>
      <c r="E2317" s="155"/>
      <c r="F2317" s="148"/>
      <c r="G2317" s="144"/>
      <c r="H2317" s="67"/>
      <c r="I2317" s="67"/>
      <c r="J2317" s="67"/>
      <c r="K2317" s="67"/>
      <c r="L2317" s="146"/>
      <c r="M2317" s="147"/>
      <c r="N2317" s="148"/>
      <c r="O2317" s="143"/>
      <c r="P2317" s="140"/>
      <c r="Q2317" s="143"/>
      <c r="R2317" s="143"/>
      <c r="S2317" s="140"/>
      <c r="T2317" s="143"/>
      <c r="U2317" s="144"/>
      <c r="V2317" s="147"/>
      <c r="X2317" s="214"/>
    </row>
    <row r="2318" spans="2:24" ht="10.95" customHeight="1" x14ac:dyDescent="0.25">
      <c r="B2318" s="52"/>
      <c r="C2318" s="166"/>
      <c r="D2318" s="53"/>
      <c r="E2318" s="155"/>
      <c r="F2318" s="167" t="str">
        <f>_xlfn.IFNA(VLOOKUP(E2316,'Data Kyu'!$A$6:$I$471,2,0),"")</f>
        <v/>
      </c>
      <c r="G2318" s="168"/>
      <c r="H2318" s="168"/>
      <c r="I2318" s="168"/>
      <c r="J2318" s="168"/>
      <c r="K2318" s="169"/>
      <c r="L2318" s="146"/>
      <c r="M2318" s="147"/>
      <c r="N2318" s="173" t="s">
        <v>6</v>
      </c>
      <c r="O2318" s="159"/>
      <c r="P2318" s="57"/>
      <c r="Q2318" s="159" t="s">
        <v>7</v>
      </c>
      <c r="R2318" s="159"/>
      <c r="S2318" s="57"/>
      <c r="T2318" s="159" t="s">
        <v>8</v>
      </c>
      <c r="U2318" s="160"/>
      <c r="V2318" s="175"/>
      <c r="X2318" s="214"/>
    </row>
    <row r="2319" spans="2:24" ht="10.95" customHeight="1" x14ac:dyDescent="0.25">
      <c r="B2319" s="54"/>
      <c r="C2319" s="55"/>
      <c r="D2319" s="56"/>
      <c r="E2319" s="156"/>
      <c r="F2319" s="170"/>
      <c r="G2319" s="171"/>
      <c r="H2319" s="171"/>
      <c r="I2319" s="171"/>
      <c r="J2319" s="171"/>
      <c r="K2319" s="172"/>
      <c r="L2319" s="148"/>
      <c r="M2319" s="144"/>
      <c r="N2319" s="174"/>
      <c r="O2319" s="161"/>
      <c r="P2319" s="27"/>
      <c r="Q2319" s="161"/>
      <c r="R2319" s="161"/>
      <c r="S2319" s="27"/>
      <c r="T2319" s="161"/>
      <c r="U2319" s="162"/>
      <c r="V2319" s="176"/>
      <c r="X2319" s="214"/>
    </row>
    <row r="2320" spans="2:24" ht="7.5" customHeight="1" x14ac:dyDescent="0.25"/>
    <row r="2321" spans="2:24" s="34" customFormat="1" x14ac:dyDescent="0.25">
      <c r="E2321" s="35" t="s">
        <v>30</v>
      </c>
      <c r="K2321" s="35" t="s">
        <v>28</v>
      </c>
    </row>
    <row r="2322" spans="2:24" x14ac:dyDescent="0.25">
      <c r="E2322" s="33" t="s">
        <v>31</v>
      </c>
      <c r="F2322" s="149"/>
      <c r="G2322" s="149"/>
      <c r="H2322" s="149"/>
      <c r="I2322" s="149"/>
      <c r="J2322" s="149"/>
      <c r="K2322" s="33" t="s">
        <v>29</v>
      </c>
      <c r="L2322" s="12"/>
      <c r="M2322" s="12"/>
      <c r="N2322" s="12"/>
      <c r="O2322" s="12"/>
      <c r="P2322" s="12"/>
      <c r="Q2322" s="12"/>
      <c r="R2322" s="12"/>
      <c r="S2322" s="12"/>
      <c r="T2322" s="12"/>
      <c r="U2322" s="12"/>
      <c r="V2322" s="12"/>
    </row>
    <row r="2323" spans="2:24" ht="6.75" customHeight="1" x14ac:dyDescent="0.25">
      <c r="F2323" s="34"/>
      <c r="G2323" s="34"/>
      <c r="H2323" s="34"/>
      <c r="I2323" s="34"/>
      <c r="J2323" s="34"/>
    </row>
    <row r="2324" spans="2:24" s="34" customFormat="1" x14ac:dyDescent="0.25">
      <c r="E2324" s="35" t="s">
        <v>32</v>
      </c>
      <c r="K2324" s="35" t="s">
        <v>36</v>
      </c>
    </row>
    <row r="2325" spans="2:24" x14ac:dyDescent="0.25">
      <c r="E2325" s="33" t="s">
        <v>33</v>
      </c>
      <c r="F2325" s="149"/>
      <c r="G2325" s="149"/>
      <c r="H2325" s="149"/>
      <c r="I2325" s="149"/>
      <c r="J2325" s="149"/>
      <c r="K2325" s="33" t="s">
        <v>29</v>
      </c>
      <c r="L2325" s="12"/>
      <c r="M2325" s="12"/>
      <c r="N2325" s="12"/>
      <c r="O2325" s="12"/>
      <c r="P2325" s="12"/>
      <c r="Q2325" s="12"/>
      <c r="R2325" s="12"/>
      <c r="S2325" s="12"/>
      <c r="T2325" s="12"/>
      <c r="U2325" s="12"/>
      <c r="V2325" s="12"/>
    </row>
    <row r="2326" spans="2:24" ht="6.75" customHeight="1" x14ac:dyDescent="0.25">
      <c r="F2326" s="34"/>
      <c r="G2326" s="34"/>
      <c r="H2326" s="34"/>
      <c r="I2326" s="34"/>
      <c r="J2326" s="34"/>
    </row>
    <row r="2327" spans="2:24" s="34" customFormat="1" ht="13.8" x14ac:dyDescent="0.25">
      <c r="E2327" s="35" t="s">
        <v>34</v>
      </c>
      <c r="F2327" s="177" t="str">
        <f>IF(F2280&lt;&gt;"",$F$65,"")</f>
        <v/>
      </c>
      <c r="G2327" s="177"/>
      <c r="H2327" s="177"/>
      <c r="I2327" s="177"/>
      <c r="J2327" s="177"/>
      <c r="K2327" s="35" t="s">
        <v>28</v>
      </c>
      <c r="X2327" s="70" t="s">
        <v>107</v>
      </c>
    </row>
    <row r="2328" spans="2:24" ht="13.8" x14ac:dyDescent="0.25">
      <c r="E2328" s="33" t="s">
        <v>35</v>
      </c>
      <c r="F2328" s="178"/>
      <c r="G2328" s="178"/>
      <c r="H2328" s="178"/>
      <c r="I2328" s="178"/>
      <c r="J2328" s="178"/>
      <c r="K2328" s="33" t="s">
        <v>29</v>
      </c>
      <c r="L2328" s="12"/>
      <c r="M2328" s="12"/>
      <c r="N2328" s="12"/>
      <c r="O2328" s="12"/>
      <c r="P2328" s="12"/>
      <c r="Q2328" s="12"/>
      <c r="R2328" s="12"/>
      <c r="S2328" s="12"/>
      <c r="T2328" s="12"/>
      <c r="U2328" s="12"/>
      <c r="V2328" s="12"/>
      <c r="X2328" s="70" t="s">
        <v>105</v>
      </c>
    </row>
    <row r="2329" spans="2:24" ht="12.75" customHeight="1" thickBot="1" x14ac:dyDescent="0.3"/>
    <row r="2330" spans="2:24" ht="13.8" thickTop="1" x14ac:dyDescent="0.25">
      <c r="B2330" s="34" t="s">
        <v>37</v>
      </c>
      <c r="C2330" s="34"/>
      <c r="D2330" s="34"/>
      <c r="H2330" s="150" t="s">
        <v>40</v>
      </c>
      <c r="I2330" s="151"/>
      <c r="J2330" s="151"/>
      <c r="K2330" s="151"/>
      <c r="L2330" s="151"/>
      <c r="M2330" s="151"/>
      <c r="N2330" s="151"/>
      <c r="O2330" s="151"/>
      <c r="P2330" s="151"/>
      <c r="Q2330" s="151"/>
      <c r="R2330" s="151"/>
      <c r="S2330" s="151"/>
      <c r="T2330" s="151"/>
      <c r="U2330" s="151"/>
      <c r="V2330" s="151"/>
    </row>
    <row r="2331" spans="2:24" x14ac:dyDescent="0.25">
      <c r="B2331" s="34" t="s">
        <v>38</v>
      </c>
      <c r="C2331" s="34"/>
      <c r="D2331" s="34"/>
      <c r="H2331" s="152"/>
      <c r="I2331" s="153"/>
      <c r="J2331" s="153"/>
      <c r="K2331" s="153"/>
      <c r="L2331" s="153"/>
      <c r="M2331" s="153"/>
      <c r="N2331" s="153"/>
      <c r="O2331" s="153"/>
      <c r="P2331" s="153"/>
      <c r="Q2331" s="153"/>
      <c r="R2331" s="153"/>
      <c r="S2331" s="153"/>
      <c r="T2331" s="153"/>
      <c r="U2331" s="153"/>
      <c r="V2331" s="153"/>
    </row>
    <row r="2332" spans="2:24" ht="12.75" customHeight="1" x14ac:dyDescent="0.25">
      <c r="B2332" s="163" t="s">
        <v>39</v>
      </c>
      <c r="C2332" s="163"/>
      <c r="D2332" s="163"/>
      <c r="E2332" s="163"/>
      <c r="F2332" s="163"/>
      <c r="H2332" s="37" t="s">
        <v>41</v>
      </c>
    </row>
    <row r="2333" spans="2:24" ht="13.8" x14ac:dyDescent="0.25">
      <c r="B2333" s="163"/>
      <c r="C2333" s="163"/>
      <c r="D2333" s="163"/>
      <c r="E2333" s="163"/>
      <c r="F2333" s="163"/>
      <c r="H2333" s="38" t="s">
        <v>42</v>
      </c>
    </row>
    <row r="2334" spans="2:24" x14ac:dyDescent="0.25">
      <c r="B2334" s="163"/>
      <c r="C2334" s="163"/>
      <c r="D2334" s="163"/>
      <c r="E2334" s="163"/>
      <c r="F2334" s="163"/>
      <c r="H2334" s="36"/>
    </row>
    <row r="2335" spans="2:24" x14ac:dyDescent="0.25">
      <c r="B2335" s="163"/>
      <c r="C2335" s="163"/>
      <c r="D2335" s="163"/>
      <c r="E2335" s="163"/>
      <c r="F2335" s="163"/>
      <c r="H2335" s="36"/>
    </row>
    <row r="2336" spans="2:24" x14ac:dyDescent="0.25">
      <c r="H2336" s="36"/>
    </row>
    <row r="2337" spans="8:22" x14ac:dyDescent="0.25">
      <c r="H2337" s="36"/>
    </row>
    <row r="2338" spans="8:22" x14ac:dyDescent="0.25">
      <c r="H2338" s="36"/>
    </row>
    <row r="2339" spans="8:22" x14ac:dyDescent="0.25">
      <c r="H2339" s="36"/>
    </row>
    <row r="2340" spans="8:22" ht="13.8" x14ac:dyDescent="0.25">
      <c r="H2340" s="157" t="str">
        <f>IF(F2280&lt;&gt;"",$H$78,"")</f>
        <v/>
      </c>
      <c r="I2340" s="158"/>
      <c r="J2340" s="158"/>
      <c r="K2340" s="158"/>
      <c r="L2340" s="158"/>
      <c r="M2340" s="158"/>
      <c r="N2340" s="158"/>
      <c r="O2340" s="158"/>
      <c r="P2340" s="158"/>
      <c r="Q2340" s="158"/>
      <c r="R2340" s="158"/>
      <c r="S2340" s="158"/>
      <c r="T2340" s="158"/>
      <c r="U2340" s="158"/>
      <c r="V2340" s="158"/>
    </row>
    <row r="2341" spans="8:22" x14ac:dyDescent="0.25">
      <c r="H2341" s="36"/>
    </row>
  </sheetData>
  <mergeCells count="5220">
    <mergeCell ref="X2300:X2303"/>
    <mergeCell ref="X2304:X2307"/>
    <mergeCell ref="X2308:X2311"/>
    <mergeCell ref="X2312:X2315"/>
    <mergeCell ref="X2316:X2319"/>
    <mergeCell ref="F767:J768"/>
    <mergeCell ref="F845:J846"/>
    <mergeCell ref="F923:J924"/>
    <mergeCell ref="F1001:J1002"/>
    <mergeCell ref="F1079:J1080"/>
    <mergeCell ref="F1157:J1158"/>
    <mergeCell ref="F1235:J1236"/>
    <mergeCell ref="F1313:J1314"/>
    <mergeCell ref="F1391:J1392"/>
    <mergeCell ref="F1469:J1470"/>
    <mergeCell ref="F1547:J1548"/>
    <mergeCell ref="F1625:J1626"/>
    <mergeCell ref="F1703:J1704"/>
    <mergeCell ref="F1781:J1782"/>
    <mergeCell ref="F1859:J1860"/>
    <mergeCell ref="F1937:J1938"/>
    <mergeCell ref="F2015:J2016"/>
    <mergeCell ref="F2093:J2094"/>
    <mergeCell ref="F2171:J2172"/>
    <mergeCell ref="F2249:J2250"/>
    <mergeCell ref="X2156:X2159"/>
    <mergeCell ref="X2160:X2163"/>
    <mergeCell ref="X2202:X2205"/>
    <mergeCell ref="X2206:X2209"/>
    <mergeCell ref="X2210:X2213"/>
    <mergeCell ref="X2214:X2217"/>
    <mergeCell ref="X2218:X2221"/>
    <mergeCell ref="X2222:X2225"/>
    <mergeCell ref="X2226:X2229"/>
    <mergeCell ref="X2230:X2233"/>
    <mergeCell ref="X2234:X2237"/>
    <mergeCell ref="X2238:X2241"/>
    <mergeCell ref="X2280:X2283"/>
    <mergeCell ref="X2284:X2287"/>
    <mergeCell ref="X2288:X2291"/>
    <mergeCell ref="X2292:X2295"/>
    <mergeCell ref="X2296:X2299"/>
    <mergeCell ref="X2050:X2053"/>
    <mergeCell ref="X2054:X2057"/>
    <mergeCell ref="X2058:X2061"/>
    <mergeCell ref="X2062:X2065"/>
    <mergeCell ref="X2066:X2069"/>
    <mergeCell ref="X2070:X2073"/>
    <mergeCell ref="X2074:X2077"/>
    <mergeCell ref="X2078:X2081"/>
    <mergeCell ref="X2082:X2085"/>
    <mergeCell ref="X2124:X2127"/>
    <mergeCell ref="X2128:X2131"/>
    <mergeCell ref="X2132:X2135"/>
    <mergeCell ref="X2136:X2139"/>
    <mergeCell ref="X2140:X2143"/>
    <mergeCell ref="X2144:X2147"/>
    <mergeCell ref="X2148:X2151"/>
    <mergeCell ref="X2152:X2155"/>
    <mergeCell ref="X2120:X2121"/>
    <mergeCell ref="X2198:X2199"/>
    <mergeCell ref="X2276:X2277"/>
    <mergeCell ref="X1906:X1909"/>
    <mergeCell ref="X1910:X1913"/>
    <mergeCell ref="X1914:X1917"/>
    <mergeCell ref="X1918:X1921"/>
    <mergeCell ref="X1922:X1925"/>
    <mergeCell ref="X1926:X1929"/>
    <mergeCell ref="X1968:X1971"/>
    <mergeCell ref="X1972:X1975"/>
    <mergeCell ref="X1976:X1979"/>
    <mergeCell ref="X1980:X1983"/>
    <mergeCell ref="X1984:X1987"/>
    <mergeCell ref="X1988:X1991"/>
    <mergeCell ref="X1992:X1995"/>
    <mergeCell ref="X1996:X1999"/>
    <mergeCell ref="X2000:X2003"/>
    <mergeCell ref="X2004:X2007"/>
    <mergeCell ref="X2046:X2049"/>
    <mergeCell ref="X1964:X1965"/>
    <mergeCell ref="X2042:X2043"/>
    <mergeCell ref="X1762:X1765"/>
    <mergeCell ref="X1766:X1769"/>
    <mergeCell ref="X1770:X1773"/>
    <mergeCell ref="X1812:X1815"/>
    <mergeCell ref="X1816:X1819"/>
    <mergeCell ref="X1820:X1823"/>
    <mergeCell ref="X1824:X1827"/>
    <mergeCell ref="X1828:X1831"/>
    <mergeCell ref="X1832:X1835"/>
    <mergeCell ref="X1836:X1839"/>
    <mergeCell ref="X1840:X1843"/>
    <mergeCell ref="X1844:X1847"/>
    <mergeCell ref="X1848:X1851"/>
    <mergeCell ref="X1890:X1893"/>
    <mergeCell ref="X1894:X1897"/>
    <mergeCell ref="X1898:X1901"/>
    <mergeCell ref="X1902:X1905"/>
    <mergeCell ref="X1808:X1809"/>
    <mergeCell ref="X1886:X1887"/>
    <mergeCell ref="X1656:X1659"/>
    <mergeCell ref="X1660:X1663"/>
    <mergeCell ref="X1664:X1667"/>
    <mergeCell ref="X1668:X1671"/>
    <mergeCell ref="X1672:X1675"/>
    <mergeCell ref="X1676:X1679"/>
    <mergeCell ref="X1680:X1683"/>
    <mergeCell ref="X1684:X1687"/>
    <mergeCell ref="X1688:X1691"/>
    <mergeCell ref="X1692:X1695"/>
    <mergeCell ref="X1734:X1737"/>
    <mergeCell ref="X1738:X1741"/>
    <mergeCell ref="X1742:X1745"/>
    <mergeCell ref="X1746:X1749"/>
    <mergeCell ref="X1750:X1753"/>
    <mergeCell ref="X1754:X1757"/>
    <mergeCell ref="X1758:X1761"/>
    <mergeCell ref="X1730:X1731"/>
    <mergeCell ref="X1512:X1515"/>
    <mergeCell ref="X1516:X1519"/>
    <mergeCell ref="X1520:X1523"/>
    <mergeCell ref="X1524:X1527"/>
    <mergeCell ref="X1528:X1531"/>
    <mergeCell ref="X1532:X1535"/>
    <mergeCell ref="X1536:X1539"/>
    <mergeCell ref="X1578:X1581"/>
    <mergeCell ref="X1582:X1585"/>
    <mergeCell ref="X1586:X1589"/>
    <mergeCell ref="X1590:X1593"/>
    <mergeCell ref="X1594:X1597"/>
    <mergeCell ref="X1598:X1601"/>
    <mergeCell ref="X1602:X1605"/>
    <mergeCell ref="X1606:X1609"/>
    <mergeCell ref="X1610:X1613"/>
    <mergeCell ref="X1614:X1617"/>
    <mergeCell ref="X1368:X1371"/>
    <mergeCell ref="X1372:X1375"/>
    <mergeCell ref="X1376:X1379"/>
    <mergeCell ref="X1380:X1383"/>
    <mergeCell ref="X1422:X1425"/>
    <mergeCell ref="X1426:X1429"/>
    <mergeCell ref="X1430:X1433"/>
    <mergeCell ref="X1434:X1437"/>
    <mergeCell ref="X1438:X1441"/>
    <mergeCell ref="X1442:X1445"/>
    <mergeCell ref="X1446:X1449"/>
    <mergeCell ref="X1450:X1453"/>
    <mergeCell ref="X1454:X1457"/>
    <mergeCell ref="X1458:X1461"/>
    <mergeCell ref="X1500:X1503"/>
    <mergeCell ref="X1504:X1507"/>
    <mergeCell ref="X1508:X1511"/>
    <mergeCell ref="X1224:X1227"/>
    <mergeCell ref="X1266:X1269"/>
    <mergeCell ref="X1270:X1273"/>
    <mergeCell ref="X1274:X1277"/>
    <mergeCell ref="X1278:X1281"/>
    <mergeCell ref="X1282:X1285"/>
    <mergeCell ref="X1286:X1289"/>
    <mergeCell ref="X1290:X1293"/>
    <mergeCell ref="X1294:X1297"/>
    <mergeCell ref="X1298:X1301"/>
    <mergeCell ref="X1302:X1305"/>
    <mergeCell ref="X1344:X1347"/>
    <mergeCell ref="X1348:X1351"/>
    <mergeCell ref="X1352:X1355"/>
    <mergeCell ref="X1356:X1359"/>
    <mergeCell ref="X1360:X1363"/>
    <mergeCell ref="X1364:X1367"/>
    <mergeCell ref="X1118:X1121"/>
    <mergeCell ref="X1122:X1125"/>
    <mergeCell ref="X1126:X1129"/>
    <mergeCell ref="X1130:X1133"/>
    <mergeCell ref="X1134:X1137"/>
    <mergeCell ref="X1138:X1141"/>
    <mergeCell ref="X1142:X1145"/>
    <mergeCell ref="X1146:X1149"/>
    <mergeCell ref="X1188:X1191"/>
    <mergeCell ref="X1192:X1195"/>
    <mergeCell ref="X1196:X1199"/>
    <mergeCell ref="X1200:X1203"/>
    <mergeCell ref="X1204:X1207"/>
    <mergeCell ref="X1208:X1211"/>
    <mergeCell ref="X1212:X1215"/>
    <mergeCell ref="X1216:X1219"/>
    <mergeCell ref="X1220:X1223"/>
    <mergeCell ref="X974:X977"/>
    <mergeCell ref="X978:X981"/>
    <mergeCell ref="X982:X985"/>
    <mergeCell ref="X986:X989"/>
    <mergeCell ref="X990:X993"/>
    <mergeCell ref="X1032:X1035"/>
    <mergeCell ref="X1036:X1039"/>
    <mergeCell ref="X1040:X1043"/>
    <mergeCell ref="X1044:X1047"/>
    <mergeCell ref="X1048:X1051"/>
    <mergeCell ref="X1052:X1055"/>
    <mergeCell ref="X1056:X1059"/>
    <mergeCell ref="X1060:X1063"/>
    <mergeCell ref="X1064:X1067"/>
    <mergeCell ref="X1068:X1071"/>
    <mergeCell ref="X1110:X1113"/>
    <mergeCell ref="X1114:X1117"/>
    <mergeCell ref="X830:X833"/>
    <mergeCell ref="X834:X837"/>
    <mergeCell ref="X876:X879"/>
    <mergeCell ref="X880:X883"/>
    <mergeCell ref="X884:X887"/>
    <mergeCell ref="X888:X891"/>
    <mergeCell ref="X892:X895"/>
    <mergeCell ref="X896:X899"/>
    <mergeCell ref="X900:X903"/>
    <mergeCell ref="X904:X907"/>
    <mergeCell ref="X908:X911"/>
    <mergeCell ref="X912:X915"/>
    <mergeCell ref="X954:X957"/>
    <mergeCell ref="X958:X961"/>
    <mergeCell ref="X962:X965"/>
    <mergeCell ref="X966:X969"/>
    <mergeCell ref="X970:X973"/>
    <mergeCell ref="X724:X727"/>
    <mergeCell ref="X728:X731"/>
    <mergeCell ref="X732:X735"/>
    <mergeCell ref="X736:X739"/>
    <mergeCell ref="X740:X743"/>
    <mergeCell ref="X744:X747"/>
    <mergeCell ref="X748:X751"/>
    <mergeCell ref="X752:X755"/>
    <mergeCell ref="X756:X759"/>
    <mergeCell ref="X798:X801"/>
    <mergeCell ref="X802:X805"/>
    <mergeCell ref="X806:X809"/>
    <mergeCell ref="X810:X813"/>
    <mergeCell ref="X814:X817"/>
    <mergeCell ref="X818:X821"/>
    <mergeCell ref="X822:X825"/>
    <mergeCell ref="X826:X829"/>
    <mergeCell ref="X580:X583"/>
    <mergeCell ref="X584:X587"/>
    <mergeCell ref="X588:X591"/>
    <mergeCell ref="X592:X595"/>
    <mergeCell ref="X596:X599"/>
    <mergeCell ref="X600:X603"/>
    <mergeCell ref="X642:X645"/>
    <mergeCell ref="X646:X649"/>
    <mergeCell ref="X650:X653"/>
    <mergeCell ref="X654:X657"/>
    <mergeCell ref="X658:X661"/>
    <mergeCell ref="X662:X665"/>
    <mergeCell ref="X666:X669"/>
    <mergeCell ref="X670:X673"/>
    <mergeCell ref="X674:X677"/>
    <mergeCell ref="X678:X681"/>
    <mergeCell ref="X720:X723"/>
    <mergeCell ref="X436:X439"/>
    <mergeCell ref="X440:X443"/>
    <mergeCell ref="X444:X447"/>
    <mergeCell ref="X486:X489"/>
    <mergeCell ref="X490:X493"/>
    <mergeCell ref="X494:X497"/>
    <mergeCell ref="X498:X501"/>
    <mergeCell ref="X502:X505"/>
    <mergeCell ref="X506:X509"/>
    <mergeCell ref="X510:X513"/>
    <mergeCell ref="X514:X517"/>
    <mergeCell ref="X518:X521"/>
    <mergeCell ref="X522:X525"/>
    <mergeCell ref="X564:X567"/>
    <mergeCell ref="X568:X571"/>
    <mergeCell ref="X572:X575"/>
    <mergeCell ref="X576:X579"/>
    <mergeCell ref="X330:X333"/>
    <mergeCell ref="X334:X337"/>
    <mergeCell ref="X338:X341"/>
    <mergeCell ref="X342:X345"/>
    <mergeCell ref="X346:X349"/>
    <mergeCell ref="X350:X353"/>
    <mergeCell ref="X354:X357"/>
    <mergeCell ref="X358:X361"/>
    <mergeCell ref="X362:X365"/>
    <mergeCell ref="X366:X369"/>
    <mergeCell ref="X408:X411"/>
    <mergeCell ref="X412:X415"/>
    <mergeCell ref="X416:X419"/>
    <mergeCell ref="X420:X423"/>
    <mergeCell ref="X424:X427"/>
    <mergeCell ref="X428:X431"/>
    <mergeCell ref="X432:X435"/>
    <mergeCell ref="X186:X189"/>
    <mergeCell ref="X190:X193"/>
    <mergeCell ref="X194:X197"/>
    <mergeCell ref="X198:X201"/>
    <mergeCell ref="X202:X205"/>
    <mergeCell ref="X206:X209"/>
    <mergeCell ref="X210:X213"/>
    <mergeCell ref="X252:X255"/>
    <mergeCell ref="X256:X259"/>
    <mergeCell ref="X260:X263"/>
    <mergeCell ref="X264:X267"/>
    <mergeCell ref="X268:X271"/>
    <mergeCell ref="X272:X275"/>
    <mergeCell ref="X276:X279"/>
    <mergeCell ref="X280:X283"/>
    <mergeCell ref="X284:X287"/>
    <mergeCell ref="X288:X291"/>
    <mergeCell ref="F65:J66"/>
    <mergeCell ref="F143:J144"/>
    <mergeCell ref="F221:J222"/>
    <mergeCell ref="F299:J300"/>
    <mergeCell ref="F377:J378"/>
    <mergeCell ref="F455:J456"/>
    <mergeCell ref="F533:J534"/>
    <mergeCell ref="F611:J612"/>
    <mergeCell ref="F689:J690"/>
    <mergeCell ref="X18:X21"/>
    <mergeCell ref="X22:X25"/>
    <mergeCell ref="X26:X29"/>
    <mergeCell ref="X30:X33"/>
    <mergeCell ref="X34:X37"/>
    <mergeCell ref="X38:X41"/>
    <mergeCell ref="X42:X45"/>
    <mergeCell ref="X46:X49"/>
    <mergeCell ref="X50:X53"/>
    <mergeCell ref="X54:X57"/>
    <mergeCell ref="X96:X99"/>
    <mergeCell ref="X100:X103"/>
    <mergeCell ref="X104:X107"/>
    <mergeCell ref="X108:X111"/>
    <mergeCell ref="X112:X115"/>
    <mergeCell ref="X116:X119"/>
    <mergeCell ref="X120:X123"/>
    <mergeCell ref="X124:X127"/>
    <mergeCell ref="X128:X131"/>
    <mergeCell ref="X132:X135"/>
    <mergeCell ref="X174:X177"/>
    <mergeCell ref="X178:X181"/>
    <mergeCell ref="X182:X185"/>
    <mergeCell ref="E50:E53"/>
    <mergeCell ref="F50:G51"/>
    <mergeCell ref="N50:O51"/>
    <mergeCell ref="P50:P51"/>
    <mergeCell ref="Q50:R51"/>
    <mergeCell ref="S50:S51"/>
    <mergeCell ref="T50:U51"/>
    <mergeCell ref="V50:V53"/>
    <mergeCell ref="C51:C52"/>
    <mergeCell ref="F52:K53"/>
    <mergeCell ref="N52:O53"/>
    <mergeCell ref="Q52:R53"/>
    <mergeCell ref="E54:E57"/>
    <mergeCell ref="F54:G55"/>
    <mergeCell ref="N54:O55"/>
    <mergeCell ref="P54:P55"/>
    <mergeCell ref="Q54:R55"/>
    <mergeCell ref="S54:S55"/>
    <mergeCell ref="T54:U55"/>
    <mergeCell ref="V54:V57"/>
    <mergeCell ref="C55:C56"/>
    <mergeCell ref="F56:K57"/>
    <mergeCell ref="N56:O57"/>
    <mergeCell ref="Q56:R57"/>
    <mergeCell ref="L50:M53"/>
    <mergeCell ref="L54:M57"/>
    <mergeCell ref="E42:E45"/>
    <mergeCell ref="F42:G43"/>
    <mergeCell ref="N42:O43"/>
    <mergeCell ref="P42:P43"/>
    <mergeCell ref="Q42:R43"/>
    <mergeCell ref="S42:S43"/>
    <mergeCell ref="T42:U43"/>
    <mergeCell ref="V42:V45"/>
    <mergeCell ref="C43:C44"/>
    <mergeCell ref="F44:K45"/>
    <mergeCell ref="N44:O45"/>
    <mergeCell ref="Q44:R45"/>
    <mergeCell ref="E46:E49"/>
    <mergeCell ref="F46:G47"/>
    <mergeCell ref="N46:O47"/>
    <mergeCell ref="P46:P47"/>
    <mergeCell ref="Q46:R47"/>
    <mergeCell ref="S46:S47"/>
    <mergeCell ref="T46:U47"/>
    <mergeCell ref="V46:V49"/>
    <mergeCell ref="C47:C48"/>
    <mergeCell ref="F48:K49"/>
    <mergeCell ref="N48:O49"/>
    <mergeCell ref="Q48:R49"/>
    <mergeCell ref="L42:M45"/>
    <mergeCell ref="L46:M49"/>
    <mergeCell ref="Q34:R35"/>
    <mergeCell ref="S34:S35"/>
    <mergeCell ref="T34:U35"/>
    <mergeCell ref="V34:V37"/>
    <mergeCell ref="C35:C36"/>
    <mergeCell ref="F36:K37"/>
    <mergeCell ref="N36:O37"/>
    <mergeCell ref="Q36:R37"/>
    <mergeCell ref="E38:E41"/>
    <mergeCell ref="F38:G39"/>
    <mergeCell ref="N38:O39"/>
    <mergeCell ref="P38:P39"/>
    <mergeCell ref="Q38:R39"/>
    <mergeCell ref="S38:S39"/>
    <mergeCell ref="T38:U39"/>
    <mergeCell ref="V38:V41"/>
    <mergeCell ref="C39:C40"/>
    <mergeCell ref="F40:K41"/>
    <mergeCell ref="N40:O41"/>
    <mergeCell ref="Q40:R41"/>
    <mergeCell ref="L34:M37"/>
    <mergeCell ref="L38:M41"/>
    <mergeCell ref="P26:P27"/>
    <mergeCell ref="Q26:R27"/>
    <mergeCell ref="S26:S27"/>
    <mergeCell ref="T26:U27"/>
    <mergeCell ref="V26:V29"/>
    <mergeCell ref="C27:C28"/>
    <mergeCell ref="N28:O29"/>
    <mergeCell ref="Q28:R29"/>
    <mergeCell ref="E30:E33"/>
    <mergeCell ref="F30:G31"/>
    <mergeCell ref="N30:O31"/>
    <mergeCell ref="P30:P31"/>
    <mergeCell ref="Q30:R31"/>
    <mergeCell ref="S30:S31"/>
    <mergeCell ref="T30:U31"/>
    <mergeCell ref="V30:V33"/>
    <mergeCell ref="C31:C32"/>
    <mergeCell ref="N32:O33"/>
    <mergeCell ref="Q32:R33"/>
    <mergeCell ref="F28:K29"/>
    <mergeCell ref="F32:K33"/>
    <mergeCell ref="L26:M29"/>
    <mergeCell ref="L30:M33"/>
    <mergeCell ref="V18:V21"/>
    <mergeCell ref="N20:O21"/>
    <mergeCell ref="Q20:R21"/>
    <mergeCell ref="E22:E25"/>
    <mergeCell ref="F22:G23"/>
    <mergeCell ref="N22:O23"/>
    <mergeCell ref="P22:P23"/>
    <mergeCell ref="Q22:R23"/>
    <mergeCell ref="S22:S23"/>
    <mergeCell ref="T22:U23"/>
    <mergeCell ref="V22:V25"/>
    <mergeCell ref="C23:C24"/>
    <mergeCell ref="N24:O25"/>
    <mergeCell ref="Q24:R25"/>
    <mergeCell ref="F20:K21"/>
    <mergeCell ref="F24:K25"/>
    <mergeCell ref="P18:P19"/>
    <mergeCell ref="Q18:R19"/>
    <mergeCell ref="S18:S19"/>
    <mergeCell ref="T18:U19"/>
    <mergeCell ref="L18:M21"/>
    <mergeCell ref="L22:M25"/>
    <mergeCell ref="L2:V2"/>
    <mergeCell ref="L5:M5"/>
    <mergeCell ref="N16:U16"/>
    <mergeCell ref="N17:U17"/>
    <mergeCell ref="B2:H2"/>
    <mergeCell ref="E16:E17"/>
    <mergeCell ref="B16:B17"/>
    <mergeCell ref="B10:F10"/>
    <mergeCell ref="O3:P3"/>
    <mergeCell ref="R3:S3"/>
    <mergeCell ref="Q5:R5"/>
    <mergeCell ref="L16:M16"/>
    <mergeCell ref="L17:M17"/>
    <mergeCell ref="B70:F73"/>
    <mergeCell ref="H68:V69"/>
    <mergeCell ref="S5:T5"/>
    <mergeCell ref="F60:J60"/>
    <mergeCell ref="F63:J63"/>
    <mergeCell ref="N5:P5"/>
    <mergeCell ref="E34:E37"/>
    <mergeCell ref="F34:G35"/>
    <mergeCell ref="N34:O35"/>
    <mergeCell ref="P34:P35"/>
    <mergeCell ref="E26:E29"/>
    <mergeCell ref="F26:G27"/>
    <mergeCell ref="N26:O27"/>
    <mergeCell ref="F16:G16"/>
    <mergeCell ref="L10:M10"/>
    <mergeCell ref="E18:E21"/>
    <mergeCell ref="F18:G19"/>
    <mergeCell ref="N18:O19"/>
    <mergeCell ref="C19:C20"/>
    <mergeCell ref="B94:B95"/>
    <mergeCell ref="E94:E95"/>
    <mergeCell ref="F94:G94"/>
    <mergeCell ref="L94:M94"/>
    <mergeCell ref="N94:U94"/>
    <mergeCell ref="L95:M95"/>
    <mergeCell ref="N95:U95"/>
    <mergeCell ref="E96:E99"/>
    <mergeCell ref="F96:G97"/>
    <mergeCell ref="N96:O97"/>
    <mergeCell ref="P96:P97"/>
    <mergeCell ref="Q96:R97"/>
    <mergeCell ref="S96:S97"/>
    <mergeCell ref="T96:U97"/>
    <mergeCell ref="B80:H80"/>
    <mergeCell ref="L80:V80"/>
    <mergeCell ref="O81:P81"/>
    <mergeCell ref="R81:S81"/>
    <mergeCell ref="L83:M83"/>
    <mergeCell ref="N83:P83"/>
    <mergeCell ref="Q83:R83"/>
    <mergeCell ref="S83:T83"/>
    <mergeCell ref="B88:F88"/>
    <mergeCell ref="L88:M88"/>
    <mergeCell ref="V96:V99"/>
    <mergeCell ref="C97:C98"/>
    <mergeCell ref="F98:K99"/>
    <mergeCell ref="N98:O99"/>
    <mergeCell ref="Q98:R99"/>
    <mergeCell ref="L96:M99"/>
    <mergeCell ref="E100:E103"/>
    <mergeCell ref="F100:G101"/>
    <mergeCell ref="N100:O101"/>
    <mergeCell ref="P100:P101"/>
    <mergeCell ref="Q100:R101"/>
    <mergeCell ref="S100:S101"/>
    <mergeCell ref="T100:U101"/>
    <mergeCell ref="V100:V103"/>
    <mergeCell ref="C101:C102"/>
    <mergeCell ref="F102:K103"/>
    <mergeCell ref="N102:O103"/>
    <mergeCell ref="Q102:R103"/>
    <mergeCell ref="E108:E111"/>
    <mergeCell ref="F108:G109"/>
    <mergeCell ref="N108:O109"/>
    <mergeCell ref="P108:P109"/>
    <mergeCell ref="Q108:R109"/>
    <mergeCell ref="S108:S109"/>
    <mergeCell ref="T108:U109"/>
    <mergeCell ref="V108:V111"/>
    <mergeCell ref="C109:C110"/>
    <mergeCell ref="F110:K111"/>
    <mergeCell ref="N110:O111"/>
    <mergeCell ref="Q110:R111"/>
    <mergeCell ref="E104:E107"/>
    <mergeCell ref="F104:G105"/>
    <mergeCell ref="N104:O105"/>
    <mergeCell ref="P104:P105"/>
    <mergeCell ref="Q104:R105"/>
    <mergeCell ref="S104:S105"/>
    <mergeCell ref="T104:U105"/>
    <mergeCell ref="V104:V107"/>
    <mergeCell ref="C105:C106"/>
    <mergeCell ref="F106:K107"/>
    <mergeCell ref="N106:O107"/>
    <mergeCell ref="Q106:R107"/>
    <mergeCell ref="E116:E119"/>
    <mergeCell ref="F116:G117"/>
    <mergeCell ref="N116:O117"/>
    <mergeCell ref="P116:P117"/>
    <mergeCell ref="Q116:R117"/>
    <mergeCell ref="S116:S117"/>
    <mergeCell ref="T116:U117"/>
    <mergeCell ref="V116:V119"/>
    <mergeCell ref="C117:C118"/>
    <mergeCell ref="F118:K119"/>
    <mergeCell ref="N118:O119"/>
    <mergeCell ref="Q118:R119"/>
    <mergeCell ref="E112:E115"/>
    <mergeCell ref="F112:G113"/>
    <mergeCell ref="N112:O113"/>
    <mergeCell ref="P112:P113"/>
    <mergeCell ref="Q112:R113"/>
    <mergeCell ref="S112:S113"/>
    <mergeCell ref="T112:U113"/>
    <mergeCell ref="V112:V115"/>
    <mergeCell ref="C113:C114"/>
    <mergeCell ref="F114:K115"/>
    <mergeCell ref="N114:O115"/>
    <mergeCell ref="Q114:R115"/>
    <mergeCell ref="S124:S125"/>
    <mergeCell ref="T124:U125"/>
    <mergeCell ref="V124:V127"/>
    <mergeCell ref="C125:C126"/>
    <mergeCell ref="F126:K127"/>
    <mergeCell ref="N126:O127"/>
    <mergeCell ref="Q126:R127"/>
    <mergeCell ref="E120:E123"/>
    <mergeCell ref="F120:G121"/>
    <mergeCell ref="N120:O121"/>
    <mergeCell ref="P120:P121"/>
    <mergeCell ref="Q120:R121"/>
    <mergeCell ref="S120:S121"/>
    <mergeCell ref="T120:U121"/>
    <mergeCell ref="V120:V123"/>
    <mergeCell ref="C121:C122"/>
    <mergeCell ref="F122:K123"/>
    <mergeCell ref="N122:O123"/>
    <mergeCell ref="Q122:R123"/>
    <mergeCell ref="L124:M127"/>
    <mergeCell ref="E124:E127"/>
    <mergeCell ref="F124:G125"/>
    <mergeCell ref="N124:O125"/>
    <mergeCell ref="P124:P125"/>
    <mergeCell ref="Q124:R125"/>
    <mergeCell ref="P132:P133"/>
    <mergeCell ref="Q132:R133"/>
    <mergeCell ref="S132:S133"/>
    <mergeCell ref="T132:U133"/>
    <mergeCell ref="V132:V135"/>
    <mergeCell ref="C133:C134"/>
    <mergeCell ref="F134:K135"/>
    <mergeCell ref="N134:O135"/>
    <mergeCell ref="Q134:R135"/>
    <mergeCell ref="L132:M135"/>
    <mergeCell ref="E128:E131"/>
    <mergeCell ref="F128:G129"/>
    <mergeCell ref="N128:O129"/>
    <mergeCell ref="P128:P129"/>
    <mergeCell ref="Q128:R129"/>
    <mergeCell ref="S128:S129"/>
    <mergeCell ref="T128:U129"/>
    <mergeCell ref="V128:V131"/>
    <mergeCell ref="C129:C130"/>
    <mergeCell ref="F130:K131"/>
    <mergeCell ref="N130:O131"/>
    <mergeCell ref="Q130:R131"/>
    <mergeCell ref="L128:M131"/>
    <mergeCell ref="L100:M103"/>
    <mergeCell ref="L104:M107"/>
    <mergeCell ref="L108:M111"/>
    <mergeCell ref="L112:M115"/>
    <mergeCell ref="L116:M119"/>
    <mergeCell ref="L120:M123"/>
    <mergeCell ref="B158:H158"/>
    <mergeCell ref="L158:V158"/>
    <mergeCell ref="O159:P159"/>
    <mergeCell ref="R159:S159"/>
    <mergeCell ref="L161:M161"/>
    <mergeCell ref="N161:P161"/>
    <mergeCell ref="Q161:R161"/>
    <mergeCell ref="S161:T161"/>
    <mergeCell ref="B166:F166"/>
    <mergeCell ref="L166:M166"/>
    <mergeCell ref="E182:E185"/>
    <mergeCell ref="F182:G183"/>
    <mergeCell ref="L182:M185"/>
    <mergeCell ref="N182:O183"/>
    <mergeCell ref="P182:P183"/>
    <mergeCell ref="Q182:R183"/>
    <mergeCell ref="F138:J138"/>
    <mergeCell ref="F141:J141"/>
    <mergeCell ref="H146:V147"/>
    <mergeCell ref="B148:F151"/>
    <mergeCell ref="C183:C184"/>
    <mergeCell ref="F184:K185"/>
    <mergeCell ref="N184:O185"/>
    <mergeCell ref="E132:E135"/>
    <mergeCell ref="F132:G133"/>
    <mergeCell ref="N132:O133"/>
    <mergeCell ref="F190:G191"/>
    <mergeCell ref="Q184:R185"/>
    <mergeCell ref="B172:B173"/>
    <mergeCell ref="E172:E173"/>
    <mergeCell ref="F172:G172"/>
    <mergeCell ref="L172:M172"/>
    <mergeCell ref="N172:U172"/>
    <mergeCell ref="L173:M173"/>
    <mergeCell ref="N173:U173"/>
    <mergeCell ref="E174:E177"/>
    <mergeCell ref="F174:G175"/>
    <mergeCell ref="L174:M177"/>
    <mergeCell ref="N174:O175"/>
    <mergeCell ref="P174:P175"/>
    <mergeCell ref="Q174:R175"/>
    <mergeCell ref="S174:S175"/>
    <mergeCell ref="T174:U175"/>
    <mergeCell ref="L190:M193"/>
    <mergeCell ref="N190:O191"/>
    <mergeCell ref="P190:P191"/>
    <mergeCell ref="Q190:R191"/>
    <mergeCell ref="S190:S191"/>
    <mergeCell ref="T190:U191"/>
    <mergeCell ref="T180:U181"/>
    <mergeCell ref="T184:U185"/>
    <mergeCell ref="F198:G199"/>
    <mergeCell ref="L198:M201"/>
    <mergeCell ref="N198:O199"/>
    <mergeCell ref="P198:P199"/>
    <mergeCell ref="S182:S183"/>
    <mergeCell ref="T182:U183"/>
    <mergeCell ref="V194:V197"/>
    <mergeCell ref="V186:V189"/>
    <mergeCell ref="V182:V185"/>
    <mergeCell ref="V174:V177"/>
    <mergeCell ref="C175:C176"/>
    <mergeCell ref="F176:K177"/>
    <mergeCell ref="N176:O177"/>
    <mergeCell ref="Q176:R177"/>
    <mergeCell ref="E178:E181"/>
    <mergeCell ref="F178:G179"/>
    <mergeCell ref="L178:M181"/>
    <mergeCell ref="N178:O179"/>
    <mergeCell ref="P178:P179"/>
    <mergeCell ref="Q178:R179"/>
    <mergeCell ref="S178:S179"/>
    <mergeCell ref="T178:U179"/>
    <mergeCell ref="V178:V181"/>
    <mergeCell ref="C179:C180"/>
    <mergeCell ref="F180:K181"/>
    <mergeCell ref="N180:O181"/>
    <mergeCell ref="Q180:R181"/>
    <mergeCell ref="C187:C188"/>
    <mergeCell ref="F188:K189"/>
    <mergeCell ref="N188:O189"/>
    <mergeCell ref="Q188:R189"/>
    <mergeCell ref="E190:E193"/>
    <mergeCell ref="V190:V193"/>
    <mergeCell ref="C191:C192"/>
    <mergeCell ref="F192:K193"/>
    <mergeCell ref="N192:O193"/>
    <mergeCell ref="Q192:R193"/>
    <mergeCell ref="T188:U189"/>
    <mergeCell ref="T192:U193"/>
    <mergeCell ref="E186:E189"/>
    <mergeCell ref="F186:G187"/>
    <mergeCell ref="L186:M189"/>
    <mergeCell ref="N186:O187"/>
    <mergeCell ref="P186:P187"/>
    <mergeCell ref="Q186:R187"/>
    <mergeCell ref="S186:S187"/>
    <mergeCell ref="T186:U187"/>
    <mergeCell ref="Q198:R199"/>
    <mergeCell ref="S198:S199"/>
    <mergeCell ref="T198:U199"/>
    <mergeCell ref="T196:U197"/>
    <mergeCell ref="E194:E197"/>
    <mergeCell ref="F194:G195"/>
    <mergeCell ref="L194:M197"/>
    <mergeCell ref="N194:O195"/>
    <mergeCell ref="P194:P195"/>
    <mergeCell ref="Q194:R195"/>
    <mergeCell ref="S194:S195"/>
    <mergeCell ref="T194:U195"/>
    <mergeCell ref="C195:C196"/>
    <mergeCell ref="F196:K197"/>
    <mergeCell ref="N196:O197"/>
    <mergeCell ref="Q196:R197"/>
    <mergeCell ref="E198:E201"/>
    <mergeCell ref="V206:V209"/>
    <mergeCell ref="V198:V201"/>
    <mergeCell ref="C199:C200"/>
    <mergeCell ref="F200:K201"/>
    <mergeCell ref="N200:O201"/>
    <mergeCell ref="Q200:R201"/>
    <mergeCell ref="E202:E205"/>
    <mergeCell ref="F202:G203"/>
    <mergeCell ref="L202:M205"/>
    <mergeCell ref="N202:O203"/>
    <mergeCell ref="P202:P203"/>
    <mergeCell ref="Q202:R203"/>
    <mergeCell ref="S202:S203"/>
    <mergeCell ref="T202:U203"/>
    <mergeCell ref="V202:V205"/>
    <mergeCell ref="C203:C204"/>
    <mergeCell ref="F204:K205"/>
    <mergeCell ref="N204:O205"/>
    <mergeCell ref="Q204:R205"/>
    <mergeCell ref="T200:U201"/>
    <mergeCell ref="T204:U205"/>
    <mergeCell ref="C207:C208"/>
    <mergeCell ref="F208:K209"/>
    <mergeCell ref="N208:O209"/>
    <mergeCell ref="Q208:R209"/>
    <mergeCell ref="T208:U209"/>
    <mergeCell ref="E206:E209"/>
    <mergeCell ref="F206:G207"/>
    <mergeCell ref="L206:M209"/>
    <mergeCell ref="N206:O207"/>
    <mergeCell ref="P206:P207"/>
    <mergeCell ref="Q206:R207"/>
    <mergeCell ref="H224:V225"/>
    <mergeCell ref="B226:F229"/>
    <mergeCell ref="B236:H236"/>
    <mergeCell ref="L236:V236"/>
    <mergeCell ref="O237:P237"/>
    <mergeCell ref="R237:S237"/>
    <mergeCell ref="S206:S207"/>
    <mergeCell ref="T206:U207"/>
    <mergeCell ref="L239:M239"/>
    <mergeCell ref="N239:P239"/>
    <mergeCell ref="Q239:R239"/>
    <mergeCell ref="S239:T239"/>
    <mergeCell ref="C253:C254"/>
    <mergeCell ref="F254:K255"/>
    <mergeCell ref="N254:O255"/>
    <mergeCell ref="Q254:R255"/>
    <mergeCell ref="V210:V213"/>
    <mergeCell ref="C211:C212"/>
    <mergeCell ref="F212:K213"/>
    <mergeCell ref="N212:O213"/>
    <mergeCell ref="Q212:R213"/>
    <mergeCell ref="F216:J216"/>
    <mergeCell ref="F219:J219"/>
    <mergeCell ref="T212:U213"/>
    <mergeCell ref="E210:E213"/>
    <mergeCell ref="F210:G211"/>
    <mergeCell ref="L210:M213"/>
    <mergeCell ref="N210:O211"/>
    <mergeCell ref="P210:P211"/>
    <mergeCell ref="Q210:R211"/>
    <mergeCell ref="S210:S211"/>
    <mergeCell ref="T210:U211"/>
    <mergeCell ref="T256:U257"/>
    <mergeCell ref="T254:U255"/>
    <mergeCell ref="E252:E255"/>
    <mergeCell ref="F252:G253"/>
    <mergeCell ref="L252:M255"/>
    <mergeCell ref="N252:O253"/>
    <mergeCell ref="P252:P253"/>
    <mergeCell ref="Q252:R253"/>
    <mergeCell ref="S252:S253"/>
    <mergeCell ref="T252:U253"/>
    <mergeCell ref="V252:V255"/>
    <mergeCell ref="B244:F244"/>
    <mergeCell ref="L244:M244"/>
    <mergeCell ref="B250:B251"/>
    <mergeCell ref="E250:E251"/>
    <mergeCell ref="F250:G250"/>
    <mergeCell ref="L250:M250"/>
    <mergeCell ref="N250:U250"/>
    <mergeCell ref="L251:M251"/>
    <mergeCell ref="N251:U251"/>
    <mergeCell ref="V264:V267"/>
    <mergeCell ref="V256:V259"/>
    <mergeCell ref="C257:C258"/>
    <mergeCell ref="F258:K259"/>
    <mergeCell ref="N258:O259"/>
    <mergeCell ref="Q258:R259"/>
    <mergeCell ref="E260:E263"/>
    <mergeCell ref="F260:G261"/>
    <mergeCell ref="L260:M263"/>
    <mergeCell ref="N260:O261"/>
    <mergeCell ref="P260:P261"/>
    <mergeCell ref="Q260:R261"/>
    <mergeCell ref="S260:S261"/>
    <mergeCell ref="T260:U261"/>
    <mergeCell ref="V260:V263"/>
    <mergeCell ref="C261:C262"/>
    <mergeCell ref="F262:K263"/>
    <mergeCell ref="N262:O263"/>
    <mergeCell ref="Q262:R263"/>
    <mergeCell ref="T258:U259"/>
    <mergeCell ref="T262:U263"/>
    <mergeCell ref="C265:C266"/>
    <mergeCell ref="F266:K267"/>
    <mergeCell ref="N266:O267"/>
    <mergeCell ref="Q266:R267"/>
    <mergeCell ref="E256:E259"/>
    <mergeCell ref="F256:G257"/>
    <mergeCell ref="L256:M259"/>
    <mergeCell ref="N256:O257"/>
    <mergeCell ref="P256:P257"/>
    <mergeCell ref="Q256:R257"/>
    <mergeCell ref="S256:S257"/>
    <mergeCell ref="T268:U269"/>
    <mergeCell ref="T266:U267"/>
    <mergeCell ref="E264:E267"/>
    <mergeCell ref="F264:G265"/>
    <mergeCell ref="L264:M267"/>
    <mergeCell ref="N264:O265"/>
    <mergeCell ref="P264:P265"/>
    <mergeCell ref="Q264:R265"/>
    <mergeCell ref="S264:S265"/>
    <mergeCell ref="T264:U265"/>
    <mergeCell ref="T278:U279"/>
    <mergeCell ref="E276:E279"/>
    <mergeCell ref="F276:G277"/>
    <mergeCell ref="L276:M279"/>
    <mergeCell ref="N276:O277"/>
    <mergeCell ref="P276:P277"/>
    <mergeCell ref="Q276:R277"/>
    <mergeCell ref="S276:S277"/>
    <mergeCell ref="T276:U277"/>
    <mergeCell ref="V276:V279"/>
    <mergeCell ref="V268:V271"/>
    <mergeCell ref="C269:C270"/>
    <mergeCell ref="F270:K271"/>
    <mergeCell ref="N270:O271"/>
    <mergeCell ref="Q270:R271"/>
    <mergeCell ref="E272:E275"/>
    <mergeCell ref="F272:G273"/>
    <mergeCell ref="L272:M275"/>
    <mergeCell ref="N272:O273"/>
    <mergeCell ref="P272:P273"/>
    <mergeCell ref="Q272:R273"/>
    <mergeCell ref="S272:S273"/>
    <mergeCell ref="T272:U273"/>
    <mergeCell ref="V272:V275"/>
    <mergeCell ref="C273:C274"/>
    <mergeCell ref="F274:K275"/>
    <mergeCell ref="N274:O275"/>
    <mergeCell ref="Q274:R275"/>
    <mergeCell ref="T270:U271"/>
    <mergeCell ref="T274:U275"/>
    <mergeCell ref="C277:C278"/>
    <mergeCell ref="F278:K279"/>
    <mergeCell ref="N278:O279"/>
    <mergeCell ref="Q278:R279"/>
    <mergeCell ref="E268:E271"/>
    <mergeCell ref="F268:G269"/>
    <mergeCell ref="L268:M271"/>
    <mergeCell ref="N268:O269"/>
    <mergeCell ref="P268:P269"/>
    <mergeCell ref="Q268:R269"/>
    <mergeCell ref="S268:S269"/>
    <mergeCell ref="V280:V283"/>
    <mergeCell ref="C281:C282"/>
    <mergeCell ref="F282:K283"/>
    <mergeCell ref="N282:O283"/>
    <mergeCell ref="Q282:R283"/>
    <mergeCell ref="E284:E287"/>
    <mergeCell ref="F284:G285"/>
    <mergeCell ref="L284:M287"/>
    <mergeCell ref="N284:O285"/>
    <mergeCell ref="P284:P285"/>
    <mergeCell ref="Q284:R285"/>
    <mergeCell ref="S284:S285"/>
    <mergeCell ref="T284:U285"/>
    <mergeCell ref="V284:V287"/>
    <mergeCell ref="C285:C286"/>
    <mergeCell ref="F286:K287"/>
    <mergeCell ref="N286:O287"/>
    <mergeCell ref="Q286:R287"/>
    <mergeCell ref="T282:U283"/>
    <mergeCell ref="T286:U287"/>
    <mergeCell ref="E280:E283"/>
    <mergeCell ref="F280:G281"/>
    <mergeCell ref="L280:M283"/>
    <mergeCell ref="N280:O281"/>
    <mergeCell ref="P280:P281"/>
    <mergeCell ref="Q280:R281"/>
    <mergeCell ref="S280:S281"/>
    <mergeCell ref="T280:U281"/>
    <mergeCell ref="C289:C290"/>
    <mergeCell ref="F290:K291"/>
    <mergeCell ref="N290:O291"/>
    <mergeCell ref="Q290:R291"/>
    <mergeCell ref="F294:J294"/>
    <mergeCell ref="F297:J297"/>
    <mergeCell ref="H302:V303"/>
    <mergeCell ref="T290:U291"/>
    <mergeCell ref="E288:E291"/>
    <mergeCell ref="F288:G289"/>
    <mergeCell ref="L288:M291"/>
    <mergeCell ref="N288:O289"/>
    <mergeCell ref="P288:P289"/>
    <mergeCell ref="Q288:R289"/>
    <mergeCell ref="S288:S289"/>
    <mergeCell ref="T288:U289"/>
    <mergeCell ref="V288:V291"/>
    <mergeCell ref="V330:V333"/>
    <mergeCell ref="B322:F322"/>
    <mergeCell ref="L322:M322"/>
    <mergeCell ref="B328:B329"/>
    <mergeCell ref="E328:E329"/>
    <mergeCell ref="F328:G328"/>
    <mergeCell ref="L328:M328"/>
    <mergeCell ref="N328:U328"/>
    <mergeCell ref="L329:M329"/>
    <mergeCell ref="N329:U329"/>
    <mergeCell ref="B304:F307"/>
    <mergeCell ref="B314:H314"/>
    <mergeCell ref="L314:V314"/>
    <mergeCell ref="O315:P315"/>
    <mergeCell ref="R315:S315"/>
    <mergeCell ref="L317:M317"/>
    <mergeCell ref="N317:P317"/>
    <mergeCell ref="Q317:R317"/>
    <mergeCell ref="S317:T317"/>
    <mergeCell ref="C331:C332"/>
    <mergeCell ref="F332:K333"/>
    <mergeCell ref="N332:O333"/>
    <mergeCell ref="Q332:R333"/>
    <mergeCell ref="T334:U335"/>
    <mergeCell ref="T332:U333"/>
    <mergeCell ref="E330:E333"/>
    <mergeCell ref="F330:G331"/>
    <mergeCell ref="L330:M333"/>
    <mergeCell ref="N330:O331"/>
    <mergeCell ref="P330:P331"/>
    <mergeCell ref="Q330:R331"/>
    <mergeCell ref="S330:S331"/>
    <mergeCell ref="T330:U331"/>
    <mergeCell ref="T344:U345"/>
    <mergeCell ref="E342:E345"/>
    <mergeCell ref="F342:G343"/>
    <mergeCell ref="L342:M345"/>
    <mergeCell ref="N342:O343"/>
    <mergeCell ref="P342:P343"/>
    <mergeCell ref="Q342:R343"/>
    <mergeCell ref="S342:S343"/>
    <mergeCell ref="T342:U343"/>
    <mergeCell ref="V342:V345"/>
    <mergeCell ref="V334:V337"/>
    <mergeCell ref="C335:C336"/>
    <mergeCell ref="F336:K337"/>
    <mergeCell ref="N336:O337"/>
    <mergeCell ref="Q336:R337"/>
    <mergeCell ref="E338:E341"/>
    <mergeCell ref="F338:G339"/>
    <mergeCell ref="L338:M341"/>
    <mergeCell ref="N338:O339"/>
    <mergeCell ref="P338:P339"/>
    <mergeCell ref="Q338:R339"/>
    <mergeCell ref="S338:S339"/>
    <mergeCell ref="T338:U339"/>
    <mergeCell ref="V338:V341"/>
    <mergeCell ref="C339:C340"/>
    <mergeCell ref="F340:K341"/>
    <mergeCell ref="N340:O341"/>
    <mergeCell ref="Q340:R341"/>
    <mergeCell ref="T336:U337"/>
    <mergeCell ref="T340:U341"/>
    <mergeCell ref="C343:C344"/>
    <mergeCell ref="F344:K345"/>
    <mergeCell ref="N344:O345"/>
    <mergeCell ref="Q344:R345"/>
    <mergeCell ref="E334:E337"/>
    <mergeCell ref="F334:G335"/>
    <mergeCell ref="L334:M337"/>
    <mergeCell ref="N334:O335"/>
    <mergeCell ref="P334:P335"/>
    <mergeCell ref="Q334:R335"/>
    <mergeCell ref="S334:S335"/>
    <mergeCell ref="V346:V349"/>
    <mergeCell ref="C347:C348"/>
    <mergeCell ref="F348:K349"/>
    <mergeCell ref="N348:O349"/>
    <mergeCell ref="Q348:R349"/>
    <mergeCell ref="E350:E353"/>
    <mergeCell ref="F350:G351"/>
    <mergeCell ref="L350:M353"/>
    <mergeCell ref="N350:O351"/>
    <mergeCell ref="P350:P351"/>
    <mergeCell ref="Q350:R351"/>
    <mergeCell ref="S350:S351"/>
    <mergeCell ref="T350:U351"/>
    <mergeCell ref="V350:V353"/>
    <mergeCell ref="C351:C352"/>
    <mergeCell ref="F352:K353"/>
    <mergeCell ref="N352:O353"/>
    <mergeCell ref="Q352:R353"/>
    <mergeCell ref="T348:U349"/>
    <mergeCell ref="T352:U353"/>
    <mergeCell ref="E346:E349"/>
    <mergeCell ref="F346:G347"/>
    <mergeCell ref="L346:M349"/>
    <mergeCell ref="N346:O347"/>
    <mergeCell ref="P346:P347"/>
    <mergeCell ref="Q346:R347"/>
    <mergeCell ref="S346:S347"/>
    <mergeCell ref="T346:U347"/>
    <mergeCell ref="V362:V365"/>
    <mergeCell ref="C363:C364"/>
    <mergeCell ref="F364:K365"/>
    <mergeCell ref="N364:O365"/>
    <mergeCell ref="Q364:R365"/>
    <mergeCell ref="T360:U361"/>
    <mergeCell ref="T364:U365"/>
    <mergeCell ref="E358:E361"/>
    <mergeCell ref="F358:G359"/>
    <mergeCell ref="L358:M361"/>
    <mergeCell ref="N358:O359"/>
    <mergeCell ref="P358:P359"/>
    <mergeCell ref="Q358:R359"/>
    <mergeCell ref="S358:S359"/>
    <mergeCell ref="T358:U359"/>
    <mergeCell ref="T356:U357"/>
    <mergeCell ref="E354:E357"/>
    <mergeCell ref="F354:G355"/>
    <mergeCell ref="L354:M357"/>
    <mergeCell ref="N354:O355"/>
    <mergeCell ref="P354:P355"/>
    <mergeCell ref="Q354:R355"/>
    <mergeCell ref="S354:S355"/>
    <mergeCell ref="T354:U355"/>
    <mergeCell ref="V354:V357"/>
    <mergeCell ref="C355:C356"/>
    <mergeCell ref="F356:K357"/>
    <mergeCell ref="N356:O357"/>
    <mergeCell ref="Q356:R357"/>
    <mergeCell ref="V358:V361"/>
    <mergeCell ref="C359:C360"/>
    <mergeCell ref="F360:K361"/>
    <mergeCell ref="F362:G363"/>
    <mergeCell ref="L362:M365"/>
    <mergeCell ref="N362:O363"/>
    <mergeCell ref="P362:P363"/>
    <mergeCell ref="Q362:R363"/>
    <mergeCell ref="S362:S363"/>
    <mergeCell ref="T362:U363"/>
    <mergeCell ref="B392:H392"/>
    <mergeCell ref="L392:V392"/>
    <mergeCell ref="O393:P393"/>
    <mergeCell ref="R393:S393"/>
    <mergeCell ref="L395:M395"/>
    <mergeCell ref="N395:P395"/>
    <mergeCell ref="Q395:R395"/>
    <mergeCell ref="S395:T395"/>
    <mergeCell ref="C367:C368"/>
    <mergeCell ref="F368:K369"/>
    <mergeCell ref="N368:O369"/>
    <mergeCell ref="Q368:R369"/>
    <mergeCell ref="F372:J372"/>
    <mergeCell ref="F375:J375"/>
    <mergeCell ref="H380:V381"/>
    <mergeCell ref="T368:U369"/>
    <mergeCell ref="E366:E369"/>
    <mergeCell ref="F366:G367"/>
    <mergeCell ref="L366:M369"/>
    <mergeCell ref="N366:O367"/>
    <mergeCell ref="P366:P367"/>
    <mergeCell ref="Q366:R367"/>
    <mergeCell ref="S366:S367"/>
    <mergeCell ref="T366:U367"/>
    <mergeCell ref="V366:V369"/>
    <mergeCell ref="B400:F400"/>
    <mergeCell ref="L400:M400"/>
    <mergeCell ref="B382:F385"/>
    <mergeCell ref="T20:U21"/>
    <mergeCell ref="T24:U25"/>
    <mergeCell ref="T28:U29"/>
    <mergeCell ref="T32:U33"/>
    <mergeCell ref="T36:U37"/>
    <mergeCell ref="T40:U41"/>
    <mergeCell ref="T44:U45"/>
    <mergeCell ref="T48:U49"/>
    <mergeCell ref="T52:U53"/>
    <mergeCell ref="T56:U57"/>
    <mergeCell ref="T98:U99"/>
    <mergeCell ref="T102:U103"/>
    <mergeCell ref="T106:U107"/>
    <mergeCell ref="T110:U111"/>
    <mergeCell ref="T114:U115"/>
    <mergeCell ref="T118:U119"/>
    <mergeCell ref="T122:U123"/>
    <mergeCell ref="T126:U127"/>
    <mergeCell ref="T130:U131"/>
    <mergeCell ref="T134:U135"/>
    <mergeCell ref="T176:U177"/>
    <mergeCell ref="H78:V78"/>
    <mergeCell ref="H156:V156"/>
    <mergeCell ref="H234:V234"/>
    <mergeCell ref="H312:V312"/>
    <mergeCell ref="H390:V390"/>
    <mergeCell ref="N360:O361"/>
    <mergeCell ref="Q360:R361"/>
    <mergeCell ref="E362:E365"/>
    <mergeCell ref="T414:U415"/>
    <mergeCell ref="C417:C418"/>
    <mergeCell ref="F418:K419"/>
    <mergeCell ref="N418:O419"/>
    <mergeCell ref="Q418:R419"/>
    <mergeCell ref="T418:U419"/>
    <mergeCell ref="B406:B407"/>
    <mergeCell ref="E406:E407"/>
    <mergeCell ref="F406:G406"/>
    <mergeCell ref="L406:M406"/>
    <mergeCell ref="N406:U406"/>
    <mergeCell ref="L407:M407"/>
    <mergeCell ref="N407:U407"/>
    <mergeCell ref="E408:E411"/>
    <mergeCell ref="F408:G409"/>
    <mergeCell ref="L408:M411"/>
    <mergeCell ref="N408:O409"/>
    <mergeCell ref="P408:P409"/>
    <mergeCell ref="Q408:R409"/>
    <mergeCell ref="S408:S409"/>
    <mergeCell ref="T408:U409"/>
    <mergeCell ref="E416:E419"/>
    <mergeCell ref="F416:G417"/>
    <mergeCell ref="L416:M419"/>
    <mergeCell ref="N416:O417"/>
    <mergeCell ref="P416:P417"/>
    <mergeCell ref="Q416:R417"/>
    <mergeCell ref="S416:S417"/>
    <mergeCell ref="T416:U417"/>
    <mergeCell ref="V428:V431"/>
    <mergeCell ref="V420:V423"/>
    <mergeCell ref="C421:C422"/>
    <mergeCell ref="F422:K423"/>
    <mergeCell ref="N422:O423"/>
    <mergeCell ref="Q422:R423"/>
    <mergeCell ref="T422:U423"/>
    <mergeCell ref="E424:E427"/>
    <mergeCell ref="F424:G425"/>
    <mergeCell ref="L424:M427"/>
    <mergeCell ref="C429:C430"/>
    <mergeCell ref="F430:K431"/>
    <mergeCell ref="V416:V419"/>
    <mergeCell ref="V408:V411"/>
    <mergeCell ref="C409:C410"/>
    <mergeCell ref="F410:K411"/>
    <mergeCell ref="N410:O411"/>
    <mergeCell ref="Q410:R411"/>
    <mergeCell ref="T410:U411"/>
    <mergeCell ref="E412:E415"/>
    <mergeCell ref="F412:G413"/>
    <mergeCell ref="L412:M415"/>
    <mergeCell ref="N412:O413"/>
    <mergeCell ref="P412:P413"/>
    <mergeCell ref="Q412:R413"/>
    <mergeCell ref="S412:S413"/>
    <mergeCell ref="T412:U413"/>
    <mergeCell ref="V412:V415"/>
    <mergeCell ref="C413:C414"/>
    <mergeCell ref="F414:K415"/>
    <mergeCell ref="N414:O415"/>
    <mergeCell ref="Q414:R415"/>
    <mergeCell ref="N424:O425"/>
    <mergeCell ref="P424:P425"/>
    <mergeCell ref="Q424:R425"/>
    <mergeCell ref="S424:S425"/>
    <mergeCell ref="T424:U425"/>
    <mergeCell ref="V424:V427"/>
    <mergeCell ref="C425:C426"/>
    <mergeCell ref="F426:K427"/>
    <mergeCell ref="N426:O427"/>
    <mergeCell ref="Q426:R427"/>
    <mergeCell ref="T426:U427"/>
    <mergeCell ref="E420:E423"/>
    <mergeCell ref="F420:G421"/>
    <mergeCell ref="L420:M423"/>
    <mergeCell ref="N420:O421"/>
    <mergeCell ref="P420:P421"/>
    <mergeCell ref="Q420:R421"/>
    <mergeCell ref="S420:S421"/>
    <mergeCell ref="T420:U421"/>
    <mergeCell ref="N430:O431"/>
    <mergeCell ref="Q430:R431"/>
    <mergeCell ref="T430:U431"/>
    <mergeCell ref="E432:E435"/>
    <mergeCell ref="F432:G433"/>
    <mergeCell ref="L432:M435"/>
    <mergeCell ref="N432:O433"/>
    <mergeCell ref="P432:P433"/>
    <mergeCell ref="Q432:R433"/>
    <mergeCell ref="S432:S433"/>
    <mergeCell ref="T432:U433"/>
    <mergeCell ref="E428:E431"/>
    <mergeCell ref="F428:G429"/>
    <mergeCell ref="L428:M431"/>
    <mergeCell ref="N428:O429"/>
    <mergeCell ref="P428:P429"/>
    <mergeCell ref="Q428:R429"/>
    <mergeCell ref="S428:S429"/>
    <mergeCell ref="T428:U429"/>
    <mergeCell ref="C433:C434"/>
    <mergeCell ref="F434:K435"/>
    <mergeCell ref="N434:O435"/>
    <mergeCell ref="Q434:R435"/>
    <mergeCell ref="T434:U435"/>
    <mergeCell ref="F436:G437"/>
    <mergeCell ref="L436:M439"/>
    <mergeCell ref="N436:O437"/>
    <mergeCell ref="P436:P437"/>
    <mergeCell ref="Q436:R437"/>
    <mergeCell ref="S436:S437"/>
    <mergeCell ref="T436:U437"/>
    <mergeCell ref="V436:V439"/>
    <mergeCell ref="C437:C438"/>
    <mergeCell ref="F438:K439"/>
    <mergeCell ref="N438:O439"/>
    <mergeCell ref="Q438:R439"/>
    <mergeCell ref="T438:U439"/>
    <mergeCell ref="E436:E439"/>
    <mergeCell ref="L444:M447"/>
    <mergeCell ref="N444:O445"/>
    <mergeCell ref="P444:P445"/>
    <mergeCell ref="Q444:R445"/>
    <mergeCell ref="S444:S445"/>
    <mergeCell ref="T444:U445"/>
    <mergeCell ref="E440:E443"/>
    <mergeCell ref="F440:G441"/>
    <mergeCell ref="L440:M443"/>
    <mergeCell ref="N440:O441"/>
    <mergeCell ref="P440:P441"/>
    <mergeCell ref="Q440:R441"/>
    <mergeCell ref="S440:S441"/>
    <mergeCell ref="T440:U441"/>
    <mergeCell ref="C441:C442"/>
    <mergeCell ref="F442:K443"/>
    <mergeCell ref="N442:O443"/>
    <mergeCell ref="Q442:R443"/>
    <mergeCell ref="T442:U443"/>
    <mergeCell ref="H458:V459"/>
    <mergeCell ref="V440:V443"/>
    <mergeCell ref="V432:V435"/>
    <mergeCell ref="B460:F463"/>
    <mergeCell ref="B470:H470"/>
    <mergeCell ref="L470:V470"/>
    <mergeCell ref="O471:P471"/>
    <mergeCell ref="R471:S471"/>
    <mergeCell ref="L473:M473"/>
    <mergeCell ref="N473:P473"/>
    <mergeCell ref="Q473:R473"/>
    <mergeCell ref="S473:T473"/>
    <mergeCell ref="C487:C488"/>
    <mergeCell ref="F488:K489"/>
    <mergeCell ref="N488:O489"/>
    <mergeCell ref="Q488:R489"/>
    <mergeCell ref="T488:U489"/>
    <mergeCell ref="V444:V447"/>
    <mergeCell ref="C445:C446"/>
    <mergeCell ref="F446:K447"/>
    <mergeCell ref="N446:O447"/>
    <mergeCell ref="Q446:R447"/>
    <mergeCell ref="T446:U447"/>
    <mergeCell ref="F450:J450"/>
    <mergeCell ref="F453:J453"/>
    <mergeCell ref="E486:E489"/>
    <mergeCell ref="F486:G487"/>
    <mergeCell ref="L486:M489"/>
    <mergeCell ref="N486:O487"/>
    <mergeCell ref="P486:P487"/>
    <mergeCell ref="Q486:R487"/>
    <mergeCell ref="S486:S487"/>
    <mergeCell ref="T486:U487"/>
    <mergeCell ref="E444:E447"/>
    <mergeCell ref="F444:G445"/>
    <mergeCell ref="V498:V501"/>
    <mergeCell ref="V490:V493"/>
    <mergeCell ref="V486:V489"/>
    <mergeCell ref="B478:F478"/>
    <mergeCell ref="L478:M478"/>
    <mergeCell ref="B484:B485"/>
    <mergeCell ref="E484:E485"/>
    <mergeCell ref="F484:G484"/>
    <mergeCell ref="L484:M484"/>
    <mergeCell ref="N484:U484"/>
    <mergeCell ref="L485:M485"/>
    <mergeCell ref="N485:U485"/>
    <mergeCell ref="C491:C492"/>
    <mergeCell ref="F492:K493"/>
    <mergeCell ref="N492:O493"/>
    <mergeCell ref="Q492:R493"/>
    <mergeCell ref="T492:U493"/>
    <mergeCell ref="E494:E497"/>
    <mergeCell ref="F494:G495"/>
    <mergeCell ref="L494:M497"/>
    <mergeCell ref="N494:O495"/>
    <mergeCell ref="P494:P495"/>
    <mergeCell ref="Q494:R495"/>
    <mergeCell ref="S494:S495"/>
    <mergeCell ref="T494:U495"/>
    <mergeCell ref="V494:V497"/>
    <mergeCell ref="C495:C496"/>
    <mergeCell ref="F496:K497"/>
    <mergeCell ref="N496:O497"/>
    <mergeCell ref="Q496:R497"/>
    <mergeCell ref="T496:U497"/>
    <mergeCell ref="E490:E493"/>
    <mergeCell ref="F490:G491"/>
    <mergeCell ref="L490:M493"/>
    <mergeCell ref="N490:O491"/>
    <mergeCell ref="P490:P491"/>
    <mergeCell ref="Q490:R491"/>
    <mergeCell ref="S490:S491"/>
    <mergeCell ref="T490:U491"/>
    <mergeCell ref="N512:O513"/>
    <mergeCell ref="Q512:R513"/>
    <mergeCell ref="T512:U513"/>
    <mergeCell ref="C499:C500"/>
    <mergeCell ref="F500:K501"/>
    <mergeCell ref="N500:O501"/>
    <mergeCell ref="Q500:R501"/>
    <mergeCell ref="T500:U501"/>
    <mergeCell ref="E502:E505"/>
    <mergeCell ref="F502:G503"/>
    <mergeCell ref="L502:M505"/>
    <mergeCell ref="N502:O503"/>
    <mergeCell ref="P502:P503"/>
    <mergeCell ref="Q502:R503"/>
    <mergeCell ref="S502:S503"/>
    <mergeCell ref="T502:U503"/>
    <mergeCell ref="E498:E501"/>
    <mergeCell ref="F498:G499"/>
    <mergeCell ref="L498:M501"/>
    <mergeCell ref="N498:O499"/>
    <mergeCell ref="P498:P499"/>
    <mergeCell ref="Q498:R499"/>
    <mergeCell ref="S498:S499"/>
    <mergeCell ref="T498:U499"/>
    <mergeCell ref="E510:E513"/>
    <mergeCell ref="F510:G511"/>
    <mergeCell ref="L510:M513"/>
    <mergeCell ref="N510:O511"/>
    <mergeCell ref="P510:P511"/>
    <mergeCell ref="Q510:R511"/>
    <mergeCell ref="S510:S511"/>
    <mergeCell ref="T510:U511"/>
    <mergeCell ref="V514:V517"/>
    <mergeCell ref="V510:V513"/>
    <mergeCell ref="V502:V505"/>
    <mergeCell ref="C503:C504"/>
    <mergeCell ref="F504:K505"/>
    <mergeCell ref="N504:O505"/>
    <mergeCell ref="Q504:R505"/>
    <mergeCell ref="T504:U505"/>
    <mergeCell ref="E506:E509"/>
    <mergeCell ref="F506:G507"/>
    <mergeCell ref="L506:M509"/>
    <mergeCell ref="N506:O507"/>
    <mergeCell ref="P506:P507"/>
    <mergeCell ref="Q506:R507"/>
    <mergeCell ref="S506:S507"/>
    <mergeCell ref="T506:U507"/>
    <mergeCell ref="V506:V509"/>
    <mergeCell ref="C507:C508"/>
    <mergeCell ref="F508:K509"/>
    <mergeCell ref="N508:O509"/>
    <mergeCell ref="Q508:R509"/>
    <mergeCell ref="T508:U509"/>
    <mergeCell ref="C511:C512"/>
    <mergeCell ref="F512:K513"/>
    <mergeCell ref="C515:C516"/>
    <mergeCell ref="F516:K517"/>
    <mergeCell ref="N516:O517"/>
    <mergeCell ref="Q516:R517"/>
    <mergeCell ref="T516:U517"/>
    <mergeCell ref="E518:E521"/>
    <mergeCell ref="F518:G519"/>
    <mergeCell ref="L518:M521"/>
    <mergeCell ref="N518:O519"/>
    <mergeCell ref="P518:P519"/>
    <mergeCell ref="Q518:R519"/>
    <mergeCell ref="S518:S519"/>
    <mergeCell ref="T518:U519"/>
    <mergeCell ref="V518:V521"/>
    <mergeCell ref="C519:C520"/>
    <mergeCell ref="F520:K521"/>
    <mergeCell ref="N520:O521"/>
    <mergeCell ref="Q520:R521"/>
    <mergeCell ref="T520:U521"/>
    <mergeCell ref="E514:E517"/>
    <mergeCell ref="F514:G515"/>
    <mergeCell ref="L514:M517"/>
    <mergeCell ref="N514:O515"/>
    <mergeCell ref="P514:P515"/>
    <mergeCell ref="Q514:R515"/>
    <mergeCell ref="S514:S515"/>
    <mergeCell ref="T514:U515"/>
    <mergeCell ref="B538:F541"/>
    <mergeCell ref="B548:H548"/>
    <mergeCell ref="L548:V548"/>
    <mergeCell ref="O549:P549"/>
    <mergeCell ref="R549:S549"/>
    <mergeCell ref="L551:M551"/>
    <mergeCell ref="N551:P551"/>
    <mergeCell ref="Q551:R551"/>
    <mergeCell ref="S551:T551"/>
    <mergeCell ref="C565:C566"/>
    <mergeCell ref="F566:K567"/>
    <mergeCell ref="N566:O567"/>
    <mergeCell ref="Q566:R567"/>
    <mergeCell ref="T566:U567"/>
    <mergeCell ref="C523:C524"/>
    <mergeCell ref="F524:K525"/>
    <mergeCell ref="N524:O525"/>
    <mergeCell ref="Q524:R525"/>
    <mergeCell ref="T524:U525"/>
    <mergeCell ref="F528:J528"/>
    <mergeCell ref="F531:J531"/>
    <mergeCell ref="H536:V537"/>
    <mergeCell ref="E522:E525"/>
    <mergeCell ref="F522:G523"/>
    <mergeCell ref="L522:M525"/>
    <mergeCell ref="N522:O523"/>
    <mergeCell ref="P522:P523"/>
    <mergeCell ref="Q522:R523"/>
    <mergeCell ref="S522:S523"/>
    <mergeCell ref="T522:U523"/>
    <mergeCell ref="V522:V525"/>
    <mergeCell ref="E564:E567"/>
    <mergeCell ref="F564:G565"/>
    <mergeCell ref="L564:M567"/>
    <mergeCell ref="N564:O565"/>
    <mergeCell ref="P564:P565"/>
    <mergeCell ref="Q564:R565"/>
    <mergeCell ref="S564:S565"/>
    <mergeCell ref="T564:U565"/>
    <mergeCell ref="V576:V579"/>
    <mergeCell ref="V568:V571"/>
    <mergeCell ref="V564:V567"/>
    <mergeCell ref="B556:F556"/>
    <mergeCell ref="L556:M556"/>
    <mergeCell ref="B562:B563"/>
    <mergeCell ref="E562:E563"/>
    <mergeCell ref="F562:G562"/>
    <mergeCell ref="L562:M562"/>
    <mergeCell ref="N562:U562"/>
    <mergeCell ref="L563:M563"/>
    <mergeCell ref="N563:U563"/>
    <mergeCell ref="C569:C570"/>
    <mergeCell ref="F570:K571"/>
    <mergeCell ref="N570:O571"/>
    <mergeCell ref="Q570:R571"/>
    <mergeCell ref="T570:U571"/>
    <mergeCell ref="E572:E575"/>
    <mergeCell ref="F572:G573"/>
    <mergeCell ref="L572:M575"/>
    <mergeCell ref="N572:O573"/>
    <mergeCell ref="P572:P573"/>
    <mergeCell ref="Q572:R573"/>
    <mergeCell ref="S572:S573"/>
    <mergeCell ref="T572:U573"/>
    <mergeCell ref="V572:V575"/>
    <mergeCell ref="C573:C574"/>
    <mergeCell ref="F574:K575"/>
    <mergeCell ref="N574:O575"/>
    <mergeCell ref="Q574:R575"/>
    <mergeCell ref="T574:U575"/>
    <mergeCell ref="E568:E571"/>
    <mergeCell ref="F568:G569"/>
    <mergeCell ref="L568:M571"/>
    <mergeCell ref="N568:O569"/>
    <mergeCell ref="P568:P569"/>
    <mergeCell ref="Q568:R569"/>
    <mergeCell ref="S568:S569"/>
    <mergeCell ref="T568:U569"/>
    <mergeCell ref="N590:O591"/>
    <mergeCell ref="Q590:R591"/>
    <mergeCell ref="T590:U591"/>
    <mergeCell ref="C577:C578"/>
    <mergeCell ref="F578:K579"/>
    <mergeCell ref="N578:O579"/>
    <mergeCell ref="Q578:R579"/>
    <mergeCell ref="T578:U579"/>
    <mergeCell ref="E580:E583"/>
    <mergeCell ref="F580:G581"/>
    <mergeCell ref="L580:M583"/>
    <mergeCell ref="N580:O581"/>
    <mergeCell ref="P580:P581"/>
    <mergeCell ref="Q580:R581"/>
    <mergeCell ref="S580:S581"/>
    <mergeCell ref="T580:U581"/>
    <mergeCell ref="E576:E579"/>
    <mergeCell ref="F576:G577"/>
    <mergeCell ref="L576:M579"/>
    <mergeCell ref="N576:O577"/>
    <mergeCell ref="P576:P577"/>
    <mergeCell ref="Q576:R577"/>
    <mergeCell ref="S576:S577"/>
    <mergeCell ref="T576:U577"/>
    <mergeCell ref="E588:E591"/>
    <mergeCell ref="F588:G589"/>
    <mergeCell ref="L588:M591"/>
    <mergeCell ref="N588:O589"/>
    <mergeCell ref="P588:P589"/>
    <mergeCell ref="Q588:R589"/>
    <mergeCell ref="S588:S589"/>
    <mergeCell ref="T588:U589"/>
    <mergeCell ref="V592:V595"/>
    <mergeCell ref="V588:V591"/>
    <mergeCell ref="V580:V583"/>
    <mergeCell ref="C581:C582"/>
    <mergeCell ref="F582:K583"/>
    <mergeCell ref="N582:O583"/>
    <mergeCell ref="Q582:R583"/>
    <mergeCell ref="T582:U583"/>
    <mergeCell ref="E584:E587"/>
    <mergeCell ref="F584:G585"/>
    <mergeCell ref="L584:M587"/>
    <mergeCell ref="N584:O585"/>
    <mergeCell ref="P584:P585"/>
    <mergeCell ref="Q584:R585"/>
    <mergeCell ref="S584:S585"/>
    <mergeCell ref="T584:U585"/>
    <mergeCell ref="V584:V587"/>
    <mergeCell ref="C585:C586"/>
    <mergeCell ref="F586:K587"/>
    <mergeCell ref="N586:O587"/>
    <mergeCell ref="Q586:R587"/>
    <mergeCell ref="T586:U587"/>
    <mergeCell ref="C589:C590"/>
    <mergeCell ref="F590:K591"/>
    <mergeCell ref="C593:C594"/>
    <mergeCell ref="F594:K595"/>
    <mergeCell ref="N594:O595"/>
    <mergeCell ref="Q594:R595"/>
    <mergeCell ref="T594:U595"/>
    <mergeCell ref="E596:E599"/>
    <mergeCell ref="F596:G597"/>
    <mergeCell ref="L596:M599"/>
    <mergeCell ref="N596:O597"/>
    <mergeCell ref="P596:P597"/>
    <mergeCell ref="Q596:R597"/>
    <mergeCell ref="S596:S597"/>
    <mergeCell ref="T596:U597"/>
    <mergeCell ref="V596:V599"/>
    <mergeCell ref="C597:C598"/>
    <mergeCell ref="F598:K599"/>
    <mergeCell ref="N598:O599"/>
    <mergeCell ref="Q598:R599"/>
    <mergeCell ref="T598:U599"/>
    <mergeCell ref="E592:E595"/>
    <mergeCell ref="F592:G593"/>
    <mergeCell ref="L592:M595"/>
    <mergeCell ref="N592:O593"/>
    <mergeCell ref="P592:P593"/>
    <mergeCell ref="Q592:R593"/>
    <mergeCell ref="S592:S593"/>
    <mergeCell ref="T592:U593"/>
    <mergeCell ref="B616:F619"/>
    <mergeCell ref="B626:H626"/>
    <mergeCell ref="L626:V626"/>
    <mergeCell ref="O627:P627"/>
    <mergeCell ref="R627:S627"/>
    <mergeCell ref="L629:M629"/>
    <mergeCell ref="N629:P629"/>
    <mergeCell ref="Q629:R629"/>
    <mergeCell ref="S629:T629"/>
    <mergeCell ref="C643:C644"/>
    <mergeCell ref="F644:K645"/>
    <mergeCell ref="N644:O645"/>
    <mergeCell ref="Q644:R645"/>
    <mergeCell ref="T644:U645"/>
    <mergeCell ref="C601:C602"/>
    <mergeCell ref="F602:K603"/>
    <mergeCell ref="N602:O603"/>
    <mergeCell ref="Q602:R603"/>
    <mergeCell ref="T602:U603"/>
    <mergeCell ref="F606:J606"/>
    <mergeCell ref="F609:J609"/>
    <mergeCell ref="H614:V615"/>
    <mergeCell ref="E600:E603"/>
    <mergeCell ref="F600:G601"/>
    <mergeCell ref="L600:M603"/>
    <mergeCell ref="N600:O601"/>
    <mergeCell ref="P600:P601"/>
    <mergeCell ref="Q600:R601"/>
    <mergeCell ref="S600:S601"/>
    <mergeCell ref="T600:U601"/>
    <mergeCell ref="V600:V603"/>
    <mergeCell ref="E642:E645"/>
    <mergeCell ref="F642:G643"/>
    <mergeCell ref="L642:M645"/>
    <mergeCell ref="N642:O643"/>
    <mergeCell ref="P642:P643"/>
    <mergeCell ref="Q642:R643"/>
    <mergeCell ref="S642:S643"/>
    <mergeCell ref="T642:U643"/>
    <mergeCell ref="V654:V657"/>
    <mergeCell ref="V646:V649"/>
    <mergeCell ref="V642:V645"/>
    <mergeCell ref="B634:F634"/>
    <mergeCell ref="L634:M634"/>
    <mergeCell ref="B640:B641"/>
    <mergeCell ref="E640:E641"/>
    <mergeCell ref="F640:G640"/>
    <mergeCell ref="L640:M640"/>
    <mergeCell ref="N640:U640"/>
    <mergeCell ref="L641:M641"/>
    <mergeCell ref="N641:U641"/>
    <mergeCell ref="C647:C648"/>
    <mergeCell ref="F648:K649"/>
    <mergeCell ref="N648:O649"/>
    <mergeCell ref="Q648:R649"/>
    <mergeCell ref="T648:U649"/>
    <mergeCell ref="E650:E653"/>
    <mergeCell ref="F650:G651"/>
    <mergeCell ref="L650:M653"/>
    <mergeCell ref="N650:O651"/>
    <mergeCell ref="P650:P651"/>
    <mergeCell ref="Q650:R651"/>
    <mergeCell ref="S650:S651"/>
    <mergeCell ref="T650:U651"/>
    <mergeCell ref="V650:V653"/>
    <mergeCell ref="C651:C652"/>
    <mergeCell ref="F652:K653"/>
    <mergeCell ref="N652:O653"/>
    <mergeCell ref="Q652:R653"/>
    <mergeCell ref="T652:U653"/>
    <mergeCell ref="E646:E649"/>
    <mergeCell ref="F646:G647"/>
    <mergeCell ref="L646:M649"/>
    <mergeCell ref="N646:O647"/>
    <mergeCell ref="P646:P647"/>
    <mergeCell ref="Q646:R647"/>
    <mergeCell ref="S646:S647"/>
    <mergeCell ref="T646:U647"/>
    <mergeCell ref="N668:O669"/>
    <mergeCell ref="Q668:R669"/>
    <mergeCell ref="T668:U669"/>
    <mergeCell ref="C655:C656"/>
    <mergeCell ref="F656:K657"/>
    <mergeCell ref="N656:O657"/>
    <mergeCell ref="Q656:R657"/>
    <mergeCell ref="T656:U657"/>
    <mergeCell ref="E658:E661"/>
    <mergeCell ref="F658:G659"/>
    <mergeCell ref="L658:M661"/>
    <mergeCell ref="N658:O659"/>
    <mergeCell ref="P658:P659"/>
    <mergeCell ref="Q658:R659"/>
    <mergeCell ref="S658:S659"/>
    <mergeCell ref="T658:U659"/>
    <mergeCell ref="E654:E657"/>
    <mergeCell ref="F654:G655"/>
    <mergeCell ref="L654:M657"/>
    <mergeCell ref="N654:O655"/>
    <mergeCell ref="P654:P655"/>
    <mergeCell ref="Q654:R655"/>
    <mergeCell ref="S654:S655"/>
    <mergeCell ref="T654:U655"/>
    <mergeCell ref="E666:E669"/>
    <mergeCell ref="F666:G667"/>
    <mergeCell ref="L666:M669"/>
    <mergeCell ref="N666:O667"/>
    <mergeCell ref="P666:P667"/>
    <mergeCell ref="Q666:R667"/>
    <mergeCell ref="S666:S667"/>
    <mergeCell ref="T666:U667"/>
    <mergeCell ref="V670:V673"/>
    <mergeCell ref="V666:V669"/>
    <mergeCell ref="V658:V661"/>
    <mergeCell ref="C659:C660"/>
    <mergeCell ref="F660:K661"/>
    <mergeCell ref="N660:O661"/>
    <mergeCell ref="Q660:R661"/>
    <mergeCell ref="T660:U661"/>
    <mergeCell ref="E662:E665"/>
    <mergeCell ref="F662:G663"/>
    <mergeCell ref="L662:M665"/>
    <mergeCell ref="N662:O663"/>
    <mergeCell ref="P662:P663"/>
    <mergeCell ref="Q662:R663"/>
    <mergeCell ref="S662:S663"/>
    <mergeCell ref="T662:U663"/>
    <mergeCell ref="V662:V665"/>
    <mergeCell ref="C663:C664"/>
    <mergeCell ref="F664:K665"/>
    <mergeCell ref="N664:O665"/>
    <mergeCell ref="Q664:R665"/>
    <mergeCell ref="T664:U665"/>
    <mergeCell ref="C667:C668"/>
    <mergeCell ref="F668:K669"/>
    <mergeCell ref="C671:C672"/>
    <mergeCell ref="F672:K673"/>
    <mergeCell ref="N672:O673"/>
    <mergeCell ref="Q672:R673"/>
    <mergeCell ref="T672:U673"/>
    <mergeCell ref="E674:E677"/>
    <mergeCell ref="F674:G675"/>
    <mergeCell ref="L674:M677"/>
    <mergeCell ref="N674:O675"/>
    <mergeCell ref="P674:P675"/>
    <mergeCell ref="Q674:R675"/>
    <mergeCell ref="S674:S675"/>
    <mergeCell ref="T674:U675"/>
    <mergeCell ref="V674:V677"/>
    <mergeCell ref="C675:C676"/>
    <mergeCell ref="F676:K677"/>
    <mergeCell ref="N676:O677"/>
    <mergeCell ref="Q676:R677"/>
    <mergeCell ref="T676:U677"/>
    <mergeCell ref="E670:E673"/>
    <mergeCell ref="F670:G671"/>
    <mergeCell ref="L670:M673"/>
    <mergeCell ref="N670:O671"/>
    <mergeCell ref="P670:P671"/>
    <mergeCell ref="Q670:R671"/>
    <mergeCell ref="S670:S671"/>
    <mergeCell ref="T670:U671"/>
    <mergeCell ref="B694:F697"/>
    <mergeCell ref="B704:H704"/>
    <mergeCell ref="L704:V704"/>
    <mergeCell ref="O705:P705"/>
    <mergeCell ref="R705:S705"/>
    <mergeCell ref="L707:M707"/>
    <mergeCell ref="N707:P707"/>
    <mergeCell ref="Q707:R707"/>
    <mergeCell ref="S707:T707"/>
    <mergeCell ref="C721:C722"/>
    <mergeCell ref="F722:K723"/>
    <mergeCell ref="N722:O723"/>
    <mergeCell ref="Q722:R723"/>
    <mergeCell ref="T722:U723"/>
    <mergeCell ref="C679:C680"/>
    <mergeCell ref="F680:K681"/>
    <mergeCell ref="N680:O681"/>
    <mergeCell ref="Q680:R681"/>
    <mergeCell ref="T680:U681"/>
    <mergeCell ref="F684:J684"/>
    <mergeCell ref="F687:J687"/>
    <mergeCell ref="H692:V693"/>
    <mergeCell ref="E678:E681"/>
    <mergeCell ref="F678:G679"/>
    <mergeCell ref="L678:M681"/>
    <mergeCell ref="N678:O679"/>
    <mergeCell ref="P678:P679"/>
    <mergeCell ref="Q678:R679"/>
    <mergeCell ref="S678:S679"/>
    <mergeCell ref="T678:U679"/>
    <mergeCell ref="V678:V681"/>
    <mergeCell ref="E720:E723"/>
    <mergeCell ref="F720:G721"/>
    <mergeCell ref="L720:M723"/>
    <mergeCell ref="N720:O721"/>
    <mergeCell ref="P720:P721"/>
    <mergeCell ref="Q720:R721"/>
    <mergeCell ref="S720:S721"/>
    <mergeCell ref="T720:U721"/>
    <mergeCell ref="V732:V735"/>
    <mergeCell ref="V724:V727"/>
    <mergeCell ref="V720:V723"/>
    <mergeCell ref="B712:F712"/>
    <mergeCell ref="L712:M712"/>
    <mergeCell ref="B718:B719"/>
    <mergeCell ref="E718:E719"/>
    <mergeCell ref="F718:G718"/>
    <mergeCell ref="L718:M718"/>
    <mergeCell ref="N718:U718"/>
    <mergeCell ref="L719:M719"/>
    <mergeCell ref="N719:U719"/>
    <mergeCell ref="C725:C726"/>
    <mergeCell ref="F726:K727"/>
    <mergeCell ref="N726:O727"/>
    <mergeCell ref="Q726:R727"/>
    <mergeCell ref="T726:U727"/>
    <mergeCell ref="E728:E731"/>
    <mergeCell ref="F728:G729"/>
    <mergeCell ref="L728:M731"/>
    <mergeCell ref="N728:O729"/>
    <mergeCell ref="P728:P729"/>
    <mergeCell ref="Q728:R729"/>
    <mergeCell ref="S728:S729"/>
    <mergeCell ref="T728:U729"/>
    <mergeCell ref="V728:V731"/>
    <mergeCell ref="C729:C730"/>
    <mergeCell ref="F730:K731"/>
    <mergeCell ref="N730:O731"/>
    <mergeCell ref="Q730:R731"/>
    <mergeCell ref="T730:U731"/>
    <mergeCell ref="E724:E727"/>
    <mergeCell ref="F724:G725"/>
    <mergeCell ref="L724:M727"/>
    <mergeCell ref="N724:O725"/>
    <mergeCell ref="P724:P725"/>
    <mergeCell ref="Q724:R725"/>
    <mergeCell ref="S724:S725"/>
    <mergeCell ref="T724:U725"/>
    <mergeCell ref="N746:O747"/>
    <mergeCell ref="Q746:R747"/>
    <mergeCell ref="T746:U747"/>
    <mergeCell ref="C733:C734"/>
    <mergeCell ref="F734:K735"/>
    <mergeCell ref="N734:O735"/>
    <mergeCell ref="Q734:R735"/>
    <mergeCell ref="T734:U735"/>
    <mergeCell ref="E736:E739"/>
    <mergeCell ref="F736:G737"/>
    <mergeCell ref="L736:M739"/>
    <mergeCell ref="N736:O737"/>
    <mergeCell ref="P736:P737"/>
    <mergeCell ref="Q736:R737"/>
    <mergeCell ref="S736:S737"/>
    <mergeCell ref="T736:U737"/>
    <mergeCell ref="E732:E735"/>
    <mergeCell ref="F732:G733"/>
    <mergeCell ref="L732:M735"/>
    <mergeCell ref="N732:O733"/>
    <mergeCell ref="P732:P733"/>
    <mergeCell ref="Q732:R733"/>
    <mergeCell ref="S732:S733"/>
    <mergeCell ref="T732:U733"/>
    <mergeCell ref="E744:E747"/>
    <mergeCell ref="F744:G745"/>
    <mergeCell ref="L744:M747"/>
    <mergeCell ref="N744:O745"/>
    <mergeCell ref="P744:P745"/>
    <mergeCell ref="Q744:R745"/>
    <mergeCell ref="S744:S745"/>
    <mergeCell ref="T744:U745"/>
    <mergeCell ref="V748:V751"/>
    <mergeCell ref="V744:V747"/>
    <mergeCell ref="V736:V739"/>
    <mergeCell ref="C737:C738"/>
    <mergeCell ref="F738:K739"/>
    <mergeCell ref="N738:O739"/>
    <mergeCell ref="Q738:R739"/>
    <mergeCell ref="T738:U739"/>
    <mergeCell ref="E740:E743"/>
    <mergeCell ref="F740:G741"/>
    <mergeCell ref="L740:M743"/>
    <mergeCell ref="N740:O741"/>
    <mergeCell ref="P740:P741"/>
    <mergeCell ref="Q740:R741"/>
    <mergeCell ref="S740:S741"/>
    <mergeCell ref="T740:U741"/>
    <mergeCell ref="V740:V743"/>
    <mergeCell ref="C741:C742"/>
    <mergeCell ref="F742:K743"/>
    <mergeCell ref="N742:O743"/>
    <mergeCell ref="Q742:R743"/>
    <mergeCell ref="T742:U743"/>
    <mergeCell ref="C745:C746"/>
    <mergeCell ref="F746:K747"/>
    <mergeCell ref="C749:C750"/>
    <mergeCell ref="F750:K751"/>
    <mergeCell ref="N750:O751"/>
    <mergeCell ref="Q750:R751"/>
    <mergeCell ref="T750:U751"/>
    <mergeCell ref="E752:E755"/>
    <mergeCell ref="F752:G753"/>
    <mergeCell ref="L752:M755"/>
    <mergeCell ref="N752:O753"/>
    <mergeCell ref="P752:P753"/>
    <mergeCell ref="Q752:R753"/>
    <mergeCell ref="S752:S753"/>
    <mergeCell ref="T752:U753"/>
    <mergeCell ref="V752:V755"/>
    <mergeCell ref="C753:C754"/>
    <mergeCell ref="F754:K755"/>
    <mergeCell ref="N754:O755"/>
    <mergeCell ref="Q754:R755"/>
    <mergeCell ref="T754:U755"/>
    <mergeCell ref="E748:E751"/>
    <mergeCell ref="F748:G749"/>
    <mergeCell ref="L748:M751"/>
    <mergeCell ref="N748:O749"/>
    <mergeCell ref="P748:P749"/>
    <mergeCell ref="Q748:R749"/>
    <mergeCell ref="S748:S749"/>
    <mergeCell ref="T748:U749"/>
    <mergeCell ref="B772:F775"/>
    <mergeCell ref="B782:H782"/>
    <mergeCell ref="L782:V782"/>
    <mergeCell ref="O783:P783"/>
    <mergeCell ref="R783:S783"/>
    <mergeCell ref="L785:M785"/>
    <mergeCell ref="N785:P785"/>
    <mergeCell ref="Q785:R785"/>
    <mergeCell ref="S785:T785"/>
    <mergeCell ref="C799:C800"/>
    <mergeCell ref="F800:K801"/>
    <mergeCell ref="N800:O801"/>
    <mergeCell ref="Q800:R801"/>
    <mergeCell ref="T800:U801"/>
    <mergeCell ref="C757:C758"/>
    <mergeCell ref="F758:K759"/>
    <mergeCell ref="N758:O759"/>
    <mergeCell ref="Q758:R759"/>
    <mergeCell ref="T758:U759"/>
    <mergeCell ref="F762:J762"/>
    <mergeCell ref="F765:J765"/>
    <mergeCell ref="H770:V771"/>
    <mergeCell ref="E756:E759"/>
    <mergeCell ref="F756:G757"/>
    <mergeCell ref="L756:M759"/>
    <mergeCell ref="N756:O757"/>
    <mergeCell ref="P756:P757"/>
    <mergeCell ref="Q756:R757"/>
    <mergeCell ref="S756:S757"/>
    <mergeCell ref="T756:U757"/>
    <mergeCell ref="V756:V759"/>
    <mergeCell ref="E798:E801"/>
    <mergeCell ref="F798:G799"/>
    <mergeCell ref="L798:M801"/>
    <mergeCell ref="N798:O799"/>
    <mergeCell ref="P798:P799"/>
    <mergeCell ref="Q798:R799"/>
    <mergeCell ref="S798:S799"/>
    <mergeCell ref="T798:U799"/>
    <mergeCell ref="V810:V813"/>
    <mergeCell ref="V802:V805"/>
    <mergeCell ref="V798:V801"/>
    <mergeCell ref="B790:F790"/>
    <mergeCell ref="L790:M790"/>
    <mergeCell ref="B796:B797"/>
    <mergeCell ref="E796:E797"/>
    <mergeCell ref="F796:G796"/>
    <mergeCell ref="L796:M796"/>
    <mergeCell ref="N796:U796"/>
    <mergeCell ref="L797:M797"/>
    <mergeCell ref="N797:U797"/>
    <mergeCell ref="C803:C804"/>
    <mergeCell ref="F804:K805"/>
    <mergeCell ref="N804:O805"/>
    <mergeCell ref="Q804:R805"/>
    <mergeCell ref="T804:U805"/>
    <mergeCell ref="E806:E809"/>
    <mergeCell ref="F806:G807"/>
    <mergeCell ref="L806:M809"/>
    <mergeCell ref="N806:O807"/>
    <mergeCell ref="P806:P807"/>
    <mergeCell ref="Q806:R807"/>
    <mergeCell ref="S806:S807"/>
    <mergeCell ref="T806:U807"/>
    <mergeCell ref="V806:V809"/>
    <mergeCell ref="C807:C808"/>
    <mergeCell ref="F808:K809"/>
    <mergeCell ref="N808:O809"/>
    <mergeCell ref="Q808:R809"/>
    <mergeCell ref="T808:U809"/>
    <mergeCell ref="E802:E805"/>
    <mergeCell ref="F802:G803"/>
    <mergeCell ref="L802:M805"/>
    <mergeCell ref="N802:O803"/>
    <mergeCell ref="P802:P803"/>
    <mergeCell ref="Q802:R803"/>
    <mergeCell ref="S802:S803"/>
    <mergeCell ref="T802:U803"/>
    <mergeCell ref="N824:O825"/>
    <mergeCell ref="Q824:R825"/>
    <mergeCell ref="T824:U825"/>
    <mergeCell ref="C811:C812"/>
    <mergeCell ref="F812:K813"/>
    <mergeCell ref="N812:O813"/>
    <mergeCell ref="Q812:R813"/>
    <mergeCell ref="T812:U813"/>
    <mergeCell ref="E814:E817"/>
    <mergeCell ref="F814:G815"/>
    <mergeCell ref="L814:M817"/>
    <mergeCell ref="N814:O815"/>
    <mergeCell ref="P814:P815"/>
    <mergeCell ref="Q814:R815"/>
    <mergeCell ref="S814:S815"/>
    <mergeCell ref="T814:U815"/>
    <mergeCell ref="E810:E813"/>
    <mergeCell ref="F810:G811"/>
    <mergeCell ref="L810:M813"/>
    <mergeCell ref="N810:O811"/>
    <mergeCell ref="P810:P811"/>
    <mergeCell ref="Q810:R811"/>
    <mergeCell ref="S810:S811"/>
    <mergeCell ref="T810:U811"/>
    <mergeCell ref="E822:E825"/>
    <mergeCell ref="F822:G823"/>
    <mergeCell ref="L822:M825"/>
    <mergeCell ref="N822:O823"/>
    <mergeCell ref="P822:P823"/>
    <mergeCell ref="Q822:R823"/>
    <mergeCell ref="S822:S823"/>
    <mergeCell ref="T822:U823"/>
    <mergeCell ref="V826:V829"/>
    <mergeCell ref="V822:V825"/>
    <mergeCell ref="V814:V817"/>
    <mergeCell ref="C815:C816"/>
    <mergeCell ref="F816:K817"/>
    <mergeCell ref="N816:O817"/>
    <mergeCell ref="Q816:R817"/>
    <mergeCell ref="T816:U817"/>
    <mergeCell ref="E818:E821"/>
    <mergeCell ref="F818:G819"/>
    <mergeCell ref="L818:M821"/>
    <mergeCell ref="N818:O819"/>
    <mergeCell ref="P818:P819"/>
    <mergeCell ref="Q818:R819"/>
    <mergeCell ref="S818:S819"/>
    <mergeCell ref="T818:U819"/>
    <mergeCell ref="V818:V821"/>
    <mergeCell ref="C819:C820"/>
    <mergeCell ref="F820:K821"/>
    <mergeCell ref="N820:O821"/>
    <mergeCell ref="Q820:R821"/>
    <mergeCell ref="T820:U821"/>
    <mergeCell ref="C823:C824"/>
    <mergeCell ref="F824:K825"/>
    <mergeCell ref="C827:C828"/>
    <mergeCell ref="F828:K829"/>
    <mergeCell ref="N828:O829"/>
    <mergeCell ref="Q828:R829"/>
    <mergeCell ref="T828:U829"/>
    <mergeCell ref="E830:E833"/>
    <mergeCell ref="F830:G831"/>
    <mergeCell ref="L830:M833"/>
    <mergeCell ref="N830:O831"/>
    <mergeCell ref="P830:P831"/>
    <mergeCell ref="Q830:R831"/>
    <mergeCell ref="S830:S831"/>
    <mergeCell ref="T830:U831"/>
    <mergeCell ref="V830:V833"/>
    <mergeCell ref="C831:C832"/>
    <mergeCell ref="F832:K833"/>
    <mergeCell ref="N832:O833"/>
    <mergeCell ref="Q832:R833"/>
    <mergeCell ref="T832:U833"/>
    <mergeCell ref="E826:E829"/>
    <mergeCell ref="F826:G827"/>
    <mergeCell ref="L826:M829"/>
    <mergeCell ref="N826:O827"/>
    <mergeCell ref="P826:P827"/>
    <mergeCell ref="Q826:R827"/>
    <mergeCell ref="S826:S827"/>
    <mergeCell ref="T826:U827"/>
    <mergeCell ref="B850:F853"/>
    <mergeCell ref="B860:H860"/>
    <mergeCell ref="L860:V860"/>
    <mergeCell ref="O861:P861"/>
    <mergeCell ref="R861:S861"/>
    <mergeCell ref="L863:M863"/>
    <mergeCell ref="N863:P863"/>
    <mergeCell ref="Q863:R863"/>
    <mergeCell ref="S863:T863"/>
    <mergeCell ref="C877:C878"/>
    <mergeCell ref="F878:K879"/>
    <mergeCell ref="N878:O879"/>
    <mergeCell ref="Q878:R879"/>
    <mergeCell ref="T878:U879"/>
    <mergeCell ref="C835:C836"/>
    <mergeCell ref="F836:K837"/>
    <mergeCell ref="N836:O837"/>
    <mergeCell ref="Q836:R837"/>
    <mergeCell ref="T836:U837"/>
    <mergeCell ref="F840:J840"/>
    <mergeCell ref="F843:J843"/>
    <mergeCell ref="H848:V849"/>
    <mergeCell ref="E834:E837"/>
    <mergeCell ref="F834:G835"/>
    <mergeCell ref="L834:M837"/>
    <mergeCell ref="N834:O835"/>
    <mergeCell ref="P834:P835"/>
    <mergeCell ref="Q834:R835"/>
    <mergeCell ref="S834:S835"/>
    <mergeCell ref="T834:U835"/>
    <mergeCell ref="V834:V837"/>
    <mergeCell ref="E876:E879"/>
    <mergeCell ref="F876:G877"/>
    <mergeCell ref="L876:M879"/>
    <mergeCell ref="N876:O877"/>
    <mergeCell ref="P876:P877"/>
    <mergeCell ref="Q876:R877"/>
    <mergeCell ref="S876:S877"/>
    <mergeCell ref="T876:U877"/>
    <mergeCell ref="V888:V891"/>
    <mergeCell ref="V880:V883"/>
    <mergeCell ref="V876:V879"/>
    <mergeCell ref="B868:F868"/>
    <mergeCell ref="L868:M868"/>
    <mergeCell ref="B874:B875"/>
    <mergeCell ref="E874:E875"/>
    <mergeCell ref="F874:G874"/>
    <mergeCell ref="L874:M874"/>
    <mergeCell ref="N874:U874"/>
    <mergeCell ref="L875:M875"/>
    <mergeCell ref="N875:U875"/>
    <mergeCell ref="C881:C882"/>
    <mergeCell ref="F882:K883"/>
    <mergeCell ref="N882:O883"/>
    <mergeCell ref="Q882:R883"/>
    <mergeCell ref="T882:U883"/>
    <mergeCell ref="E884:E887"/>
    <mergeCell ref="F884:G885"/>
    <mergeCell ref="L884:M887"/>
    <mergeCell ref="N884:O885"/>
    <mergeCell ref="P884:P885"/>
    <mergeCell ref="Q884:R885"/>
    <mergeCell ref="S884:S885"/>
    <mergeCell ref="T884:U885"/>
    <mergeCell ref="V884:V887"/>
    <mergeCell ref="C885:C886"/>
    <mergeCell ref="F886:K887"/>
    <mergeCell ref="N886:O887"/>
    <mergeCell ref="Q886:R887"/>
    <mergeCell ref="T886:U887"/>
    <mergeCell ref="E880:E883"/>
    <mergeCell ref="F880:G881"/>
    <mergeCell ref="L880:M883"/>
    <mergeCell ref="N880:O881"/>
    <mergeCell ref="P880:P881"/>
    <mergeCell ref="Q880:R881"/>
    <mergeCell ref="S880:S881"/>
    <mergeCell ref="T880:U881"/>
    <mergeCell ref="N902:O903"/>
    <mergeCell ref="Q902:R903"/>
    <mergeCell ref="T902:U903"/>
    <mergeCell ref="C889:C890"/>
    <mergeCell ref="F890:K891"/>
    <mergeCell ref="N890:O891"/>
    <mergeCell ref="Q890:R891"/>
    <mergeCell ref="T890:U891"/>
    <mergeCell ref="E892:E895"/>
    <mergeCell ref="F892:G893"/>
    <mergeCell ref="L892:M895"/>
    <mergeCell ref="N892:O893"/>
    <mergeCell ref="P892:P893"/>
    <mergeCell ref="Q892:R893"/>
    <mergeCell ref="S892:S893"/>
    <mergeCell ref="T892:U893"/>
    <mergeCell ref="E888:E891"/>
    <mergeCell ref="F888:G889"/>
    <mergeCell ref="L888:M891"/>
    <mergeCell ref="N888:O889"/>
    <mergeCell ref="P888:P889"/>
    <mergeCell ref="Q888:R889"/>
    <mergeCell ref="S888:S889"/>
    <mergeCell ref="T888:U889"/>
    <mergeCell ref="E900:E903"/>
    <mergeCell ref="F900:G901"/>
    <mergeCell ref="L900:M903"/>
    <mergeCell ref="N900:O901"/>
    <mergeCell ref="P900:P901"/>
    <mergeCell ref="Q900:R901"/>
    <mergeCell ref="S900:S901"/>
    <mergeCell ref="T900:U901"/>
    <mergeCell ref="V904:V907"/>
    <mergeCell ref="V900:V903"/>
    <mergeCell ref="V892:V895"/>
    <mergeCell ref="C893:C894"/>
    <mergeCell ref="F894:K895"/>
    <mergeCell ref="N894:O895"/>
    <mergeCell ref="Q894:R895"/>
    <mergeCell ref="T894:U895"/>
    <mergeCell ref="E896:E899"/>
    <mergeCell ref="F896:G897"/>
    <mergeCell ref="L896:M899"/>
    <mergeCell ref="N896:O897"/>
    <mergeCell ref="P896:P897"/>
    <mergeCell ref="Q896:R897"/>
    <mergeCell ref="S896:S897"/>
    <mergeCell ref="T896:U897"/>
    <mergeCell ref="V896:V899"/>
    <mergeCell ref="C897:C898"/>
    <mergeCell ref="F898:K899"/>
    <mergeCell ref="N898:O899"/>
    <mergeCell ref="Q898:R899"/>
    <mergeCell ref="T898:U899"/>
    <mergeCell ref="C901:C902"/>
    <mergeCell ref="F902:K903"/>
    <mergeCell ref="C905:C906"/>
    <mergeCell ref="F906:K907"/>
    <mergeCell ref="N906:O907"/>
    <mergeCell ref="Q906:R907"/>
    <mergeCell ref="T906:U907"/>
    <mergeCell ref="E908:E911"/>
    <mergeCell ref="F908:G909"/>
    <mergeCell ref="L908:M911"/>
    <mergeCell ref="N908:O909"/>
    <mergeCell ref="P908:P909"/>
    <mergeCell ref="Q908:R909"/>
    <mergeCell ref="S908:S909"/>
    <mergeCell ref="T908:U909"/>
    <mergeCell ref="V908:V911"/>
    <mergeCell ref="C909:C910"/>
    <mergeCell ref="F910:K911"/>
    <mergeCell ref="N910:O911"/>
    <mergeCell ref="Q910:R911"/>
    <mergeCell ref="T910:U911"/>
    <mergeCell ref="E904:E907"/>
    <mergeCell ref="F904:G905"/>
    <mergeCell ref="L904:M907"/>
    <mergeCell ref="N904:O905"/>
    <mergeCell ref="P904:P905"/>
    <mergeCell ref="Q904:R905"/>
    <mergeCell ref="S904:S905"/>
    <mergeCell ref="T904:U905"/>
    <mergeCell ref="B928:F931"/>
    <mergeCell ref="B938:H938"/>
    <mergeCell ref="L938:V938"/>
    <mergeCell ref="O939:P939"/>
    <mergeCell ref="R939:S939"/>
    <mergeCell ref="L941:M941"/>
    <mergeCell ref="N941:P941"/>
    <mergeCell ref="Q941:R941"/>
    <mergeCell ref="S941:T941"/>
    <mergeCell ref="C955:C956"/>
    <mergeCell ref="F956:K957"/>
    <mergeCell ref="N956:O957"/>
    <mergeCell ref="Q956:R957"/>
    <mergeCell ref="T956:U957"/>
    <mergeCell ref="C913:C914"/>
    <mergeCell ref="F914:K915"/>
    <mergeCell ref="N914:O915"/>
    <mergeCell ref="Q914:R915"/>
    <mergeCell ref="T914:U915"/>
    <mergeCell ref="F918:J918"/>
    <mergeCell ref="F921:J921"/>
    <mergeCell ref="H926:V927"/>
    <mergeCell ref="E912:E915"/>
    <mergeCell ref="F912:G913"/>
    <mergeCell ref="L912:M915"/>
    <mergeCell ref="N912:O913"/>
    <mergeCell ref="P912:P913"/>
    <mergeCell ref="Q912:R913"/>
    <mergeCell ref="S912:S913"/>
    <mergeCell ref="T912:U913"/>
    <mergeCell ref="V912:V915"/>
    <mergeCell ref="E954:E957"/>
    <mergeCell ref="F954:G955"/>
    <mergeCell ref="L954:M957"/>
    <mergeCell ref="N954:O955"/>
    <mergeCell ref="P954:P955"/>
    <mergeCell ref="Q954:R955"/>
    <mergeCell ref="S954:S955"/>
    <mergeCell ref="T954:U955"/>
    <mergeCell ref="V966:V969"/>
    <mergeCell ref="V958:V961"/>
    <mergeCell ref="V954:V957"/>
    <mergeCell ref="B946:F946"/>
    <mergeCell ref="L946:M946"/>
    <mergeCell ref="B952:B953"/>
    <mergeCell ref="E952:E953"/>
    <mergeCell ref="F952:G952"/>
    <mergeCell ref="L952:M952"/>
    <mergeCell ref="N952:U952"/>
    <mergeCell ref="L953:M953"/>
    <mergeCell ref="N953:U953"/>
    <mergeCell ref="C959:C960"/>
    <mergeCell ref="F960:K961"/>
    <mergeCell ref="N960:O961"/>
    <mergeCell ref="Q960:R961"/>
    <mergeCell ref="T960:U961"/>
    <mergeCell ref="E962:E965"/>
    <mergeCell ref="F962:G963"/>
    <mergeCell ref="L962:M965"/>
    <mergeCell ref="N962:O963"/>
    <mergeCell ref="P962:P963"/>
    <mergeCell ref="Q962:R963"/>
    <mergeCell ref="S962:S963"/>
    <mergeCell ref="T962:U963"/>
    <mergeCell ref="V962:V965"/>
    <mergeCell ref="C963:C964"/>
    <mergeCell ref="F964:K965"/>
    <mergeCell ref="N964:O965"/>
    <mergeCell ref="Q964:R965"/>
    <mergeCell ref="T964:U965"/>
    <mergeCell ref="E958:E961"/>
    <mergeCell ref="F958:G959"/>
    <mergeCell ref="L958:M961"/>
    <mergeCell ref="N958:O959"/>
    <mergeCell ref="P958:P959"/>
    <mergeCell ref="Q958:R959"/>
    <mergeCell ref="S958:S959"/>
    <mergeCell ref="T958:U959"/>
    <mergeCell ref="N980:O981"/>
    <mergeCell ref="Q980:R981"/>
    <mergeCell ref="T980:U981"/>
    <mergeCell ref="C967:C968"/>
    <mergeCell ref="F968:K969"/>
    <mergeCell ref="N968:O969"/>
    <mergeCell ref="Q968:R969"/>
    <mergeCell ref="T968:U969"/>
    <mergeCell ref="E970:E973"/>
    <mergeCell ref="F970:G971"/>
    <mergeCell ref="L970:M973"/>
    <mergeCell ref="N970:O971"/>
    <mergeCell ref="P970:P971"/>
    <mergeCell ref="Q970:R971"/>
    <mergeCell ref="S970:S971"/>
    <mergeCell ref="T970:U971"/>
    <mergeCell ref="E966:E969"/>
    <mergeCell ref="F966:G967"/>
    <mergeCell ref="L966:M969"/>
    <mergeCell ref="N966:O967"/>
    <mergeCell ref="P966:P967"/>
    <mergeCell ref="Q966:R967"/>
    <mergeCell ref="S966:S967"/>
    <mergeCell ref="T966:U967"/>
    <mergeCell ref="E978:E981"/>
    <mergeCell ref="F978:G979"/>
    <mergeCell ref="L978:M981"/>
    <mergeCell ref="N978:O979"/>
    <mergeCell ref="P978:P979"/>
    <mergeCell ref="Q978:R979"/>
    <mergeCell ref="S978:S979"/>
    <mergeCell ref="T978:U979"/>
    <mergeCell ref="V982:V985"/>
    <mergeCell ref="V978:V981"/>
    <mergeCell ref="V970:V973"/>
    <mergeCell ref="C971:C972"/>
    <mergeCell ref="F972:K973"/>
    <mergeCell ref="N972:O973"/>
    <mergeCell ref="Q972:R973"/>
    <mergeCell ref="T972:U973"/>
    <mergeCell ref="E974:E977"/>
    <mergeCell ref="F974:G975"/>
    <mergeCell ref="L974:M977"/>
    <mergeCell ref="N974:O975"/>
    <mergeCell ref="P974:P975"/>
    <mergeCell ref="Q974:R975"/>
    <mergeCell ref="S974:S975"/>
    <mergeCell ref="T974:U975"/>
    <mergeCell ref="V974:V977"/>
    <mergeCell ref="C975:C976"/>
    <mergeCell ref="F976:K977"/>
    <mergeCell ref="N976:O977"/>
    <mergeCell ref="Q976:R977"/>
    <mergeCell ref="T976:U977"/>
    <mergeCell ref="C979:C980"/>
    <mergeCell ref="F980:K981"/>
    <mergeCell ref="C983:C984"/>
    <mergeCell ref="F984:K985"/>
    <mergeCell ref="N984:O985"/>
    <mergeCell ref="Q984:R985"/>
    <mergeCell ref="T984:U985"/>
    <mergeCell ref="E986:E989"/>
    <mergeCell ref="F986:G987"/>
    <mergeCell ref="L986:M989"/>
    <mergeCell ref="N986:O987"/>
    <mergeCell ref="P986:P987"/>
    <mergeCell ref="Q986:R987"/>
    <mergeCell ref="S986:S987"/>
    <mergeCell ref="T986:U987"/>
    <mergeCell ref="V986:V989"/>
    <mergeCell ref="C987:C988"/>
    <mergeCell ref="F988:K989"/>
    <mergeCell ref="N988:O989"/>
    <mergeCell ref="Q988:R989"/>
    <mergeCell ref="T988:U989"/>
    <mergeCell ref="E982:E985"/>
    <mergeCell ref="F982:G983"/>
    <mergeCell ref="L982:M985"/>
    <mergeCell ref="N982:O983"/>
    <mergeCell ref="P982:P983"/>
    <mergeCell ref="Q982:R983"/>
    <mergeCell ref="S982:S983"/>
    <mergeCell ref="T982:U983"/>
    <mergeCell ref="B1006:F1009"/>
    <mergeCell ref="B1016:H1016"/>
    <mergeCell ref="L1016:V1016"/>
    <mergeCell ref="O1017:P1017"/>
    <mergeCell ref="R1017:S1017"/>
    <mergeCell ref="L1019:M1019"/>
    <mergeCell ref="N1019:P1019"/>
    <mergeCell ref="Q1019:R1019"/>
    <mergeCell ref="S1019:T1019"/>
    <mergeCell ref="C1033:C1034"/>
    <mergeCell ref="F1034:K1035"/>
    <mergeCell ref="N1034:O1035"/>
    <mergeCell ref="Q1034:R1035"/>
    <mergeCell ref="T1034:U1035"/>
    <mergeCell ref="C991:C992"/>
    <mergeCell ref="F992:K993"/>
    <mergeCell ref="N992:O993"/>
    <mergeCell ref="Q992:R993"/>
    <mergeCell ref="T992:U993"/>
    <mergeCell ref="F996:J996"/>
    <mergeCell ref="F999:J999"/>
    <mergeCell ref="H1004:V1005"/>
    <mergeCell ref="E990:E993"/>
    <mergeCell ref="F990:G991"/>
    <mergeCell ref="L990:M993"/>
    <mergeCell ref="N990:O991"/>
    <mergeCell ref="P990:P991"/>
    <mergeCell ref="Q990:R991"/>
    <mergeCell ref="S990:S991"/>
    <mergeCell ref="T990:U991"/>
    <mergeCell ref="V990:V993"/>
    <mergeCell ref="E1032:E1035"/>
    <mergeCell ref="F1032:G1033"/>
    <mergeCell ref="L1032:M1035"/>
    <mergeCell ref="N1032:O1033"/>
    <mergeCell ref="P1032:P1033"/>
    <mergeCell ref="Q1032:R1033"/>
    <mergeCell ref="S1032:S1033"/>
    <mergeCell ref="T1032:U1033"/>
    <mergeCell ref="V1044:V1047"/>
    <mergeCell ref="V1036:V1039"/>
    <mergeCell ref="V1032:V1035"/>
    <mergeCell ref="B1024:F1024"/>
    <mergeCell ref="L1024:M1024"/>
    <mergeCell ref="B1030:B1031"/>
    <mergeCell ref="E1030:E1031"/>
    <mergeCell ref="F1030:G1030"/>
    <mergeCell ref="L1030:M1030"/>
    <mergeCell ref="N1030:U1030"/>
    <mergeCell ref="L1031:M1031"/>
    <mergeCell ref="N1031:U1031"/>
    <mergeCell ref="C1037:C1038"/>
    <mergeCell ref="F1038:K1039"/>
    <mergeCell ref="N1038:O1039"/>
    <mergeCell ref="Q1038:R1039"/>
    <mergeCell ref="T1038:U1039"/>
    <mergeCell ref="E1040:E1043"/>
    <mergeCell ref="F1040:G1041"/>
    <mergeCell ref="L1040:M1043"/>
    <mergeCell ref="N1040:O1041"/>
    <mergeCell ref="P1040:P1041"/>
    <mergeCell ref="Q1040:R1041"/>
    <mergeCell ref="S1040:S1041"/>
    <mergeCell ref="T1040:U1041"/>
    <mergeCell ref="V1040:V1043"/>
    <mergeCell ref="C1041:C1042"/>
    <mergeCell ref="F1042:K1043"/>
    <mergeCell ref="N1042:O1043"/>
    <mergeCell ref="Q1042:R1043"/>
    <mergeCell ref="T1042:U1043"/>
    <mergeCell ref="E1036:E1039"/>
    <mergeCell ref="F1036:G1037"/>
    <mergeCell ref="L1036:M1039"/>
    <mergeCell ref="N1036:O1037"/>
    <mergeCell ref="P1036:P1037"/>
    <mergeCell ref="Q1036:R1037"/>
    <mergeCell ref="S1036:S1037"/>
    <mergeCell ref="T1036:U1037"/>
    <mergeCell ref="N1058:O1059"/>
    <mergeCell ref="Q1058:R1059"/>
    <mergeCell ref="T1058:U1059"/>
    <mergeCell ref="C1045:C1046"/>
    <mergeCell ref="F1046:K1047"/>
    <mergeCell ref="N1046:O1047"/>
    <mergeCell ref="Q1046:R1047"/>
    <mergeCell ref="T1046:U1047"/>
    <mergeCell ref="E1048:E1051"/>
    <mergeCell ref="F1048:G1049"/>
    <mergeCell ref="L1048:M1051"/>
    <mergeCell ref="N1048:O1049"/>
    <mergeCell ref="P1048:P1049"/>
    <mergeCell ref="Q1048:R1049"/>
    <mergeCell ref="S1048:S1049"/>
    <mergeCell ref="T1048:U1049"/>
    <mergeCell ref="E1044:E1047"/>
    <mergeCell ref="F1044:G1045"/>
    <mergeCell ref="L1044:M1047"/>
    <mergeCell ref="N1044:O1045"/>
    <mergeCell ref="P1044:P1045"/>
    <mergeCell ref="Q1044:R1045"/>
    <mergeCell ref="S1044:S1045"/>
    <mergeCell ref="T1044:U1045"/>
    <mergeCell ref="E1056:E1059"/>
    <mergeCell ref="F1056:G1057"/>
    <mergeCell ref="L1056:M1059"/>
    <mergeCell ref="N1056:O1057"/>
    <mergeCell ref="P1056:P1057"/>
    <mergeCell ref="Q1056:R1057"/>
    <mergeCell ref="S1056:S1057"/>
    <mergeCell ref="T1056:U1057"/>
    <mergeCell ref="V1060:V1063"/>
    <mergeCell ref="V1056:V1059"/>
    <mergeCell ref="V1048:V1051"/>
    <mergeCell ref="C1049:C1050"/>
    <mergeCell ref="F1050:K1051"/>
    <mergeCell ref="N1050:O1051"/>
    <mergeCell ref="Q1050:R1051"/>
    <mergeCell ref="T1050:U1051"/>
    <mergeCell ref="E1052:E1055"/>
    <mergeCell ref="F1052:G1053"/>
    <mergeCell ref="L1052:M1055"/>
    <mergeCell ref="N1052:O1053"/>
    <mergeCell ref="P1052:P1053"/>
    <mergeCell ref="Q1052:R1053"/>
    <mergeCell ref="S1052:S1053"/>
    <mergeCell ref="T1052:U1053"/>
    <mergeCell ref="V1052:V1055"/>
    <mergeCell ref="C1053:C1054"/>
    <mergeCell ref="F1054:K1055"/>
    <mergeCell ref="N1054:O1055"/>
    <mergeCell ref="Q1054:R1055"/>
    <mergeCell ref="T1054:U1055"/>
    <mergeCell ref="C1057:C1058"/>
    <mergeCell ref="F1058:K1059"/>
    <mergeCell ref="C1061:C1062"/>
    <mergeCell ref="F1062:K1063"/>
    <mergeCell ref="N1062:O1063"/>
    <mergeCell ref="Q1062:R1063"/>
    <mergeCell ref="T1062:U1063"/>
    <mergeCell ref="E1064:E1067"/>
    <mergeCell ref="F1064:G1065"/>
    <mergeCell ref="L1064:M1067"/>
    <mergeCell ref="N1064:O1065"/>
    <mergeCell ref="P1064:P1065"/>
    <mergeCell ref="Q1064:R1065"/>
    <mergeCell ref="S1064:S1065"/>
    <mergeCell ref="T1064:U1065"/>
    <mergeCell ref="V1064:V1067"/>
    <mergeCell ref="C1065:C1066"/>
    <mergeCell ref="F1066:K1067"/>
    <mergeCell ref="N1066:O1067"/>
    <mergeCell ref="Q1066:R1067"/>
    <mergeCell ref="T1066:U1067"/>
    <mergeCell ref="E1060:E1063"/>
    <mergeCell ref="F1060:G1061"/>
    <mergeCell ref="L1060:M1063"/>
    <mergeCell ref="N1060:O1061"/>
    <mergeCell ref="P1060:P1061"/>
    <mergeCell ref="Q1060:R1061"/>
    <mergeCell ref="S1060:S1061"/>
    <mergeCell ref="T1060:U1061"/>
    <mergeCell ref="B1084:F1087"/>
    <mergeCell ref="B1094:H1094"/>
    <mergeCell ref="L1094:V1094"/>
    <mergeCell ref="O1095:P1095"/>
    <mergeCell ref="R1095:S1095"/>
    <mergeCell ref="L1097:M1097"/>
    <mergeCell ref="N1097:P1097"/>
    <mergeCell ref="Q1097:R1097"/>
    <mergeCell ref="S1097:T1097"/>
    <mergeCell ref="C1111:C1112"/>
    <mergeCell ref="F1112:K1113"/>
    <mergeCell ref="N1112:O1113"/>
    <mergeCell ref="Q1112:R1113"/>
    <mergeCell ref="T1112:U1113"/>
    <mergeCell ref="C1069:C1070"/>
    <mergeCell ref="F1070:K1071"/>
    <mergeCell ref="N1070:O1071"/>
    <mergeCell ref="Q1070:R1071"/>
    <mergeCell ref="T1070:U1071"/>
    <mergeCell ref="F1074:J1074"/>
    <mergeCell ref="F1077:J1077"/>
    <mergeCell ref="H1082:V1083"/>
    <mergeCell ref="E1068:E1071"/>
    <mergeCell ref="F1068:G1069"/>
    <mergeCell ref="L1068:M1071"/>
    <mergeCell ref="N1068:O1069"/>
    <mergeCell ref="P1068:P1069"/>
    <mergeCell ref="Q1068:R1069"/>
    <mergeCell ref="S1068:S1069"/>
    <mergeCell ref="T1068:U1069"/>
    <mergeCell ref="V1068:V1071"/>
    <mergeCell ref="E1110:E1113"/>
    <mergeCell ref="F1110:G1111"/>
    <mergeCell ref="L1110:M1113"/>
    <mergeCell ref="N1110:O1111"/>
    <mergeCell ref="P1110:P1111"/>
    <mergeCell ref="Q1110:R1111"/>
    <mergeCell ref="S1110:S1111"/>
    <mergeCell ref="T1110:U1111"/>
    <mergeCell ref="V1122:V1125"/>
    <mergeCell ref="V1114:V1117"/>
    <mergeCell ref="V1110:V1113"/>
    <mergeCell ref="B1102:F1102"/>
    <mergeCell ref="L1102:M1102"/>
    <mergeCell ref="B1108:B1109"/>
    <mergeCell ref="E1108:E1109"/>
    <mergeCell ref="F1108:G1108"/>
    <mergeCell ref="L1108:M1108"/>
    <mergeCell ref="N1108:U1108"/>
    <mergeCell ref="L1109:M1109"/>
    <mergeCell ref="N1109:U1109"/>
    <mergeCell ref="C1115:C1116"/>
    <mergeCell ref="F1116:K1117"/>
    <mergeCell ref="N1116:O1117"/>
    <mergeCell ref="Q1116:R1117"/>
    <mergeCell ref="T1116:U1117"/>
    <mergeCell ref="E1118:E1121"/>
    <mergeCell ref="F1118:G1119"/>
    <mergeCell ref="L1118:M1121"/>
    <mergeCell ref="N1118:O1119"/>
    <mergeCell ref="P1118:P1119"/>
    <mergeCell ref="Q1118:R1119"/>
    <mergeCell ref="S1118:S1119"/>
    <mergeCell ref="T1118:U1119"/>
    <mergeCell ref="V1118:V1121"/>
    <mergeCell ref="C1119:C1120"/>
    <mergeCell ref="F1120:K1121"/>
    <mergeCell ref="N1120:O1121"/>
    <mergeCell ref="Q1120:R1121"/>
    <mergeCell ref="T1120:U1121"/>
    <mergeCell ref="E1114:E1117"/>
    <mergeCell ref="F1114:G1115"/>
    <mergeCell ref="L1114:M1117"/>
    <mergeCell ref="N1114:O1115"/>
    <mergeCell ref="P1114:P1115"/>
    <mergeCell ref="Q1114:R1115"/>
    <mergeCell ref="S1114:S1115"/>
    <mergeCell ref="T1114:U1115"/>
    <mergeCell ref="N1136:O1137"/>
    <mergeCell ref="Q1136:R1137"/>
    <mergeCell ref="T1136:U1137"/>
    <mergeCell ref="C1123:C1124"/>
    <mergeCell ref="F1124:K1125"/>
    <mergeCell ref="N1124:O1125"/>
    <mergeCell ref="Q1124:R1125"/>
    <mergeCell ref="T1124:U1125"/>
    <mergeCell ref="E1126:E1129"/>
    <mergeCell ref="F1126:G1127"/>
    <mergeCell ref="L1126:M1129"/>
    <mergeCell ref="N1126:O1127"/>
    <mergeCell ref="P1126:P1127"/>
    <mergeCell ref="Q1126:R1127"/>
    <mergeCell ref="S1126:S1127"/>
    <mergeCell ref="T1126:U1127"/>
    <mergeCell ref="E1122:E1125"/>
    <mergeCell ref="F1122:G1123"/>
    <mergeCell ref="L1122:M1125"/>
    <mergeCell ref="N1122:O1123"/>
    <mergeCell ref="P1122:P1123"/>
    <mergeCell ref="Q1122:R1123"/>
    <mergeCell ref="S1122:S1123"/>
    <mergeCell ref="T1122:U1123"/>
    <mergeCell ref="E1134:E1137"/>
    <mergeCell ref="F1134:G1135"/>
    <mergeCell ref="L1134:M1137"/>
    <mergeCell ref="N1134:O1135"/>
    <mergeCell ref="P1134:P1135"/>
    <mergeCell ref="Q1134:R1135"/>
    <mergeCell ref="S1134:S1135"/>
    <mergeCell ref="T1134:U1135"/>
    <mergeCell ref="V1138:V1141"/>
    <mergeCell ref="V1134:V1137"/>
    <mergeCell ref="V1126:V1129"/>
    <mergeCell ref="C1127:C1128"/>
    <mergeCell ref="F1128:K1129"/>
    <mergeCell ref="N1128:O1129"/>
    <mergeCell ref="Q1128:R1129"/>
    <mergeCell ref="T1128:U1129"/>
    <mergeCell ref="E1130:E1133"/>
    <mergeCell ref="F1130:G1131"/>
    <mergeCell ref="L1130:M1133"/>
    <mergeCell ref="N1130:O1131"/>
    <mergeCell ref="P1130:P1131"/>
    <mergeCell ref="Q1130:R1131"/>
    <mergeCell ref="S1130:S1131"/>
    <mergeCell ref="T1130:U1131"/>
    <mergeCell ref="V1130:V1133"/>
    <mergeCell ref="C1131:C1132"/>
    <mergeCell ref="F1132:K1133"/>
    <mergeCell ref="N1132:O1133"/>
    <mergeCell ref="Q1132:R1133"/>
    <mergeCell ref="T1132:U1133"/>
    <mergeCell ref="C1135:C1136"/>
    <mergeCell ref="F1136:K1137"/>
    <mergeCell ref="C1139:C1140"/>
    <mergeCell ref="F1140:K1141"/>
    <mergeCell ref="N1140:O1141"/>
    <mergeCell ref="Q1140:R1141"/>
    <mergeCell ref="T1140:U1141"/>
    <mergeCell ref="E1142:E1145"/>
    <mergeCell ref="F1142:G1143"/>
    <mergeCell ref="L1142:M1145"/>
    <mergeCell ref="N1142:O1143"/>
    <mergeCell ref="P1142:P1143"/>
    <mergeCell ref="Q1142:R1143"/>
    <mergeCell ref="S1142:S1143"/>
    <mergeCell ref="T1142:U1143"/>
    <mergeCell ref="V1142:V1145"/>
    <mergeCell ref="C1143:C1144"/>
    <mergeCell ref="F1144:K1145"/>
    <mergeCell ref="N1144:O1145"/>
    <mergeCell ref="Q1144:R1145"/>
    <mergeCell ref="T1144:U1145"/>
    <mergeCell ref="E1138:E1141"/>
    <mergeCell ref="F1138:G1139"/>
    <mergeCell ref="L1138:M1141"/>
    <mergeCell ref="N1138:O1139"/>
    <mergeCell ref="P1138:P1139"/>
    <mergeCell ref="Q1138:R1139"/>
    <mergeCell ref="S1138:S1139"/>
    <mergeCell ref="T1138:U1139"/>
    <mergeCell ref="B1162:F1165"/>
    <mergeCell ref="B1172:H1172"/>
    <mergeCell ref="L1172:V1172"/>
    <mergeCell ref="O1173:P1173"/>
    <mergeCell ref="R1173:S1173"/>
    <mergeCell ref="L1175:M1175"/>
    <mergeCell ref="N1175:P1175"/>
    <mergeCell ref="Q1175:R1175"/>
    <mergeCell ref="S1175:T1175"/>
    <mergeCell ref="C1189:C1190"/>
    <mergeCell ref="F1190:K1191"/>
    <mergeCell ref="N1190:O1191"/>
    <mergeCell ref="Q1190:R1191"/>
    <mergeCell ref="T1190:U1191"/>
    <mergeCell ref="C1147:C1148"/>
    <mergeCell ref="F1148:K1149"/>
    <mergeCell ref="N1148:O1149"/>
    <mergeCell ref="Q1148:R1149"/>
    <mergeCell ref="T1148:U1149"/>
    <mergeCell ref="F1152:J1152"/>
    <mergeCell ref="F1155:J1155"/>
    <mergeCell ref="H1160:V1161"/>
    <mergeCell ref="E1146:E1149"/>
    <mergeCell ref="F1146:G1147"/>
    <mergeCell ref="L1146:M1149"/>
    <mergeCell ref="N1146:O1147"/>
    <mergeCell ref="P1146:P1147"/>
    <mergeCell ref="Q1146:R1147"/>
    <mergeCell ref="S1146:S1147"/>
    <mergeCell ref="T1146:U1147"/>
    <mergeCell ref="V1146:V1149"/>
    <mergeCell ref="E1188:E1191"/>
    <mergeCell ref="F1188:G1189"/>
    <mergeCell ref="L1188:M1191"/>
    <mergeCell ref="N1188:O1189"/>
    <mergeCell ref="P1188:P1189"/>
    <mergeCell ref="Q1188:R1189"/>
    <mergeCell ref="S1188:S1189"/>
    <mergeCell ref="T1188:U1189"/>
    <mergeCell ref="V1200:V1203"/>
    <mergeCell ref="V1192:V1195"/>
    <mergeCell ref="V1188:V1191"/>
    <mergeCell ref="B1180:F1180"/>
    <mergeCell ref="L1180:M1180"/>
    <mergeCell ref="B1186:B1187"/>
    <mergeCell ref="E1186:E1187"/>
    <mergeCell ref="F1186:G1186"/>
    <mergeCell ref="L1186:M1186"/>
    <mergeCell ref="N1186:U1186"/>
    <mergeCell ref="L1187:M1187"/>
    <mergeCell ref="N1187:U1187"/>
    <mergeCell ref="C1193:C1194"/>
    <mergeCell ref="F1194:K1195"/>
    <mergeCell ref="N1194:O1195"/>
    <mergeCell ref="Q1194:R1195"/>
    <mergeCell ref="T1194:U1195"/>
    <mergeCell ref="E1196:E1199"/>
    <mergeCell ref="F1196:G1197"/>
    <mergeCell ref="L1196:M1199"/>
    <mergeCell ref="N1196:O1197"/>
    <mergeCell ref="P1196:P1197"/>
    <mergeCell ref="Q1196:R1197"/>
    <mergeCell ref="S1196:S1197"/>
    <mergeCell ref="T1196:U1197"/>
    <mergeCell ref="V1196:V1199"/>
    <mergeCell ref="C1197:C1198"/>
    <mergeCell ref="F1198:K1199"/>
    <mergeCell ref="N1198:O1199"/>
    <mergeCell ref="Q1198:R1199"/>
    <mergeCell ref="T1198:U1199"/>
    <mergeCell ref="E1192:E1195"/>
    <mergeCell ref="F1192:G1193"/>
    <mergeCell ref="L1192:M1195"/>
    <mergeCell ref="N1192:O1193"/>
    <mergeCell ref="P1192:P1193"/>
    <mergeCell ref="Q1192:R1193"/>
    <mergeCell ref="S1192:S1193"/>
    <mergeCell ref="T1192:U1193"/>
    <mergeCell ref="N1214:O1215"/>
    <mergeCell ref="Q1214:R1215"/>
    <mergeCell ref="T1214:U1215"/>
    <mergeCell ref="C1201:C1202"/>
    <mergeCell ref="F1202:K1203"/>
    <mergeCell ref="N1202:O1203"/>
    <mergeCell ref="Q1202:R1203"/>
    <mergeCell ref="T1202:U1203"/>
    <mergeCell ref="E1204:E1207"/>
    <mergeCell ref="F1204:G1205"/>
    <mergeCell ref="L1204:M1207"/>
    <mergeCell ref="N1204:O1205"/>
    <mergeCell ref="P1204:P1205"/>
    <mergeCell ref="Q1204:R1205"/>
    <mergeCell ref="S1204:S1205"/>
    <mergeCell ref="T1204:U1205"/>
    <mergeCell ref="E1200:E1203"/>
    <mergeCell ref="F1200:G1201"/>
    <mergeCell ref="L1200:M1203"/>
    <mergeCell ref="N1200:O1201"/>
    <mergeCell ref="P1200:P1201"/>
    <mergeCell ref="Q1200:R1201"/>
    <mergeCell ref="S1200:S1201"/>
    <mergeCell ref="T1200:U1201"/>
    <mergeCell ref="E1212:E1215"/>
    <mergeCell ref="F1212:G1213"/>
    <mergeCell ref="L1212:M1215"/>
    <mergeCell ref="N1212:O1213"/>
    <mergeCell ref="P1212:P1213"/>
    <mergeCell ref="Q1212:R1213"/>
    <mergeCell ref="S1212:S1213"/>
    <mergeCell ref="T1212:U1213"/>
    <mergeCell ref="V1216:V1219"/>
    <mergeCell ref="V1212:V1215"/>
    <mergeCell ref="V1204:V1207"/>
    <mergeCell ref="C1205:C1206"/>
    <mergeCell ref="F1206:K1207"/>
    <mergeCell ref="N1206:O1207"/>
    <mergeCell ref="Q1206:R1207"/>
    <mergeCell ref="T1206:U1207"/>
    <mergeCell ref="E1208:E1211"/>
    <mergeCell ref="F1208:G1209"/>
    <mergeCell ref="L1208:M1211"/>
    <mergeCell ref="N1208:O1209"/>
    <mergeCell ref="P1208:P1209"/>
    <mergeCell ref="Q1208:R1209"/>
    <mergeCell ref="S1208:S1209"/>
    <mergeCell ref="T1208:U1209"/>
    <mergeCell ref="V1208:V1211"/>
    <mergeCell ref="C1209:C1210"/>
    <mergeCell ref="F1210:K1211"/>
    <mergeCell ref="N1210:O1211"/>
    <mergeCell ref="Q1210:R1211"/>
    <mergeCell ref="T1210:U1211"/>
    <mergeCell ref="C1213:C1214"/>
    <mergeCell ref="F1214:K1215"/>
    <mergeCell ref="C1217:C1218"/>
    <mergeCell ref="F1218:K1219"/>
    <mergeCell ref="N1218:O1219"/>
    <mergeCell ref="Q1218:R1219"/>
    <mergeCell ref="T1218:U1219"/>
    <mergeCell ref="E1220:E1223"/>
    <mergeCell ref="F1220:G1221"/>
    <mergeCell ref="L1220:M1223"/>
    <mergeCell ref="N1220:O1221"/>
    <mergeCell ref="P1220:P1221"/>
    <mergeCell ref="Q1220:R1221"/>
    <mergeCell ref="S1220:S1221"/>
    <mergeCell ref="T1220:U1221"/>
    <mergeCell ref="V1220:V1223"/>
    <mergeCell ref="C1221:C1222"/>
    <mergeCell ref="F1222:K1223"/>
    <mergeCell ref="N1222:O1223"/>
    <mergeCell ref="Q1222:R1223"/>
    <mergeCell ref="T1222:U1223"/>
    <mergeCell ref="E1216:E1219"/>
    <mergeCell ref="F1216:G1217"/>
    <mergeCell ref="L1216:M1219"/>
    <mergeCell ref="N1216:O1217"/>
    <mergeCell ref="P1216:P1217"/>
    <mergeCell ref="Q1216:R1217"/>
    <mergeCell ref="S1216:S1217"/>
    <mergeCell ref="T1216:U1217"/>
    <mergeCell ref="B1240:F1243"/>
    <mergeCell ref="B1250:H1250"/>
    <mergeCell ref="L1250:V1250"/>
    <mergeCell ref="O1251:P1251"/>
    <mergeCell ref="R1251:S1251"/>
    <mergeCell ref="L1253:M1253"/>
    <mergeCell ref="N1253:P1253"/>
    <mergeCell ref="Q1253:R1253"/>
    <mergeCell ref="S1253:T1253"/>
    <mergeCell ref="C1267:C1268"/>
    <mergeCell ref="F1268:K1269"/>
    <mergeCell ref="N1268:O1269"/>
    <mergeCell ref="Q1268:R1269"/>
    <mergeCell ref="T1268:U1269"/>
    <mergeCell ref="C1225:C1226"/>
    <mergeCell ref="F1226:K1227"/>
    <mergeCell ref="N1226:O1227"/>
    <mergeCell ref="Q1226:R1227"/>
    <mergeCell ref="T1226:U1227"/>
    <mergeCell ref="F1230:J1230"/>
    <mergeCell ref="F1233:J1233"/>
    <mergeCell ref="H1238:V1239"/>
    <mergeCell ref="E1224:E1227"/>
    <mergeCell ref="F1224:G1225"/>
    <mergeCell ref="L1224:M1227"/>
    <mergeCell ref="N1224:O1225"/>
    <mergeCell ref="P1224:P1225"/>
    <mergeCell ref="Q1224:R1225"/>
    <mergeCell ref="S1224:S1225"/>
    <mergeCell ref="T1224:U1225"/>
    <mergeCell ref="V1224:V1227"/>
    <mergeCell ref="E1266:E1269"/>
    <mergeCell ref="F1266:G1267"/>
    <mergeCell ref="L1266:M1269"/>
    <mergeCell ref="N1266:O1267"/>
    <mergeCell ref="P1266:P1267"/>
    <mergeCell ref="Q1266:R1267"/>
    <mergeCell ref="S1266:S1267"/>
    <mergeCell ref="T1266:U1267"/>
    <mergeCell ref="V1278:V1281"/>
    <mergeCell ref="V1270:V1273"/>
    <mergeCell ref="V1266:V1269"/>
    <mergeCell ref="B1258:F1258"/>
    <mergeCell ref="L1258:M1258"/>
    <mergeCell ref="B1264:B1265"/>
    <mergeCell ref="E1264:E1265"/>
    <mergeCell ref="F1264:G1264"/>
    <mergeCell ref="L1264:M1264"/>
    <mergeCell ref="N1264:U1264"/>
    <mergeCell ref="L1265:M1265"/>
    <mergeCell ref="N1265:U1265"/>
    <mergeCell ref="C1271:C1272"/>
    <mergeCell ref="F1272:K1273"/>
    <mergeCell ref="N1272:O1273"/>
    <mergeCell ref="Q1272:R1273"/>
    <mergeCell ref="T1272:U1273"/>
    <mergeCell ref="E1274:E1277"/>
    <mergeCell ref="F1274:G1275"/>
    <mergeCell ref="L1274:M1277"/>
    <mergeCell ref="N1274:O1275"/>
    <mergeCell ref="P1274:P1275"/>
    <mergeCell ref="Q1274:R1275"/>
    <mergeCell ref="S1274:S1275"/>
    <mergeCell ref="T1274:U1275"/>
    <mergeCell ref="V1274:V1277"/>
    <mergeCell ref="C1275:C1276"/>
    <mergeCell ref="F1276:K1277"/>
    <mergeCell ref="N1276:O1277"/>
    <mergeCell ref="Q1276:R1277"/>
    <mergeCell ref="T1276:U1277"/>
    <mergeCell ref="E1270:E1273"/>
    <mergeCell ref="F1270:G1271"/>
    <mergeCell ref="L1270:M1273"/>
    <mergeCell ref="N1270:O1271"/>
    <mergeCell ref="P1270:P1271"/>
    <mergeCell ref="Q1270:R1271"/>
    <mergeCell ref="S1270:S1271"/>
    <mergeCell ref="T1270:U1271"/>
    <mergeCell ref="N1292:O1293"/>
    <mergeCell ref="Q1292:R1293"/>
    <mergeCell ref="T1292:U1293"/>
    <mergeCell ref="C1279:C1280"/>
    <mergeCell ref="F1280:K1281"/>
    <mergeCell ref="N1280:O1281"/>
    <mergeCell ref="Q1280:R1281"/>
    <mergeCell ref="T1280:U1281"/>
    <mergeCell ref="E1282:E1285"/>
    <mergeCell ref="F1282:G1283"/>
    <mergeCell ref="L1282:M1285"/>
    <mergeCell ref="N1282:O1283"/>
    <mergeCell ref="P1282:P1283"/>
    <mergeCell ref="Q1282:R1283"/>
    <mergeCell ref="S1282:S1283"/>
    <mergeCell ref="T1282:U1283"/>
    <mergeCell ref="E1278:E1281"/>
    <mergeCell ref="F1278:G1279"/>
    <mergeCell ref="L1278:M1281"/>
    <mergeCell ref="N1278:O1279"/>
    <mergeCell ref="P1278:P1279"/>
    <mergeCell ref="Q1278:R1279"/>
    <mergeCell ref="S1278:S1279"/>
    <mergeCell ref="T1278:U1279"/>
    <mergeCell ref="E1290:E1293"/>
    <mergeCell ref="F1290:G1291"/>
    <mergeCell ref="L1290:M1293"/>
    <mergeCell ref="N1290:O1291"/>
    <mergeCell ref="P1290:P1291"/>
    <mergeCell ref="Q1290:R1291"/>
    <mergeCell ref="S1290:S1291"/>
    <mergeCell ref="T1290:U1291"/>
    <mergeCell ref="V1294:V1297"/>
    <mergeCell ref="V1290:V1293"/>
    <mergeCell ref="V1282:V1285"/>
    <mergeCell ref="C1283:C1284"/>
    <mergeCell ref="F1284:K1285"/>
    <mergeCell ref="N1284:O1285"/>
    <mergeCell ref="Q1284:R1285"/>
    <mergeCell ref="T1284:U1285"/>
    <mergeCell ref="E1286:E1289"/>
    <mergeCell ref="F1286:G1287"/>
    <mergeCell ref="L1286:M1289"/>
    <mergeCell ref="N1286:O1287"/>
    <mergeCell ref="P1286:P1287"/>
    <mergeCell ref="Q1286:R1287"/>
    <mergeCell ref="S1286:S1287"/>
    <mergeCell ref="T1286:U1287"/>
    <mergeCell ref="V1286:V1289"/>
    <mergeCell ref="C1287:C1288"/>
    <mergeCell ref="F1288:K1289"/>
    <mergeCell ref="N1288:O1289"/>
    <mergeCell ref="Q1288:R1289"/>
    <mergeCell ref="T1288:U1289"/>
    <mergeCell ref="C1291:C1292"/>
    <mergeCell ref="F1292:K1293"/>
    <mergeCell ref="C1295:C1296"/>
    <mergeCell ref="F1296:K1297"/>
    <mergeCell ref="N1296:O1297"/>
    <mergeCell ref="Q1296:R1297"/>
    <mergeCell ref="T1296:U1297"/>
    <mergeCell ref="E1298:E1301"/>
    <mergeCell ref="F1298:G1299"/>
    <mergeCell ref="L1298:M1301"/>
    <mergeCell ref="N1298:O1299"/>
    <mergeCell ref="P1298:P1299"/>
    <mergeCell ref="Q1298:R1299"/>
    <mergeCell ref="S1298:S1299"/>
    <mergeCell ref="T1298:U1299"/>
    <mergeCell ref="V1298:V1301"/>
    <mergeCell ref="C1299:C1300"/>
    <mergeCell ref="F1300:K1301"/>
    <mergeCell ref="N1300:O1301"/>
    <mergeCell ref="Q1300:R1301"/>
    <mergeCell ref="T1300:U1301"/>
    <mergeCell ref="E1294:E1297"/>
    <mergeCell ref="F1294:G1295"/>
    <mergeCell ref="L1294:M1297"/>
    <mergeCell ref="N1294:O1295"/>
    <mergeCell ref="P1294:P1295"/>
    <mergeCell ref="Q1294:R1295"/>
    <mergeCell ref="S1294:S1295"/>
    <mergeCell ref="T1294:U1295"/>
    <mergeCell ref="B1318:F1321"/>
    <mergeCell ref="B1328:H1328"/>
    <mergeCell ref="L1328:V1328"/>
    <mergeCell ref="O1329:P1329"/>
    <mergeCell ref="R1329:S1329"/>
    <mergeCell ref="L1331:M1331"/>
    <mergeCell ref="N1331:P1331"/>
    <mergeCell ref="Q1331:R1331"/>
    <mergeCell ref="S1331:T1331"/>
    <mergeCell ref="C1345:C1346"/>
    <mergeCell ref="F1346:K1347"/>
    <mergeCell ref="N1346:O1347"/>
    <mergeCell ref="Q1346:R1347"/>
    <mergeCell ref="T1346:U1347"/>
    <mergeCell ref="C1303:C1304"/>
    <mergeCell ref="F1304:K1305"/>
    <mergeCell ref="N1304:O1305"/>
    <mergeCell ref="Q1304:R1305"/>
    <mergeCell ref="T1304:U1305"/>
    <mergeCell ref="F1308:J1308"/>
    <mergeCell ref="F1311:J1311"/>
    <mergeCell ref="H1316:V1317"/>
    <mergeCell ref="E1302:E1305"/>
    <mergeCell ref="F1302:G1303"/>
    <mergeCell ref="L1302:M1305"/>
    <mergeCell ref="N1302:O1303"/>
    <mergeCell ref="P1302:P1303"/>
    <mergeCell ref="Q1302:R1303"/>
    <mergeCell ref="S1302:S1303"/>
    <mergeCell ref="T1302:U1303"/>
    <mergeCell ref="V1302:V1305"/>
    <mergeCell ref="E1344:E1347"/>
    <mergeCell ref="F1344:G1345"/>
    <mergeCell ref="L1344:M1347"/>
    <mergeCell ref="N1344:O1345"/>
    <mergeCell ref="P1344:P1345"/>
    <mergeCell ref="Q1344:R1345"/>
    <mergeCell ref="S1344:S1345"/>
    <mergeCell ref="T1344:U1345"/>
    <mergeCell ref="V1356:V1359"/>
    <mergeCell ref="V1348:V1351"/>
    <mergeCell ref="V1344:V1347"/>
    <mergeCell ref="B1336:F1336"/>
    <mergeCell ref="L1336:M1336"/>
    <mergeCell ref="B1342:B1343"/>
    <mergeCell ref="E1342:E1343"/>
    <mergeCell ref="F1342:G1342"/>
    <mergeCell ref="L1342:M1342"/>
    <mergeCell ref="N1342:U1342"/>
    <mergeCell ref="L1343:M1343"/>
    <mergeCell ref="N1343:U1343"/>
    <mergeCell ref="C1349:C1350"/>
    <mergeCell ref="F1350:K1351"/>
    <mergeCell ref="N1350:O1351"/>
    <mergeCell ref="Q1350:R1351"/>
    <mergeCell ref="T1350:U1351"/>
    <mergeCell ref="E1352:E1355"/>
    <mergeCell ref="F1352:G1353"/>
    <mergeCell ref="L1352:M1355"/>
    <mergeCell ref="N1352:O1353"/>
    <mergeCell ref="P1352:P1353"/>
    <mergeCell ref="Q1352:R1353"/>
    <mergeCell ref="S1352:S1353"/>
    <mergeCell ref="T1352:U1353"/>
    <mergeCell ref="V1352:V1355"/>
    <mergeCell ref="C1353:C1354"/>
    <mergeCell ref="F1354:K1355"/>
    <mergeCell ref="N1354:O1355"/>
    <mergeCell ref="Q1354:R1355"/>
    <mergeCell ref="T1354:U1355"/>
    <mergeCell ref="E1348:E1351"/>
    <mergeCell ref="F1348:G1349"/>
    <mergeCell ref="L1348:M1351"/>
    <mergeCell ref="N1348:O1349"/>
    <mergeCell ref="P1348:P1349"/>
    <mergeCell ref="Q1348:R1349"/>
    <mergeCell ref="S1348:S1349"/>
    <mergeCell ref="T1348:U1349"/>
    <mergeCell ref="N1370:O1371"/>
    <mergeCell ref="Q1370:R1371"/>
    <mergeCell ref="T1370:U1371"/>
    <mergeCell ref="C1357:C1358"/>
    <mergeCell ref="F1358:K1359"/>
    <mergeCell ref="N1358:O1359"/>
    <mergeCell ref="Q1358:R1359"/>
    <mergeCell ref="T1358:U1359"/>
    <mergeCell ref="E1360:E1363"/>
    <mergeCell ref="F1360:G1361"/>
    <mergeCell ref="L1360:M1363"/>
    <mergeCell ref="N1360:O1361"/>
    <mergeCell ref="P1360:P1361"/>
    <mergeCell ref="Q1360:R1361"/>
    <mergeCell ref="S1360:S1361"/>
    <mergeCell ref="T1360:U1361"/>
    <mergeCell ref="E1356:E1359"/>
    <mergeCell ref="F1356:G1357"/>
    <mergeCell ref="L1356:M1359"/>
    <mergeCell ref="N1356:O1357"/>
    <mergeCell ref="P1356:P1357"/>
    <mergeCell ref="Q1356:R1357"/>
    <mergeCell ref="S1356:S1357"/>
    <mergeCell ref="T1356:U1357"/>
    <mergeCell ref="E1368:E1371"/>
    <mergeCell ref="F1368:G1369"/>
    <mergeCell ref="L1368:M1371"/>
    <mergeCell ref="N1368:O1369"/>
    <mergeCell ref="P1368:P1369"/>
    <mergeCell ref="Q1368:R1369"/>
    <mergeCell ref="S1368:S1369"/>
    <mergeCell ref="T1368:U1369"/>
    <mergeCell ref="V1372:V1375"/>
    <mergeCell ref="V1368:V1371"/>
    <mergeCell ref="V1360:V1363"/>
    <mergeCell ref="C1361:C1362"/>
    <mergeCell ref="F1362:K1363"/>
    <mergeCell ref="N1362:O1363"/>
    <mergeCell ref="Q1362:R1363"/>
    <mergeCell ref="T1362:U1363"/>
    <mergeCell ref="E1364:E1367"/>
    <mergeCell ref="F1364:G1365"/>
    <mergeCell ref="L1364:M1367"/>
    <mergeCell ref="N1364:O1365"/>
    <mergeCell ref="P1364:P1365"/>
    <mergeCell ref="Q1364:R1365"/>
    <mergeCell ref="S1364:S1365"/>
    <mergeCell ref="T1364:U1365"/>
    <mergeCell ref="V1364:V1367"/>
    <mergeCell ref="C1365:C1366"/>
    <mergeCell ref="F1366:K1367"/>
    <mergeCell ref="N1366:O1367"/>
    <mergeCell ref="Q1366:R1367"/>
    <mergeCell ref="T1366:U1367"/>
    <mergeCell ref="C1369:C1370"/>
    <mergeCell ref="F1370:K1371"/>
    <mergeCell ref="C1373:C1374"/>
    <mergeCell ref="F1374:K1375"/>
    <mergeCell ref="N1374:O1375"/>
    <mergeCell ref="Q1374:R1375"/>
    <mergeCell ref="T1374:U1375"/>
    <mergeCell ref="E1376:E1379"/>
    <mergeCell ref="F1376:G1377"/>
    <mergeCell ref="L1376:M1379"/>
    <mergeCell ref="N1376:O1377"/>
    <mergeCell ref="P1376:P1377"/>
    <mergeCell ref="Q1376:R1377"/>
    <mergeCell ref="S1376:S1377"/>
    <mergeCell ref="T1376:U1377"/>
    <mergeCell ref="V1376:V1379"/>
    <mergeCell ref="C1377:C1378"/>
    <mergeCell ref="F1378:K1379"/>
    <mergeCell ref="N1378:O1379"/>
    <mergeCell ref="Q1378:R1379"/>
    <mergeCell ref="T1378:U1379"/>
    <mergeCell ref="E1372:E1375"/>
    <mergeCell ref="F1372:G1373"/>
    <mergeCell ref="L1372:M1375"/>
    <mergeCell ref="N1372:O1373"/>
    <mergeCell ref="P1372:P1373"/>
    <mergeCell ref="Q1372:R1373"/>
    <mergeCell ref="S1372:S1373"/>
    <mergeCell ref="T1372:U1373"/>
    <mergeCell ref="B1396:F1399"/>
    <mergeCell ref="B1406:H1406"/>
    <mergeCell ref="L1406:V1406"/>
    <mergeCell ref="O1407:P1407"/>
    <mergeCell ref="R1407:S1407"/>
    <mergeCell ref="L1409:M1409"/>
    <mergeCell ref="N1409:P1409"/>
    <mergeCell ref="Q1409:R1409"/>
    <mergeCell ref="S1409:T1409"/>
    <mergeCell ref="C1423:C1424"/>
    <mergeCell ref="F1424:K1425"/>
    <mergeCell ref="N1424:O1425"/>
    <mergeCell ref="Q1424:R1425"/>
    <mergeCell ref="T1424:U1425"/>
    <mergeCell ref="C1381:C1382"/>
    <mergeCell ref="F1382:K1383"/>
    <mergeCell ref="N1382:O1383"/>
    <mergeCell ref="Q1382:R1383"/>
    <mergeCell ref="T1382:U1383"/>
    <mergeCell ref="F1386:J1386"/>
    <mergeCell ref="F1389:J1389"/>
    <mergeCell ref="H1394:V1395"/>
    <mergeCell ref="E1380:E1383"/>
    <mergeCell ref="F1380:G1381"/>
    <mergeCell ref="L1380:M1383"/>
    <mergeCell ref="N1380:O1381"/>
    <mergeCell ref="P1380:P1381"/>
    <mergeCell ref="Q1380:R1381"/>
    <mergeCell ref="S1380:S1381"/>
    <mergeCell ref="T1380:U1381"/>
    <mergeCell ref="V1380:V1383"/>
    <mergeCell ref="E1422:E1425"/>
    <mergeCell ref="F1422:G1423"/>
    <mergeCell ref="L1422:M1425"/>
    <mergeCell ref="N1422:O1423"/>
    <mergeCell ref="P1422:P1423"/>
    <mergeCell ref="Q1422:R1423"/>
    <mergeCell ref="S1422:S1423"/>
    <mergeCell ref="T1422:U1423"/>
    <mergeCell ref="V1434:V1437"/>
    <mergeCell ref="V1426:V1429"/>
    <mergeCell ref="V1422:V1425"/>
    <mergeCell ref="B1414:F1414"/>
    <mergeCell ref="L1414:M1414"/>
    <mergeCell ref="B1420:B1421"/>
    <mergeCell ref="E1420:E1421"/>
    <mergeCell ref="F1420:G1420"/>
    <mergeCell ref="L1420:M1420"/>
    <mergeCell ref="N1420:U1420"/>
    <mergeCell ref="L1421:M1421"/>
    <mergeCell ref="N1421:U1421"/>
    <mergeCell ref="C1427:C1428"/>
    <mergeCell ref="F1428:K1429"/>
    <mergeCell ref="N1428:O1429"/>
    <mergeCell ref="Q1428:R1429"/>
    <mergeCell ref="T1428:U1429"/>
    <mergeCell ref="E1430:E1433"/>
    <mergeCell ref="F1430:G1431"/>
    <mergeCell ref="L1430:M1433"/>
    <mergeCell ref="N1430:O1431"/>
    <mergeCell ref="P1430:P1431"/>
    <mergeCell ref="Q1430:R1431"/>
    <mergeCell ref="S1430:S1431"/>
    <mergeCell ref="T1430:U1431"/>
    <mergeCell ref="V1430:V1433"/>
    <mergeCell ref="C1431:C1432"/>
    <mergeCell ref="F1432:K1433"/>
    <mergeCell ref="N1432:O1433"/>
    <mergeCell ref="Q1432:R1433"/>
    <mergeCell ref="T1432:U1433"/>
    <mergeCell ref="E1426:E1429"/>
    <mergeCell ref="F1426:G1427"/>
    <mergeCell ref="L1426:M1429"/>
    <mergeCell ref="N1426:O1427"/>
    <mergeCell ref="P1426:P1427"/>
    <mergeCell ref="Q1426:R1427"/>
    <mergeCell ref="S1426:S1427"/>
    <mergeCell ref="T1426:U1427"/>
    <mergeCell ref="N1448:O1449"/>
    <mergeCell ref="Q1448:R1449"/>
    <mergeCell ref="T1448:U1449"/>
    <mergeCell ref="C1435:C1436"/>
    <mergeCell ref="F1436:K1437"/>
    <mergeCell ref="N1436:O1437"/>
    <mergeCell ref="Q1436:R1437"/>
    <mergeCell ref="T1436:U1437"/>
    <mergeCell ref="E1438:E1441"/>
    <mergeCell ref="F1438:G1439"/>
    <mergeCell ref="L1438:M1441"/>
    <mergeCell ref="N1438:O1439"/>
    <mergeCell ref="P1438:P1439"/>
    <mergeCell ref="Q1438:R1439"/>
    <mergeCell ref="S1438:S1439"/>
    <mergeCell ref="T1438:U1439"/>
    <mergeCell ref="E1434:E1437"/>
    <mergeCell ref="F1434:G1435"/>
    <mergeCell ref="L1434:M1437"/>
    <mergeCell ref="N1434:O1435"/>
    <mergeCell ref="P1434:P1435"/>
    <mergeCell ref="Q1434:R1435"/>
    <mergeCell ref="S1434:S1435"/>
    <mergeCell ref="T1434:U1435"/>
    <mergeCell ref="E1446:E1449"/>
    <mergeCell ref="F1446:G1447"/>
    <mergeCell ref="L1446:M1449"/>
    <mergeCell ref="N1446:O1447"/>
    <mergeCell ref="P1446:P1447"/>
    <mergeCell ref="Q1446:R1447"/>
    <mergeCell ref="S1446:S1447"/>
    <mergeCell ref="T1446:U1447"/>
    <mergeCell ref="V1450:V1453"/>
    <mergeCell ref="V1446:V1449"/>
    <mergeCell ref="V1438:V1441"/>
    <mergeCell ref="C1439:C1440"/>
    <mergeCell ref="F1440:K1441"/>
    <mergeCell ref="N1440:O1441"/>
    <mergeCell ref="Q1440:R1441"/>
    <mergeCell ref="T1440:U1441"/>
    <mergeCell ref="E1442:E1445"/>
    <mergeCell ref="F1442:G1443"/>
    <mergeCell ref="L1442:M1445"/>
    <mergeCell ref="N1442:O1443"/>
    <mergeCell ref="P1442:P1443"/>
    <mergeCell ref="Q1442:R1443"/>
    <mergeCell ref="S1442:S1443"/>
    <mergeCell ref="T1442:U1443"/>
    <mergeCell ref="V1442:V1445"/>
    <mergeCell ref="C1443:C1444"/>
    <mergeCell ref="F1444:K1445"/>
    <mergeCell ref="N1444:O1445"/>
    <mergeCell ref="Q1444:R1445"/>
    <mergeCell ref="T1444:U1445"/>
    <mergeCell ref="C1447:C1448"/>
    <mergeCell ref="F1448:K1449"/>
    <mergeCell ref="C1451:C1452"/>
    <mergeCell ref="F1452:K1453"/>
    <mergeCell ref="N1452:O1453"/>
    <mergeCell ref="Q1452:R1453"/>
    <mergeCell ref="T1452:U1453"/>
    <mergeCell ref="E1454:E1457"/>
    <mergeCell ref="F1454:G1455"/>
    <mergeCell ref="L1454:M1457"/>
    <mergeCell ref="N1454:O1455"/>
    <mergeCell ref="P1454:P1455"/>
    <mergeCell ref="Q1454:R1455"/>
    <mergeCell ref="S1454:S1455"/>
    <mergeCell ref="T1454:U1455"/>
    <mergeCell ref="V1454:V1457"/>
    <mergeCell ref="C1455:C1456"/>
    <mergeCell ref="F1456:K1457"/>
    <mergeCell ref="N1456:O1457"/>
    <mergeCell ref="Q1456:R1457"/>
    <mergeCell ref="T1456:U1457"/>
    <mergeCell ref="E1450:E1453"/>
    <mergeCell ref="F1450:G1451"/>
    <mergeCell ref="L1450:M1453"/>
    <mergeCell ref="N1450:O1451"/>
    <mergeCell ref="P1450:P1451"/>
    <mergeCell ref="Q1450:R1451"/>
    <mergeCell ref="S1450:S1451"/>
    <mergeCell ref="T1450:U1451"/>
    <mergeCell ref="B1474:F1477"/>
    <mergeCell ref="B1484:H1484"/>
    <mergeCell ref="L1484:V1484"/>
    <mergeCell ref="O1485:P1485"/>
    <mergeCell ref="R1485:S1485"/>
    <mergeCell ref="L1487:M1487"/>
    <mergeCell ref="N1487:P1487"/>
    <mergeCell ref="Q1487:R1487"/>
    <mergeCell ref="S1487:T1487"/>
    <mergeCell ref="C1501:C1502"/>
    <mergeCell ref="F1502:K1503"/>
    <mergeCell ref="N1502:O1503"/>
    <mergeCell ref="Q1502:R1503"/>
    <mergeCell ref="T1502:U1503"/>
    <mergeCell ref="C1459:C1460"/>
    <mergeCell ref="F1460:K1461"/>
    <mergeCell ref="N1460:O1461"/>
    <mergeCell ref="Q1460:R1461"/>
    <mergeCell ref="T1460:U1461"/>
    <mergeCell ref="F1464:J1464"/>
    <mergeCell ref="F1467:J1467"/>
    <mergeCell ref="H1472:V1473"/>
    <mergeCell ref="E1458:E1461"/>
    <mergeCell ref="F1458:G1459"/>
    <mergeCell ref="L1458:M1461"/>
    <mergeCell ref="N1458:O1459"/>
    <mergeCell ref="P1458:P1459"/>
    <mergeCell ref="Q1458:R1459"/>
    <mergeCell ref="S1458:S1459"/>
    <mergeCell ref="T1458:U1459"/>
    <mergeCell ref="V1458:V1461"/>
    <mergeCell ref="E1500:E1503"/>
    <mergeCell ref="F1500:G1501"/>
    <mergeCell ref="L1500:M1503"/>
    <mergeCell ref="N1500:O1501"/>
    <mergeCell ref="P1500:P1501"/>
    <mergeCell ref="Q1500:R1501"/>
    <mergeCell ref="S1500:S1501"/>
    <mergeCell ref="T1500:U1501"/>
    <mergeCell ref="V1512:V1515"/>
    <mergeCell ref="V1504:V1507"/>
    <mergeCell ref="V1500:V1503"/>
    <mergeCell ref="B1492:F1492"/>
    <mergeCell ref="L1492:M1492"/>
    <mergeCell ref="B1498:B1499"/>
    <mergeCell ref="E1498:E1499"/>
    <mergeCell ref="F1498:G1498"/>
    <mergeCell ref="L1498:M1498"/>
    <mergeCell ref="N1498:U1498"/>
    <mergeCell ref="L1499:M1499"/>
    <mergeCell ref="N1499:U1499"/>
    <mergeCell ref="C1505:C1506"/>
    <mergeCell ref="F1506:K1507"/>
    <mergeCell ref="N1506:O1507"/>
    <mergeCell ref="Q1506:R1507"/>
    <mergeCell ref="T1506:U1507"/>
    <mergeCell ref="E1508:E1511"/>
    <mergeCell ref="F1508:G1509"/>
    <mergeCell ref="L1508:M1511"/>
    <mergeCell ref="N1508:O1509"/>
    <mergeCell ref="P1508:P1509"/>
    <mergeCell ref="Q1508:R1509"/>
    <mergeCell ref="S1508:S1509"/>
    <mergeCell ref="T1508:U1509"/>
    <mergeCell ref="V1508:V1511"/>
    <mergeCell ref="C1509:C1510"/>
    <mergeCell ref="F1510:K1511"/>
    <mergeCell ref="N1510:O1511"/>
    <mergeCell ref="Q1510:R1511"/>
    <mergeCell ref="T1510:U1511"/>
    <mergeCell ref="E1504:E1507"/>
    <mergeCell ref="F1504:G1505"/>
    <mergeCell ref="L1504:M1507"/>
    <mergeCell ref="N1504:O1505"/>
    <mergeCell ref="P1504:P1505"/>
    <mergeCell ref="Q1504:R1505"/>
    <mergeCell ref="S1504:S1505"/>
    <mergeCell ref="T1504:U1505"/>
    <mergeCell ref="N1526:O1527"/>
    <mergeCell ref="Q1526:R1527"/>
    <mergeCell ref="T1526:U1527"/>
    <mergeCell ref="C1513:C1514"/>
    <mergeCell ref="F1514:K1515"/>
    <mergeCell ref="N1514:O1515"/>
    <mergeCell ref="Q1514:R1515"/>
    <mergeCell ref="T1514:U1515"/>
    <mergeCell ref="E1516:E1519"/>
    <mergeCell ref="F1516:G1517"/>
    <mergeCell ref="L1516:M1519"/>
    <mergeCell ref="N1516:O1517"/>
    <mergeCell ref="P1516:P1517"/>
    <mergeCell ref="Q1516:R1517"/>
    <mergeCell ref="S1516:S1517"/>
    <mergeCell ref="T1516:U1517"/>
    <mergeCell ref="E1512:E1515"/>
    <mergeCell ref="F1512:G1513"/>
    <mergeCell ref="L1512:M1515"/>
    <mergeCell ref="N1512:O1513"/>
    <mergeCell ref="P1512:P1513"/>
    <mergeCell ref="Q1512:R1513"/>
    <mergeCell ref="S1512:S1513"/>
    <mergeCell ref="T1512:U1513"/>
    <mergeCell ref="E1524:E1527"/>
    <mergeCell ref="F1524:G1525"/>
    <mergeCell ref="L1524:M1527"/>
    <mergeCell ref="N1524:O1525"/>
    <mergeCell ref="P1524:P1525"/>
    <mergeCell ref="Q1524:R1525"/>
    <mergeCell ref="S1524:S1525"/>
    <mergeCell ref="T1524:U1525"/>
    <mergeCell ref="V1528:V1531"/>
    <mergeCell ref="V1524:V1527"/>
    <mergeCell ref="V1516:V1519"/>
    <mergeCell ref="C1517:C1518"/>
    <mergeCell ref="F1518:K1519"/>
    <mergeCell ref="N1518:O1519"/>
    <mergeCell ref="Q1518:R1519"/>
    <mergeCell ref="T1518:U1519"/>
    <mergeCell ref="E1520:E1523"/>
    <mergeCell ref="F1520:G1521"/>
    <mergeCell ref="L1520:M1523"/>
    <mergeCell ref="N1520:O1521"/>
    <mergeCell ref="P1520:P1521"/>
    <mergeCell ref="Q1520:R1521"/>
    <mergeCell ref="S1520:S1521"/>
    <mergeCell ref="T1520:U1521"/>
    <mergeCell ref="V1520:V1523"/>
    <mergeCell ref="C1521:C1522"/>
    <mergeCell ref="F1522:K1523"/>
    <mergeCell ref="N1522:O1523"/>
    <mergeCell ref="Q1522:R1523"/>
    <mergeCell ref="T1522:U1523"/>
    <mergeCell ref="C1525:C1526"/>
    <mergeCell ref="F1526:K1527"/>
    <mergeCell ref="C1529:C1530"/>
    <mergeCell ref="F1530:K1531"/>
    <mergeCell ref="N1530:O1531"/>
    <mergeCell ref="Q1530:R1531"/>
    <mergeCell ref="T1530:U1531"/>
    <mergeCell ref="E1532:E1535"/>
    <mergeCell ref="F1532:G1533"/>
    <mergeCell ref="L1532:M1535"/>
    <mergeCell ref="N1532:O1533"/>
    <mergeCell ref="P1532:P1533"/>
    <mergeCell ref="Q1532:R1533"/>
    <mergeCell ref="S1532:S1533"/>
    <mergeCell ref="T1532:U1533"/>
    <mergeCell ref="V1532:V1535"/>
    <mergeCell ref="C1533:C1534"/>
    <mergeCell ref="F1534:K1535"/>
    <mergeCell ref="N1534:O1535"/>
    <mergeCell ref="Q1534:R1535"/>
    <mergeCell ref="T1534:U1535"/>
    <mergeCell ref="E1528:E1531"/>
    <mergeCell ref="F1528:G1529"/>
    <mergeCell ref="L1528:M1531"/>
    <mergeCell ref="N1528:O1529"/>
    <mergeCell ref="P1528:P1529"/>
    <mergeCell ref="Q1528:R1529"/>
    <mergeCell ref="S1528:S1529"/>
    <mergeCell ref="T1528:U1529"/>
    <mergeCell ref="B1552:F1555"/>
    <mergeCell ref="B1562:H1562"/>
    <mergeCell ref="L1562:V1562"/>
    <mergeCell ref="O1563:P1563"/>
    <mergeCell ref="R1563:S1563"/>
    <mergeCell ref="L1565:M1565"/>
    <mergeCell ref="N1565:P1565"/>
    <mergeCell ref="Q1565:R1565"/>
    <mergeCell ref="S1565:T1565"/>
    <mergeCell ref="C1579:C1580"/>
    <mergeCell ref="F1580:K1581"/>
    <mergeCell ref="N1580:O1581"/>
    <mergeCell ref="Q1580:R1581"/>
    <mergeCell ref="T1580:U1581"/>
    <mergeCell ref="C1537:C1538"/>
    <mergeCell ref="F1538:K1539"/>
    <mergeCell ref="N1538:O1539"/>
    <mergeCell ref="Q1538:R1539"/>
    <mergeCell ref="T1538:U1539"/>
    <mergeCell ref="F1542:J1542"/>
    <mergeCell ref="F1545:J1545"/>
    <mergeCell ref="H1550:V1551"/>
    <mergeCell ref="E1536:E1539"/>
    <mergeCell ref="F1536:G1537"/>
    <mergeCell ref="L1536:M1539"/>
    <mergeCell ref="N1536:O1537"/>
    <mergeCell ref="P1536:P1537"/>
    <mergeCell ref="Q1536:R1537"/>
    <mergeCell ref="S1536:S1537"/>
    <mergeCell ref="T1536:U1537"/>
    <mergeCell ref="V1536:V1539"/>
    <mergeCell ref="E1578:E1581"/>
    <mergeCell ref="F1578:G1579"/>
    <mergeCell ref="L1578:M1581"/>
    <mergeCell ref="N1578:O1579"/>
    <mergeCell ref="P1578:P1579"/>
    <mergeCell ref="Q1578:R1579"/>
    <mergeCell ref="S1578:S1579"/>
    <mergeCell ref="T1578:U1579"/>
    <mergeCell ref="V1590:V1593"/>
    <mergeCell ref="V1582:V1585"/>
    <mergeCell ref="V1578:V1581"/>
    <mergeCell ref="B1570:F1570"/>
    <mergeCell ref="L1570:M1570"/>
    <mergeCell ref="B1576:B1577"/>
    <mergeCell ref="E1576:E1577"/>
    <mergeCell ref="F1576:G1576"/>
    <mergeCell ref="L1576:M1576"/>
    <mergeCell ref="N1576:U1576"/>
    <mergeCell ref="L1577:M1577"/>
    <mergeCell ref="N1577:U1577"/>
    <mergeCell ref="C1583:C1584"/>
    <mergeCell ref="F1584:K1585"/>
    <mergeCell ref="N1584:O1585"/>
    <mergeCell ref="Q1584:R1585"/>
    <mergeCell ref="T1584:U1585"/>
    <mergeCell ref="E1586:E1589"/>
    <mergeCell ref="F1586:G1587"/>
    <mergeCell ref="L1586:M1589"/>
    <mergeCell ref="N1586:O1587"/>
    <mergeCell ref="P1586:P1587"/>
    <mergeCell ref="Q1586:R1587"/>
    <mergeCell ref="S1586:S1587"/>
    <mergeCell ref="T1586:U1587"/>
    <mergeCell ref="V1586:V1589"/>
    <mergeCell ref="C1587:C1588"/>
    <mergeCell ref="F1588:K1589"/>
    <mergeCell ref="N1588:O1589"/>
    <mergeCell ref="Q1588:R1589"/>
    <mergeCell ref="T1588:U1589"/>
    <mergeCell ref="E1582:E1585"/>
    <mergeCell ref="F1582:G1583"/>
    <mergeCell ref="L1582:M1585"/>
    <mergeCell ref="N1582:O1583"/>
    <mergeCell ref="P1582:P1583"/>
    <mergeCell ref="Q1582:R1583"/>
    <mergeCell ref="S1582:S1583"/>
    <mergeCell ref="T1582:U1583"/>
    <mergeCell ref="N1604:O1605"/>
    <mergeCell ref="Q1604:R1605"/>
    <mergeCell ref="T1604:U1605"/>
    <mergeCell ref="C1591:C1592"/>
    <mergeCell ref="F1592:K1593"/>
    <mergeCell ref="N1592:O1593"/>
    <mergeCell ref="Q1592:R1593"/>
    <mergeCell ref="T1592:U1593"/>
    <mergeCell ref="E1594:E1597"/>
    <mergeCell ref="F1594:G1595"/>
    <mergeCell ref="L1594:M1597"/>
    <mergeCell ref="N1594:O1595"/>
    <mergeCell ref="P1594:P1595"/>
    <mergeCell ref="Q1594:R1595"/>
    <mergeCell ref="S1594:S1595"/>
    <mergeCell ref="T1594:U1595"/>
    <mergeCell ref="E1590:E1593"/>
    <mergeCell ref="F1590:G1591"/>
    <mergeCell ref="L1590:M1593"/>
    <mergeCell ref="N1590:O1591"/>
    <mergeCell ref="P1590:P1591"/>
    <mergeCell ref="Q1590:R1591"/>
    <mergeCell ref="S1590:S1591"/>
    <mergeCell ref="T1590:U1591"/>
    <mergeCell ref="E1602:E1605"/>
    <mergeCell ref="F1602:G1603"/>
    <mergeCell ref="L1602:M1605"/>
    <mergeCell ref="N1602:O1603"/>
    <mergeCell ref="P1602:P1603"/>
    <mergeCell ref="Q1602:R1603"/>
    <mergeCell ref="S1602:S1603"/>
    <mergeCell ref="T1602:U1603"/>
    <mergeCell ref="V1606:V1609"/>
    <mergeCell ref="V1602:V1605"/>
    <mergeCell ref="V1594:V1597"/>
    <mergeCell ref="C1595:C1596"/>
    <mergeCell ref="F1596:K1597"/>
    <mergeCell ref="N1596:O1597"/>
    <mergeCell ref="Q1596:R1597"/>
    <mergeCell ref="T1596:U1597"/>
    <mergeCell ref="E1598:E1601"/>
    <mergeCell ref="F1598:G1599"/>
    <mergeCell ref="L1598:M1601"/>
    <mergeCell ref="N1598:O1599"/>
    <mergeCell ref="P1598:P1599"/>
    <mergeCell ref="Q1598:R1599"/>
    <mergeCell ref="S1598:S1599"/>
    <mergeCell ref="T1598:U1599"/>
    <mergeCell ref="V1598:V1601"/>
    <mergeCell ref="C1599:C1600"/>
    <mergeCell ref="F1600:K1601"/>
    <mergeCell ref="N1600:O1601"/>
    <mergeCell ref="Q1600:R1601"/>
    <mergeCell ref="T1600:U1601"/>
    <mergeCell ref="C1603:C1604"/>
    <mergeCell ref="F1604:K1605"/>
    <mergeCell ref="C1607:C1608"/>
    <mergeCell ref="F1608:K1609"/>
    <mergeCell ref="N1608:O1609"/>
    <mergeCell ref="Q1608:R1609"/>
    <mergeCell ref="T1608:U1609"/>
    <mergeCell ref="E1610:E1613"/>
    <mergeCell ref="F1610:G1611"/>
    <mergeCell ref="L1610:M1613"/>
    <mergeCell ref="N1610:O1611"/>
    <mergeCell ref="P1610:P1611"/>
    <mergeCell ref="Q1610:R1611"/>
    <mergeCell ref="S1610:S1611"/>
    <mergeCell ref="T1610:U1611"/>
    <mergeCell ref="V1610:V1613"/>
    <mergeCell ref="C1611:C1612"/>
    <mergeCell ref="F1612:K1613"/>
    <mergeCell ref="N1612:O1613"/>
    <mergeCell ref="Q1612:R1613"/>
    <mergeCell ref="T1612:U1613"/>
    <mergeCell ref="E1606:E1609"/>
    <mergeCell ref="F1606:G1607"/>
    <mergeCell ref="L1606:M1609"/>
    <mergeCell ref="N1606:O1607"/>
    <mergeCell ref="P1606:P1607"/>
    <mergeCell ref="Q1606:R1607"/>
    <mergeCell ref="S1606:S1607"/>
    <mergeCell ref="T1606:U1607"/>
    <mergeCell ref="B1630:F1633"/>
    <mergeCell ref="B1640:H1640"/>
    <mergeCell ref="L1640:V1640"/>
    <mergeCell ref="O1641:P1641"/>
    <mergeCell ref="R1641:S1641"/>
    <mergeCell ref="L1643:M1643"/>
    <mergeCell ref="N1643:P1643"/>
    <mergeCell ref="Q1643:R1643"/>
    <mergeCell ref="S1643:T1643"/>
    <mergeCell ref="C1657:C1658"/>
    <mergeCell ref="F1658:K1659"/>
    <mergeCell ref="N1658:O1659"/>
    <mergeCell ref="Q1658:R1659"/>
    <mergeCell ref="T1658:U1659"/>
    <mergeCell ref="C1615:C1616"/>
    <mergeCell ref="F1616:K1617"/>
    <mergeCell ref="N1616:O1617"/>
    <mergeCell ref="Q1616:R1617"/>
    <mergeCell ref="T1616:U1617"/>
    <mergeCell ref="F1620:J1620"/>
    <mergeCell ref="F1623:J1623"/>
    <mergeCell ref="H1628:V1629"/>
    <mergeCell ref="E1614:E1617"/>
    <mergeCell ref="F1614:G1615"/>
    <mergeCell ref="L1614:M1617"/>
    <mergeCell ref="N1614:O1615"/>
    <mergeCell ref="P1614:P1615"/>
    <mergeCell ref="Q1614:R1615"/>
    <mergeCell ref="S1614:S1615"/>
    <mergeCell ref="T1614:U1615"/>
    <mergeCell ref="V1614:V1617"/>
    <mergeCell ref="E1656:E1659"/>
    <mergeCell ref="F1656:G1657"/>
    <mergeCell ref="L1656:M1659"/>
    <mergeCell ref="N1656:O1657"/>
    <mergeCell ref="P1656:P1657"/>
    <mergeCell ref="Q1656:R1657"/>
    <mergeCell ref="S1656:S1657"/>
    <mergeCell ref="T1656:U1657"/>
    <mergeCell ref="V1668:V1671"/>
    <mergeCell ref="V1660:V1663"/>
    <mergeCell ref="V1656:V1659"/>
    <mergeCell ref="B1648:F1648"/>
    <mergeCell ref="L1648:M1648"/>
    <mergeCell ref="B1654:B1655"/>
    <mergeCell ref="E1654:E1655"/>
    <mergeCell ref="F1654:G1654"/>
    <mergeCell ref="L1654:M1654"/>
    <mergeCell ref="N1654:U1654"/>
    <mergeCell ref="L1655:M1655"/>
    <mergeCell ref="N1655:U1655"/>
    <mergeCell ref="C1661:C1662"/>
    <mergeCell ref="F1662:K1663"/>
    <mergeCell ref="N1662:O1663"/>
    <mergeCell ref="Q1662:R1663"/>
    <mergeCell ref="T1662:U1663"/>
    <mergeCell ref="E1664:E1667"/>
    <mergeCell ref="F1664:G1665"/>
    <mergeCell ref="L1664:M1667"/>
    <mergeCell ref="N1664:O1665"/>
    <mergeCell ref="P1664:P1665"/>
    <mergeCell ref="Q1664:R1665"/>
    <mergeCell ref="S1664:S1665"/>
    <mergeCell ref="T1664:U1665"/>
    <mergeCell ref="V1664:V1667"/>
    <mergeCell ref="C1665:C1666"/>
    <mergeCell ref="F1666:K1667"/>
    <mergeCell ref="N1666:O1667"/>
    <mergeCell ref="Q1666:R1667"/>
    <mergeCell ref="T1666:U1667"/>
    <mergeCell ref="E1660:E1663"/>
    <mergeCell ref="F1660:G1661"/>
    <mergeCell ref="L1660:M1663"/>
    <mergeCell ref="N1660:O1661"/>
    <mergeCell ref="P1660:P1661"/>
    <mergeCell ref="Q1660:R1661"/>
    <mergeCell ref="S1660:S1661"/>
    <mergeCell ref="T1660:U1661"/>
    <mergeCell ref="N1682:O1683"/>
    <mergeCell ref="Q1682:R1683"/>
    <mergeCell ref="T1682:U1683"/>
    <mergeCell ref="C1669:C1670"/>
    <mergeCell ref="F1670:K1671"/>
    <mergeCell ref="N1670:O1671"/>
    <mergeCell ref="Q1670:R1671"/>
    <mergeCell ref="T1670:U1671"/>
    <mergeCell ref="E1672:E1675"/>
    <mergeCell ref="F1672:G1673"/>
    <mergeCell ref="L1672:M1675"/>
    <mergeCell ref="N1672:O1673"/>
    <mergeCell ref="P1672:P1673"/>
    <mergeCell ref="Q1672:R1673"/>
    <mergeCell ref="S1672:S1673"/>
    <mergeCell ref="T1672:U1673"/>
    <mergeCell ref="E1668:E1671"/>
    <mergeCell ref="F1668:G1669"/>
    <mergeCell ref="L1668:M1671"/>
    <mergeCell ref="N1668:O1669"/>
    <mergeCell ref="P1668:P1669"/>
    <mergeCell ref="Q1668:R1669"/>
    <mergeCell ref="S1668:S1669"/>
    <mergeCell ref="T1668:U1669"/>
    <mergeCell ref="E1680:E1683"/>
    <mergeCell ref="F1680:G1681"/>
    <mergeCell ref="L1680:M1683"/>
    <mergeCell ref="N1680:O1681"/>
    <mergeCell ref="P1680:P1681"/>
    <mergeCell ref="Q1680:R1681"/>
    <mergeCell ref="S1680:S1681"/>
    <mergeCell ref="T1680:U1681"/>
    <mergeCell ref="V1684:V1687"/>
    <mergeCell ref="V1680:V1683"/>
    <mergeCell ref="V1672:V1675"/>
    <mergeCell ref="C1673:C1674"/>
    <mergeCell ref="F1674:K1675"/>
    <mergeCell ref="N1674:O1675"/>
    <mergeCell ref="Q1674:R1675"/>
    <mergeCell ref="T1674:U1675"/>
    <mergeCell ref="E1676:E1679"/>
    <mergeCell ref="F1676:G1677"/>
    <mergeCell ref="L1676:M1679"/>
    <mergeCell ref="N1676:O1677"/>
    <mergeCell ref="P1676:P1677"/>
    <mergeCell ref="Q1676:R1677"/>
    <mergeCell ref="S1676:S1677"/>
    <mergeCell ref="T1676:U1677"/>
    <mergeCell ref="V1676:V1679"/>
    <mergeCell ref="C1677:C1678"/>
    <mergeCell ref="F1678:K1679"/>
    <mergeCell ref="N1678:O1679"/>
    <mergeCell ref="Q1678:R1679"/>
    <mergeCell ref="T1678:U1679"/>
    <mergeCell ref="C1681:C1682"/>
    <mergeCell ref="F1682:K1683"/>
    <mergeCell ref="C1685:C1686"/>
    <mergeCell ref="F1686:K1687"/>
    <mergeCell ref="N1686:O1687"/>
    <mergeCell ref="Q1686:R1687"/>
    <mergeCell ref="T1686:U1687"/>
    <mergeCell ref="E1688:E1691"/>
    <mergeCell ref="F1688:G1689"/>
    <mergeCell ref="L1688:M1691"/>
    <mergeCell ref="N1688:O1689"/>
    <mergeCell ref="P1688:P1689"/>
    <mergeCell ref="Q1688:R1689"/>
    <mergeCell ref="S1688:S1689"/>
    <mergeCell ref="T1688:U1689"/>
    <mergeCell ref="V1688:V1691"/>
    <mergeCell ref="C1689:C1690"/>
    <mergeCell ref="F1690:K1691"/>
    <mergeCell ref="N1690:O1691"/>
    <mergeCell ref="Q1690:R1691"/>
    <mergeCell ref="T1690:U1691"/>
    <mergeCell ref="E1684:E1687"/>
    <mergeCell ref="F1684:G1685"/>
    <mergeCell ref="L1684:M1687"/>
    <mergeCell ref="N1684:O1685"/>
    <mergeCell ref="P1684:P1685"/>
    <mergeCell ref="Q1684:R1685"/>
    <mergeCell ref="S1684:S1685"/>
    <mergeCell ref="T1684:U1685"/>
    <mergeCell ref="B1708:F1711"/>
    <mergeCell ref="B1718:H1718"/>
    <mergeCell ref="L1718:V1718"/>
    <mergeCell ref="O1719:P1719"/>
    <mergeCell ref="R1719:S1719"/>
    <mergeCell ref="L1721:M1721"/>
    <mergeCell ref="N1721:P1721"/>
    <mergeCell ref="Q1721:R1721"/>
    <mergeCell ref="S1721:T1721"/>
    <mergeCell ref="C1735:C1736"/>
    <mergeCell ref="F1736:K1737"/>
    <mergeCell ref="N1736:O1737"/>
    <mergeCell ref="Q1736:R1737"/>
    <mergeCell ref="T1736:U1737"/>
    <mergeCell ref="C1693:C1694"/>
    <mergeCell ref="F1694:K1695"/>
    <mergeCell ref="N1694:O1695"/>
    <mergeCell ref="Q1694:R1695"/>
    <mergeCell ref="T1694:U1695"/>
    <mergeCell ref="F1698:J1698"/>
    <mergeCell ref="F1701:J1701"/>
    <mergeCell ref="H1706:V1707"/>
    <mergeCell ref="E1692:E1695"/>
    <mergeCell ref="F1692:G1693"/>
    <mergeCell ref="L1692:M1695"/>
    <mergeCell ref="N1692:O1693"/>
    <mergeCell ref="P1692:P1693"/>
    <mergeCell ref="Q1692:R1693"/>
    <mergeCell ref="S1692:S1693"/>
    <mergeCell ref="T1692:U1693"/>
    <mergeCell ref="V1692:V1695"/>
    <mergeCell ref="E1734:E1737"/>
    <mergeCell ref="F1734:G1735"/>
    <mergeCell ref="L1734:M1737"/>
    <mergeCell ref="N1734:O1735"/>
    <mergeCell ref="P1734:P1735"/>
    <mergeCell ref="Q1734:R1735"/>
    <mergeCell ref="S1734:S1735"/>
    <mergeCell ref="T1734:U1735"/>
    <mergeCell ref="V1746:V1749"/>
    <mergeCell ref="V1738:V1741"/>
    <mergeCell ref="V1734:V1737"/>
    <mergeCell ref="B1726:F1726"/>
    <mergeCell ref="L1726:M1726"/>
    <mergeCell ref="B1732:B1733"/>
    <mergeCell ref="E1732:E1733"/>
    <mergeCell ref="F1732:G1732"/>
    <mergeCell ref="L1732:M1732"/>
    <mergeCell ref="N1732:U1732"/>
    <mergeCell ref="L1733:M1733"/>
    <mergeCell ref="N1733:U1733"/>
    <mergeCell ref="C1739:C1740"/>
    <mergeCell ref="F1740:K1741"/>
    <mergeCell ref="N1740:O1741"/>
    <mergeCell ref="Q1740:R1741"/>
    <mergeCell ref="T1740:U1741"/>
    <mergeCell ref="E1742:E1745"/>
    <mergeCell ref="F1742:G1743"/>
    <mergeCell ref="L1742:M1745"/>
    <mergeCell ref="N1742:O1743"/>
    <mergeCell ref="P1742:P1743"/>
    <mergeCell ref="Q1742:R1743"/>
    <mergeCell ref="S1742:S1743"/>
    <mergeCell ref="T1742:U1743"/>
    <mergeCell ref="V1742:V1745"/>
    <mergeCell ref="C1743:C1744"/>
    <mergeCell ref="F1744:K1745"/>
    <mergeCell ref="N1744:O1745"/>
    <mergeCell ref="Q1744:R1745"/>
    <mergeCell ref="T1744:U1745"/>
    <mergeCell ref="E1738:E1741"/>
    <mergeCell ref="F1738:G1739"/>
    <mergeCell ref="L1738:M1741"/>
    <mergeCell ref="N1738:O1739"/>
    <mergeCell ref="P1738:P1739"/>
    <mergeCell ref="Q1738:R1739"/>
    <mergeCell ref="S1738:S1739"/>
    <mergeCell ref="T1738:U1739"/>
    <mergeCell ref="N1760:O1761"/>
    <mergeCell ref="Q1760:R1761"/>
    <mergeCell ref="T1760:U1761"/>
    <mergeCell ref="C1747:C1748"/>
    <mergeCell ref="F1748:K1749"/>
    <mergeCell ref="N1748:O1749"/>
    <mergeCell ref="Q1748:R1749"/>
    <mergeCell ref="T1748:U1749"/>
    <mergeCell ref="E1750:E1753"/>
    <mergeCell ref="F1750:G1751"/>
    <mergeCell ref="L1750:M1753"/>
    <mergeCell ref="N1750:O1751"/>
    <mergeCell ref="P1750:P1751"/>
    <mergeCell ref="Q1750:R1751"/>
    <mergeCell ref="S1750:S1751"/>
    <mergeCell ref="T1750:U1751"/>
    <mergeCell ref="E1746:E1749"/>
    <mergeCell ref="F1746:G1747"/>
    <mergeCell ref="L1746:M1749"/>
    <mergeCell ref="N1746:O1747"/>
    <mergeCell ref="P1746:P1747"/>
    <mergeCell ref="Q1746:R1747"/>
    <mergeCell ref="S1746:S1747"/>
    <mergeCell ref="T1746:U1747"/>
    <mergeCell ref="E1758:E1761"/>
    <mergeCell ref="F1758:G1759"/>
    <mergeCell ref="L1758:M1761"/>
    <mergeCell ref="N1758:O1759"/>
    <mergeCell ref="P1758:P1759"/>
    <mergeCell ref="Q1758:R1759"/>
    <mergeCell ref="S1758:S1759"/>
    <mergeCell ref="T1758:U1759"/>
    <mergeCell ref="V1762:V1765"/>
    <mergeCell ref="V1758:V1761"/>
    <mergeCell ref="V1750:V1753"/>
    <mergeCell ref="C1751:C1752"/>
    <mergeCell ref="F1752:K1753"/>
    <mergeCell ref="N1752:O1753"/>
    <mergeCell ref="Q1752:R1753"/>
    <mergeCell ref="T1752:U1753"/>
    <mergeCell ref="E1754:E1757"/>
    <mergeCell ref="F1754:G1755"/>
    <mergeCell ref="L1754:M1757"/>
    <mergeCell ref="N1754:O1755"/>
    <mergeCell ref="P1754:P1755"/>
    <mergeCell ref="Q1754:R1755"/>
    <mergeCell ref="S1754:S1755"/>
    <mergeCell ref="T1754:U1755"/>
    <mergeCell ref="V1754:V1757"/>
    <mergeCell ref="C1755:C1756"/>
    <mergeCell ref="F1756:K1757"/>
    <mergeCell ref="N1756:O1757"/>
    <mergeCell ref="Q1756:R1757"/>
    <mergeCell ref="T1756:U1757"/>
    <mergeCell ref="C1759:C1760"/>
    <mergeCell ref="F1760:K1761"/>
    <mergeCell ref="C1763:C1764"/>
    <mergeCell ref="F1764:K1765"/>
    <mergeCell ref="N1764:O1765"/>
    <mergeCell ref="Q1764:R1765"/>
    <mergeCell ref="T1764:U1765"/>
    <mergeCell ref="E1766:E1769"/>
    <mergeCell ref="F1766:G1767"/>
    <mergeCell ref="L1766:M1769"/>
    <mergeCell ref="N1766:O1767"/>
    <mergeCell ref="P1766:P1767"/>
    <mergeCell ref="Q1766:R1767"/>
    <mergeCell ref="S1766:S1767"/>
    <mergeCell ref="T1766:U1767"/>
    <mergeCell ref="V1766:V1769"/>
    <mergeCell ref="C1767:C1768"/>
    <mergeCell ref="F1768:K1769"/>
    <mergeCell ref="N1768:O1769"/>
    <mergeCell ref="Q1768:R1769"/>
    <mergeCell ref="T1768:U1769"/>
    <mergeCell ref="E1762:E1765"/>
    <mergeCell ref="F1762:G1763"/>
    <mergeCell ref="L1762:M1765"/>
    <mergeCell ref="N1762:O1763"/>
    <mergeCell ref="P1762:P1763"/>
    <mergeCell ref="Q1762:R1763"/>
    <mergeCell ref="S1762:S1763"/>
    <mergeCell ref="T1762:U1763"/>
    <mergeCell ref="B1786:F1789"/>
    <mergeCell ref="B1796:H1796"/>
    <mergeCell ref="L1796:V1796"/>
    <mergeCell ref="O1797:P1797"/>
    <mergeCell ref="R1797:S1797"/>
    <mergeCell ref="L1799:M1799"/>
    <mergeCell ref="N1799:P1799"/>
    <mergeCell ref="Q1799:R1799"/>
    <mergeCell ref="S1799:T1799"/>
    <mergeCell ref="C1813:C1814"/>
    <mergeCell ref="F1814:K1815"/>
    <mergeCell ref="N1814:O1815"/>
    <mergeCell ref="Q1814:R1815"/>
    <mergeCell ref="T1814:U1815"/>
    <mergeCell ref="C1771:C1772"/>
    <mergeCell ref="F1772:K1773"/>
    <mergeCell ref="N1772:O1773"/>
    <mergeCell ref="Q1772:R1773"/>
    <mergeCell ref="T1772:U1773"/>
    <mergeCell ref="F1776:J1776"/>
    <mergeCell ref="F1779:J1779"/>
    <mergeCell ref="H1784:V1785"/>
    <mergeCell ref="E1770:E1773"/>
    <mergeCell ref="F1770:G1771"/>
    <mergeCell ref="L1770:M1773"/>
    <mergeCell ref="N1770:O1771"/>
    <mergeCell ref="P1770:P1771"/>
    <mergeCell ref="Q1770:R1771"/>
    <mergeCell ref="S1770:S1771"/>
    <mergeCell ref="T1770:U1771"/>
    <mergeCell ref="V1770:V1773"/>
    <mergeCell ref="E1812:E1815"/>
    <mergeCell ref="F1812:G1813"/>
    <mergeCell ref="L1812:M1815"/>
    <mergeCell ref="N1812:O1813"/>
    <mergeCell ref="P1812:P1813"/>
    <mergeCell ref="Q1812:R1813"/>
    <mergeCell ref="S1812:S1813"/>
    <mergeCell ref="T1812:U1813"/>
    <mergeCell ref="V1824:V1827"/>
    <mergeCell ref="V1816:V1819"/>
    <mergeCell ref="V1812:V1815"/>
    <mergeCell ref="B1804:F1804"/>
    <mergeCell ref="L1804:M1804"/>
    <mergeCell ref="B1810:B1811"/>
    <mergeCell ref="E1810:E1811"/>
    <mergeCell ref="F1810:G1810"/>
    <mergeCell ref="L1810:M1810"/>
    <mergeCell ref="N1810:U1810"/>
    <mergeCell ref="L1811:M1811"/>
    <mergeCell ref="N1811:U1811"/>
    <mergeCell ref="C1817:C1818"/>
    <mergeCell ref="F1818:K1819"/>
    <mergeCell ref="N1818:O1819"/>
    <mergeCell ref="Q1818:R1819"/>
    <mergeCell ref="T1818:U1819"/>
    <mergeCell ref="E1820:E1823"/>
    <mergeCell ref="F1820:G1821"/>
    <mergeCell ref="L1820:M1823"/>
    <mergeCell ref="N1820:O1821"/>
    <mergeCell ref="P1820:P1821"/>
    <mergeCell ref="Q1820:R1821"/>
    <mergeCell ref="S1820:S1821"/>
    <mergeCell ref="T1820:U1821"/>
    <mergeCell ref="V1820:V1823"/>
    <mergeCell ref="C1821:C1822"/>
    <mergeCell ref="F1822:K1823"/>
    <mergeCell ref="N1822:O1823"/>
    <mergeCell ref="Q1822:R1823"/>
    <mergeCell ref="T1822:U1823"/>
    <mergeCell ref="E1816:E1819"/>
    <mergeCell ref="F1816:G1817"/>
    <mergeCell ref="L1816:M1819"/>
    <mergeCell ref="N1816:O1817"/>
    <mergeCell ref="P1816:P1817"/>
    <mergeCell ref="Q1816:R1817"/>
    <mergeCell ref="S1816:S1817"/>
    <mergeCell ref="T1816:U1817"/>
    <mergeCell ref="N1838:O1839"/>
    <mergeCell ref="Q1838:R1839"/>
    <mergeCell ref="T1838:U1839"/>
    <mergeCell ref="C1825:C1826"/>
    <mergeCell ref="F1826:K1827"/>
    <mergeCell ref="N1826:O1827"/>
    <mergeCell ref="Q1826:R1827"/>
    <mergeCell ref="T1826:U1827"/>
    <mergeCell ref="E1828:E1831"/>
    <mergeCell ref="F1828:G1829"/>
    <mergeCell ref="L1828:M1831"/>
    <mergeCell ref="N1828:O1829"/>
    <mergeCell ref="P1828:P1829"/>
    <mergeCell ref="Q1828:R1829"/>
    <mergeCell ref="S1828:S1829"/>
    <mergeCell ref="T1828:U1829"/>
    <mergeCell ref="E1824:E1827"/>
    <mergeCell ref="F1824:G1825"/>
    <mergeCell ref="L1824:M1827"/>
    <mergeCell ref="N1824:O1825"/>
    <mergeCell ref="P1824:P1825"/>
    <mergeCell ref="Q1824:R1825"/>
    <mergeCell ref="S1824:S1825"/>
    <mergeCell ref="T1824:U1825"/>
    <mergeCell ref="E1836:E1839"/>
    <mergeCell ref="F1836:G1837"/>
    <mergeCell ref="L1836:M1839"/>
    <mergeCell ref="N1836:O1837"/>
    <mergeCell ref="P1836:P1837"/>
    <mergeCell ref="Q1836:R1837"/>
    <mergeCell ref="S1836:S1837"/>
    <mergeCell ref="T1836:U1837"/>
    <mergeCell ref="V1840:V1843"/>
    <mergeCell ref="V1836:V1839"/>
    <mergeCell ref="V1828:V1831"/>
    <mergeCell ref="C1829:C1830"/>
    <mergeCell ref="F1830:K1831"/>
    <mergeCell ref="N1830:O1831"/>
    <mergeCell ref="Q1830:R1831"/>
    <mergeCell ref="T1830:U1831"/>
    <mergeCell ref="E1832:E1835"/>
    <mergeCell ref="F1832:G1833"/>
    <mergeCell ref="L1832:M1835"/>
    <mergeCell ref="N1832:O1833"/>
    <mergeCell ref="P1832:P1833"/>
    <mergeCell ref="Q1832:R1833"/>
    <mergeCell ref="S1832:S1833"/>
    <mergeCell ref="T1832:U1833"/>
    <mergeCell ref="V1832:V1835"/>
    <mergeCell ref="C1833:C1834"/>
    <mergeCell ref="F1834:K1835"/>
    <mergeCell ref="N1834:O1835"/>
    <mergeCell ref="Q1834:R1835"/>
    <mergeCell ref="T1834:U1835"/>
    <mergeCell ref="C1837:C1838"/>
    <mergeCell ref="F1838:K1839"/>
    <mergeCell ref="C1841:C1842"/>
    <mergeCell ref="F1842:K1843"/>
    <mergeCell ref="N1842:O1843"/>
    <mergeCell ref="Q1842:R1843"/>
    <mergeCell ref="T1842:U1843"/>
    <mergeCell ref="E1844:E1847"/>
    <mergeCell ref="F1844:G1845"/>
    <mergeCell ref="L1844:M1847"/>
    <mergeCell ref="N1844:O1845"/>
    <mergeCell ref="P1844:P1845"/>
    <mergeCell ref="Q1844:R1845"/>
    <mergeCell ref="S1844:S1845"/>
    <mergeCell ref="T1844:U1845"/>
    <mergeCell ref="V1844:V1847"/>
    <mergeCell ref="C1845:C1846"/>
    <mergeCell ref="F1846:K1847"/>
    <mergeCell ref="N1846:O1847"/>
    <mergeCell ref="Q1846:R1847"/>
    <mergeCell ref="T1846:U1847"/>
    <mergeCell ref="E1840:E1843"/>
    <mergeCell ref="F1840:G1841"/>
    <mergeCell ref="L1840:M1843"/>
    <mergeCell ref="N1840:O1841"/>
    <mergeCell ref="P1840:P1841"/>
    <mergeCell ref="Q1840:R1841"/>
    <mergeCell ref="S1840:S1841"/>
    <mergeCell ref="T1840:U1841"/>
    <mergeCell ref="B1864:F1867"/>
    <mergeCell ref="B1874:H1874"/>
    <mergeCell ref="L1874:V1874"/>
    <mergeCell ref="O1875:P1875"/>
    <mergeCell ref="R1875:S1875"/>
    <mergeCell ref="L1877:M1877"/>
    <mergeCell ref="N1877:P1877"/>
    <mergeCell ref="Q1877:R1877"/>
    <mergeCell ref="S1877:T1877"/>
    <mergeCell ref="C1891:C1892"/>
    <mergeCell ref="F1892:K1893"/>
    <mergeCell ref="N1892:O1893"/>
    <mergeCell ref="Q1892:R1893"/>
    <mergeCell ref="T1892:U1893"/>
    <mergeCell ref="C1849:C1850"/>
    <mergeCell ref="F1850:K1851"/>
    <mergeCell ref="N1850:O1851"/>
    <mergeCell ref="Q1850:R1851"/>
    <mergeCell ref="T1850:U1851"/>
    <mergeCell ref="F1854:J1854"/>
    <mergeCell ref="F1857:J1857"/>
    <mergeCell ref="H1862:V1863"/>
    <mergeCell ref="E1848:E1851"/>
    <mergeCell ref="F1848:G1849"/>
    <mergeCell ref="L1848:M1851"/>
    <mergeCell ref="N1848:O1849"/>
    <mergeCell ref="P1848:P1849"/>
    <mergeCell ref="Q1848:R1849"/>
    <mergeCell ref="S1848:S1849"/>
    <mergeCell ref="T1848:U1849"/>
    <mergeCell ref="V1848:V1851"/>
    <mergeCell ref="E1890:E1893"/>
    <mergeCell ref="F1890:G1891"/>
    <mergeCell ref="L1890:M1893"/>
    <mergeCell ref="N1890:O1891"/>
    <mergeCell ref="P1890:P1891"/>
    <mergeCell ref="Q1890:R1891"/>
    <mergeCell ref="S1890:S1891"/>
    <mergeCell ref="T1890:U1891"/>
    <mergeCell ref="V1902:V1905"/>
    <mergeCell ref="V1894:V1897"/>
    <mergeCell ref="V1890:V1893"/>
    <mergeCell ref="B1882:F1882"/>
    <mergeCell ref="L1882:M1882"/>
    <mergeCell ref="B1888:B1889"/>
    <mergeCell ref="E1888:E1889"/>
    <mergeCell ref="F1888:G1888"/>
    <mergeCell ref="L1888:M1888"/>
    <mergeCell ref="N1888:U1888"/>
    <mergeCell ref="L1889:M1889"/>
    <mergeCell ref="N1889:U1889"/>
    <mergeCell ref="C1895:C1896"/>
    <mergeCell ref="F1896:K1897"/>
    <mergeCell ref="N1896:O1897"/>
    <mergeCell ref="Q1896:R1897"/>
    <mergeCell ref="T1896:U1897"/>
    <mergeCell ref="E1898:E1901"/>
    <mergeCell ref="F1898:G1899"/>
    <mergeCell ref="L1898:M1901"/>
    <mergeCell ref="N1898:O1899"/>
    <mergeCell ref="P1898:P1899"/>
    <mergeCell ref="Q1898:R1899"/>
    <mergeCell ref="S1898:S1899"/>
    <mergeCell ref="T1898:U1899"/>
    <mergeCell ref="V1898:V1901"/>
    <mergeCell ref="C1899:C1900"/>
    <mergeCell ref="F1900:K1901"/>
    <mergeCell ref="N1900:O1901"/>
    <mergeCell ref="Q1900:R1901"/>
    <mergeCell ref="T1900:U1901"/>
    <mergeCell ref="E1894:E1897"/>
    <mergeCell ref="F1894:G1895"/>
    <mergeCell ref="L1894:M1897"/>
    <mergeCell ref="N1894:O1895"/>
    <mergeCell ref="P1894:P1895"/>
    <mergeCell ref="Q1894:R1895"/>
    <mergeCell ref="S1894:S1895"/>
    <mergeCell ref="T1894:U1895"/>
    <mergeCell ref="N1916:O1917"/>
    <mergeCell ref="Q1916:R1917"/>
    <mergeCell ref="T1916:U1917"/>
    <mergeCell ref="C1903:C1904"/>
    <mergeCell ref="F1904:K1905"/>
    <mergeCell ref="N1904:O1905"/>
    <mergeCell ref="Q1904:R1905"/>
    <mergeCell ref="T1904:U1905"/>
    <mergeCell ref="E1906:E1909"/>
    <mergeCell ref="F1906:G1907"/>
    <mergeCell ref="L1906:M1909"/>
    <mergeCell ref="N1906:O1907"/>
    <mergeCell ref="P1906:P1907"/>
    <mergeCell ref="Q1906:R1907"/>
    <mergeCell ref="S1906:S1907"/>
    <mergeCell ref="T1906:U1907"/>
    <mergeCell ref="E1902:E1905"/>
    <mergeCell ref="F1902:G1903"/>
    <mergeCell ref="L1902:M1905"/>
    <mergeCell ref="N1902:O1903"/>
    <mergeCell ref="P1902:P1903"/>
    <mergeCell ref="Q1902:R1903"/>
    <mergeCell ref="S1902:S1903"/>
    <mergeCell ref="T1902:U1903"/>
    <mergeCell ref="E1914:E1917"/>
    <mergeCell ref="F1914:G1915"/>
    <mergeCell ref="L1914:M1917"/>
    <mergeCell ref="N1914:O1915"/>
    <mergeCell ref="P1914:P1915"/>
    <mergeCell ref="Q1914:R1915"/>
    <mergeCell ref="S1914:S1915"/>
    <mergeCell ref="T1914:U1915"/>
    <mergeCell ref="V1918:V1921"/>
    <mergeCell ref="V1914:V1917"/>
    <mergeCell ref="V1906:V1909"/>
    <mergeCell ref="C1907:C1908"/>
    <mergeCell ref="F1908:K1909"/>
    <mergeCell ref="N1908:O1909"/>
    <mergeCell ref="Q1908:R1909"/>
    <mergeCell ref="T1908:U1909"/>
    <mergeCell ref="E1910:E1913"/>
    <mergeCell ref="F1910:G1911"/>
    <mergeCell ref="L1910:M1913"/>
    <mergeCell ref="N1910:O1911"/>
    <mergeCell ref="P1910:P1911"/>
    <mergeCell ref="Q1910:R1911"/>
    <mergeCell ref="S1910:S1911"/>
    <mergeCell ref="T1910:U1911"/>
    <mergeCell ref="V1910:V1913"/>
    <mergeCell ref="C1911:C1912"/>
    <mergeCell ref="F1912:K1913"/>
    <mergeCell ref="N1912:O1913"/>
    <mergeCell ref="Q1912:R1913"/>
    <mergeCell ref="T1912:U1913"/>
    <mergeCell ref="C1915:C1916"/>
    <mergeCell ref="F1916:K1917"/>
    <mergeCell ref="C1919:C1920"/>
    <mergeCell ref="F1920:K1921"/>
    <mergeCell ref="N1920:O1921"/>
    <mergeCell ref="Q1920:R1921"/>
    <mergeCell ref="T1920:U1921"/>
    <mergeCell ref="E1922:E1925"/>
    <mergeCell ref="F1922:G1923"/>
    <mergeCell ref="L1922:M1925"/>
    <mergeCell ref="N1922:O1923"/>
    <mergeCell ref="P1922:P1923"/>
    <mergeCell ref="Q1922:R1923"/>
    <mergeCell ref="S1922:S1923"/>
    <mergeCell ref="T1922:U1923"/>
    <mergeCell ref="V1922:V1925"/>
    <mergeCell ref="C1923:C1924"/>
    <mergeCell ref="F1924:K1925"/>
    <mergeCell ref="N1924:O1925"/>
    <mergeCell ref="Q1924:R1925"/>
    <mergeCell ref="T1924:U1925"/>
    <mergeCell ref="E1918:E1921"/>
    <mergeCell ref="F1918:G1919"/>
    <mergeCell ref="L1918:M1921"/>
    <mergeCell ref="N1918:O1919"/>
    <mergeCell ref="P1918:P1919"/>
    <mergeCell ref="Q1918:R1919"/>
    <mergeCell ref="S1918:S1919"/>
    <mergeCell ref="T1918:U1919"/>
    <mergeCell ref="B1942:F1945"/>
    <mergeCell ref="B1952:H1952"/>
    <mergeCell ref="L1952:V1952"/>
    <mergeCell ref="O1953:P1953"/>
    <mergeCell ref="R1953:S1953"/>
    <mergeCell ref="L1955:M1955"/>
    <mergeCell ref="N1955:P1955"/>
    <mergeCell ref="Q1955:R1955"/>
    <mergeCell ref="S1955:T1955"/>
    <mergeCell ref="C1969:C1970"/>
    <mergeCell ref="F1970:K1971"/>
    <mergeCell ref="N1970:O1971"/>
    <mergeCell ref="Q1970:R1971"/>
    <mergeCell ref="T1970:U1971"/>
    <mergeCell ref="C1927:C1928"/>
    <mergeCell ref="F1928:K1929"/>
    <mergeCell ref="N1928:O1929"/>
    <mergeCell ref="Q1928:R1929"/>
    <mergeCell ref="T1928:U1929"/>
    <mergeCell ref="F1932:J1932"/>
    <mergeCell ref="F1935:J1935"/>
    <mergeCell ref="H1940:V1941"/>
    <mergeCell ref="E1926:E1929"/>
    <mergeCell ref="F1926:G1927"/>
    <mergeCell ref="L1926:M1929"/>
    <mergeCell ref="N1926:O1927"/>
    <mergeCell ref="P1926:P1927"/>
    <mergeCell ref="Q1926:R1927"/>
    <mergeCell ref="S1926:S1927"/>
    <mergeCell ref="T1926:U1927"/>
    <mergeCell ref="V1926:V1929"/>
    <mergeCell ref="E1968:E1971"/>
    <mergeCell ref="F1968:G1969"/>
    <mergeCell ref="L1968:M1971"/>
    <mergeCell ref="N1968:O1969"/>
    <mergeCell ref="P1968:P1969"/>
    <mergeCell ref="Q1968:R1969"/>
    <mergeCell ref="S1968:S1969"/>
    <mergeCell ref="T1968:U1969"/>
    <mergeCell ref="V1980:V1983"/>
    <mergeCell ref="V1972:V1975"/>
    <mergeCell ref="V1968:V1971"/>
    <mergeCell ref="B1960:F1960"/>
    <mergeCell ref="L1960:M1960"/>
    <mergeCell ref="B1966:B1967"/>
    <mergeCell ref="E1966:E1967"/>
    <mergeCell ref="F1966:G1966"/>
    <mergeCell ref="L1966:M1966"/>
    <mergeCell ref="N1966:U1966"/>
    <mergeCell ref="L1967:M1967"/>
    <mergeCell ref="N1967:U1967"/>
    <mergeCell ref="C1973:C1974"/>
    <mergeCell ref="F1974:K1975"/>
    <mergeCell ref="N1974:O1975"/>
    <mergeCell ref="Q1974:R1975"/>
    <mergeCell ref="T1974:U1975"/>
    <mergeCell ref="E1976:E1979"/>
    <mergeCell ref="F1976:G1977"/>
    <mergeCell ref="L1976:M1979"/>
    <mergeCell ref="N1976:O1977"/>
    <mergeCell ref="P1976:P1977"/>
    <mergeCell ref="Q1976:R1977"/>
    <mergeCell ref="S1976:S1977"/>
    <mergeCell ref="T1976:U1977"/>
    <mergeCell ref="V1976:V1979"/>
    <mergeCell ref="C1977:C1978"/>
    <mergeCell ref="F1978:K1979"/>
    <mergeCell ref="N1978:O1979"/>
    <mergeCell ref="Q1978:R1979"/>
    <mergeCell ref="T1978:U1979"/>
    <mergeCell ref="E1972:E1975"/>
    <mergeCell ref="F1972:G1973"/>
    <mergeCell ref="L1972:M1975"/>
    <mergeCell ref="N1972:O1973"/>
    <mergeCell ref="P1972:P1973"/>
    <mergeCell ref="Q1972:R1973"/>
    <mergeCell ref="S1972:S1973"/>
    <mergeCell ref="T1972:U1973"/>
    <mergeCell ref="N1994:O1995"/>
    <mergeCell ref="Q1994:R1995"/>
    <mergeCell ref="T1994:U1995"/>
    <mergeCell ref="C1981:C1982"/>
    <mergeCell ref="F1982:K1983"/>
    <mergeCell ref="N1982:O1983"/>
    <mergeCell ref="Q1982:R1983"/>
    <mergeCell ref="T1982:U1983"/>
    <mergeCell ref="E1984:E1987"/>
    <mergeCell ref="F1984:G1985"/>
    <mergeCell ref="L1984:M1987"/>
    <mergeCell ref="N1984:O1985"/>
    <mergeCell ref="P1984:P1985"/>
    <mergeCell ref="Q1984:R1985"/>
    <mergeCell ref="S1984:S1985"/>
    <mergeCell ref="T1984:U1985"/>
    <mergeCell ref="E1980:E1983"/>
    <mergeCell ref="F1980:G1981"/>
    <mergeCell ref="L1980:M1983"/>
    <mergeCell ref="N1980:O1981"/>
    <mergeCell ref="P1980:P1981"/>
    <mergeCell ref="Q1980:R1981"/>
    <mergeCell ref="S1980:S1981"/>
    <mergeCell ref="T1980:U1981"/>
    <mergeCell ref="E1992:E1995"/>
    <mergeCell ref="F1992:G1993"/>
    <mergeCell ref="L1992:M1995"/>
    <mergeCell ref="N1992:O1993"/>
    <mergeCell ref="P1992:P1993"/>
    <mergeCell ref="Q1992:R1993"/>
    <mergeCell ref="S1992:S1993"/>
    <mergeCell ref="T1992:U1993"/>
    <mergeCell ref="V1996:V1999"/>
    <mergeCell ref="V1992:V1995"/>
    <mergeCell ref="V1984:V1987"/>
    <mergeCell ref="C1985:C1986"/>
    <mergeCell ref="F1986:K1987"/>
    <mergeCell ref="N1986:O1987"/>
    <mergeCell ref="Q1986:R1987"/>
    <mergeCell ref="T1986:U1987"/>
    <mergeCell ref="E1988:E1991"/>
    <mergeCell ref="F1988:G1989"/>
    <mergeCell ref="L1988:M1991"/>
    <mergeCell ref="N1988:O1989"/>
    <mergeCell ref="P1988:P1989"/>
    <mergeCell ref="Q1988:R1989"/>
    <mergeCell ref="S1988:S1989"/>
    <mergeCell ref="T1988:U1989"/>
    <mergeCell ref="V1988:V1991"/>
    <mergeCell ref="C1989:C1990"/>
    <mergeCell ref="F1990:K1991"/>
    <mergeCell ref="N1990:O1991"/>
    <mergeCell ref="Q1990:R1991"/>
    <mergeCell ref="T1990:U1991"/>
    <mergeCell ref="C1993:C1994"/>
    <mergeCell ref="F1994:K1995"/>
    <mergeCell ref="C1997:C1998"/>
    <mergeCell ref="F1998:K1999"/>
    <mergeCell ref="N1998:O1999"/>
    <mergeCell ref="Q1998:R1999"/>
    <mergeCell ref="T1998:U1999"/>
    <mergeCell ref="E2000:E2003"/>
    <mergeCell ref="F2000:G2001"/>
    <mergeCell ref="L2000:M2003"/>
    <mergeCell ref="N2000:O2001"/>
    <mergeCell ref="P2000:P2001"/>
    <mergeCell ref="Q2000:R2001"/>
    <mergeCell ref="S2000:S2001"/>
    <mergeCell ref="T2000:U2001"/>
    <mergeCell ref="V2000:V2003"/>
    <mergeCell ref="C2001:C2002"/>
    <mergeCell ref="F2002:K2003"/>
    <mergeCell ref="N2002:O2003"/>
    <mergeCell ref="Q2002:R2003"/>
    <mergeCell ref="T2002:U2003"/>
    <mergeCell ref="E1996:E1999"/>
    <mergeCell ref="F1996:G1997"/>
    <mergeCell ref="L1996:M1999"/>
    <mergeCell ref="N1996:O1997"/>
    <mergeCell ref="P1996:P1997"/>
    <mergeCell ref="Q1996:R1997"/>
    <mergeCell ref="S1996:S1997"/>
    <mergeCell ref="T1996:U1997"/>
    <mergeCell ref="B2020:F2023"/>
    <mergeCell ref="B2030:H2030"/>
    <mergeCell ref="L2030:V2030"/>
    <mergeCell ref="O2031:P2031"/>
    <mergeCell ref="R2031:S2031"/>
    <mergeCell ref="L2033:M2033"/>
    <mergeCell ref="N2033:P2033"/>
    <mergeCell ref="Q2033:R2033"/>
    <mergeCell ref="S2033:T2033"/>
    <mergeCell ref="C2047:C2048"/>
    <mergeCell ref="F2048:K2049"/>
    <mergeCell ref="N2048:O2049"/>
    <mergeCell ref="Q2048:R2049"/>
    <mergeCell ref="T2048:U2049"/>
    <mergeCell ref="C2005:C2006"/>
    <mergeCell ref="F2006:K2007"/>
    <mergeCell ref="N2006:O2007"/>
    <mergeCell ref="Q2006:R2007"/>
    <mergeCell ref="T2006:U2007"/>
    <mergeCell ref="F2010:J2010"/>
    <mergeCell ref="F2013:J2013"/>
    <mergeCell ref="H2018:V2019"/>
    <mergeCell ref="E2004:E2007"/>
    <mergeCell ref="F2004:G2005"/>
    <mergeCell ref="L2004:M2007"/>
    <mergeCell ref="N2004:O2005"/>
    <mergeCell ref="P2004:P2005"/>
    <mergeCell ref="Q2004:R2005"/>
    <mergeCell ref="S2004:S2005"/>
    <mergeCell ref="T2004:U2005"/>
    <mergeCell ref="V2004:V2007"/>
    <mergeCell ref="E2046:E2049"/>
    <mergeCell ref="F2046:G2047"/>
    <mergeCell ref="L2046:M2049"/>
    <mergeCell ref="N2046:O2047"/>
    <mergeCell ref="P2046:P2047"/>
    <mergeCell ref="Q2046:R2047"/>
    <mergeCell ref="S2046:S2047"/>
    <mergeCell ref="T2046:U2047"/>
    <mergeCell ref="V2058:V2061"/>
    <mergeCell ref="V2050:V2053"/>
    <mergeCell ref="V2046:V2049"/>
    <mergeCell ref="B2038:F2038"/>
    <mergeCell ref="L2038:M2038"/>
    <mergeCell ref="B2044:B2045"/>
    <mergeCell ref="E2044:E2045"/>
    <mergeCell ref="F2044:G2044"/>
    <mergeCell ref="L2044:M2044"/>
    <mergeCell ref="N2044:U2044"/>
    <mergeCell ref="L2045:M2045"/>
    <mergeCell ref="N2045:U2045"/>
    <mergeCell ref="C2051:C2052"/>
    <mergeCell ref="F2052:K2053"/>
    <mergeCell ref="N2052:O2053"/>
    <mergeCell ref="Q2052:R2053"/>
    <mergeCell ref="T2052:U2053"/>
    <mergeCell ref="E2054:E2057"/>
    <mergeCell ref="F2054:G2055"/>
    <mergeCell ref="L2054:M2057"/>
    <mergeCell ref="N2054:O2055"/>
    <mergeCell ref="P2054:P2055"/>
    <mergeCell ref="Q2054:R2055"/>
    <mergeCell ref="S2054:S2055"/>
    <mergeCell ref="T2054:U2055"/>
    <mergeCell ref="V2054:V2057"/>
    <mergeCell ref="C2055:C2056"/>
    <mergeCell ref="F2056:K2057"/>
    <mergeCell ref="N2056:O2057"/>
    <mergeCell ref="Q2056:R2057"/>
    <mergeCell ref="T2056:U2057"/>
    <mergeCell ref="E2050:E2053"/>
    <mergeCell ref="F2050:G2051"/>
    <mergeCell ref="L2050:M2053"/>
    <mergeCell ref="N2050:O2051"/>
    <mergeCell ref="P2050:P2051"/>
    <mergeCell ref="Q2050:R2051"/>
    <mergeCell ref="S2050:S2051"/>
    <mergeCell ref="T2050:U2051"/>
    <mergeCell ref="N2072:O2073"/>
    <mergeCell ref="Q2072:R2073"/>
    <mergeCell ref="T2072:U2073"/>
    <mergeCell ref="C2059:C2060"/>
    <mergeCell ref="F2060:K2061"/>
    <mergeCell ref="N2060:O2061"/>
    <mergeCell ref="Q2060:R2061"/>
    <mergeCell ref="T2060:U2061"/>
    <mergeCell ref="E2062:E2065"/>
    <mergeCell ref="F2062:G2063"/>
    <mergeCell ref="L2062:M2065"/>
    <mergeCell ref="N2062:O2063"/>
    <mergeCell ref="P2062:P2063"/>
    <mergeCell ref="Q2062:R2063"/>
    <mergeCell ref="S2062:S2063"/>
    <mergeCell ref="T2062:U2063"/>
    <mergeCell ref="E2058:E2061"/>
    <mergeCell ref="F2058:G2059"/>
    <mergeCell ref="L2058:M2061"/>
    <mergeCell ref="N2058:O2059"/>
    <mergeCell ref="P2058:P2059"/>
    <mergeCell ref="Q2058:R2059"/>
    <mergeCell ref="S2058:S2059"/>
    <mergeCell ref="T2058:U2059"/>
    <mergeCell ref="E2070:E2073"/>
    <mergeCell ref="F2070:G2071"/>
    <mergeCell ref="L2070:M2073"/>
    <mergeCell ref="N2070:O2071"/>
    <mergeCell ref="P2070:P2071"/>
    <mergeCell ref="Q2070:R2071"/>
    <mergeCell ref="S2070:S2071"/>
    <mergeCell ref="T2070:U2071"/>
    <mergeCell ref="V2074:V2077"/>
    <mergeCell ref="V2070:V2073"/>
    <mergeCell ref="V2062:V2065"/>
    <mergeCell ref="C2063:C2064"/>
    <mergeCell ref="F2064:K2065"/>
    <mergeCell ref="N2064:O2065"/>
    <mergeCell ref="Q2064:R2065"/>
    <mergeCell ref="T2064:U2065"/>
    <mergeCell ref="E2066:E2069"/>
    <mergeCell ref="F2066:G2067"/>
    <mergeCell ref="L2066:M2069"/>
    <mergeCell ref="N2066:O2067"/>
    <mergeCell ref="P2066:P2067"/>
    <mergeCell ref="Q2066:R2067"/>
    <mergeCell ref="S2066:S2067"/>
    <mergeCell ref="T2066:U2067"/>
    <mergeCell ref="V2066:V2069"/>
    <mergeCell ref="C2067:C2068"/>
    <mergeCell ref="F2068:K2069"/>
    <mergeCell ref="N2068:O2069"/>
    <mergeCell ref="Q2068:R2069"/>
    <mergeCell ref="T2068:U2069"/>
    <mergeCell ref="C2071:C2072"/>
    <mergeCell ref="F2072:K2073"/>
    <mergeCell ref="C2075:C2076"/>
    <mergeCell ref="F2076:K2077"/>
    <mergeCell ref="N2076:O2077"/>
    <mergeCell ref="Q2076:R2077"/>
    <mergeCell ref="T2076:U2077"/>
    <mergeCell ref="E2078:E2081"/>
    <mergeCell ref="F2078:G2079"/>
    <mergeCell ref="L2078:M2081"/>
    <mergeCell ref="N2078:O2079"/>
    <mergeCell ref="P2078:P2079"/>
    <mergeCell ref="Q2078:R2079"/>
    <mergeCell ref="S2078:S2079"/>
    <mergeCell ref="T2078:U2079"/>
    <mergeCell ref="V2078:V2081"/>
    <mergeCell ref="C2079:C2080"/>
    <mergeCell ref="F2080:K2081"/>
    <mergeCell ref="N2080:O2081"/>
    <mergeCell ref="Q2080:R2081"/>
    <mergeCell ref="T2080:U2081"/>
    <mergeCell ref="E2074:E2077"/>
    <mergeCell ref="F2074:G2075"/>
    <mergeCell ref="L2074:M2077"/>
    <mergeCell ref="N2074:O2075"/>
    <mergeCell ref="P2074:P2075"/>
    <mergeCell ref="Q2074:R2075"/>
    <mergeCell ref="S2074:S2075"/>
    <mergeCell ref="T2074:U2075"/>
    <mergeCell ref="B2098:F2101"/>
    <mergeCell ref="B2108:H2108"/>
    <mergeCell ref="L2108:V2108"/>
    <mergeCell ref="O2109:P2109"/>
    <mergeCell ref="R2109:S2109"/>
    <mergeCell ref="L2111:M2111"/>
    <mergeCell ref="N2111:P2111"/>
    <mergeCell ref="Q2111:R2111"/>
    <mergeCell ref="S2111:T2111"/>
    <mergeCell ref="C2125:C2126"/>
    <mergeCell ref="F2126:K2127"/>
    <mergeCell ref="N2126:O2127"/>
    <mergeCell ref="Q2126:R2127"/>
    <mergeCell ref="T2126:U2127"/>
    <mergeCell ref="C2083:C2084"/>
    <mergeCell ref="F2084:K2085"/>
    <mergeCell ref="N2084:O2085"/>
    <mergeCell ref="Q2084:R2085"/>
    <mergeCell ref="T2084:U2085"/>
    <mergeCell ref="F2088:J2088"/>
    <mergeCell ref="F2091:J2091"/>
    <mergeCell ref="H2096:V2097"/>
    <mergeCell ref="E2082:E2085"/>
    <mergeCell ref="F2082:G2083"/>
    <mergeCell ref="L2082:M2085"/>
    <mergeCell ref="N2082:O2083"/>
    <mergeCell ref="P2082:P2083"/>
    <mergeCell ref="Q2082:R2083"/>
    <mergeCell ref="S2082:S2083"/>
    <mergeCell ref="T2082:U2083"/>
    <mergeCell ref="V2082:V2085"/>
    <mergeCell ref="E2124:E2127"/>
    <mergeCell ref="F2124:G2125"/>
    <mergeCell ref="L2124:M2127"/>
    <mergeCell ref="N2124:O2125"/>
    <mergeCell ref="P2124:P2125"/>
    <mergeCell ref="Q2124:R2125"/>
    <mergeCell ref="S2124:S2125"/>
    <mergeCell ref="T2124:U2125"/>
    <mergeCell ref="V2136:V2139"/>
    <mergeCell ref="V2128:V2131"/>
    <mergeCell ref="V2124:V2127"/>
    <mergeCell ref="B2116:F2116"/>
    <mergeCell ref="L2116:M2116"/>
    <mergeCell ref="B2122:B2123"/>
    <mergeCell ref="E2122:E2123"/>
    <mergeCell ref="F2122:G2122"/>
    <mergeCell ref="L2122:M2122"/>
    <mergeCell ref="N2122:U2122"/>
    <mergeCell ref="L2123:M2123"/>
    <mergeCell ref="N2123:U2123"/>
    <mergeCell ref="C2129:C2130"/>
    <mergeCell ref="F2130:K2131"/>
    <mergeCell ref="N2130:O2131"/>
    <mergeCell ref="Q2130:R2131"/>
    <mergeCell ref="T2130:U2131"/>
    <mergeCell ref="E2132:E2135"/>
    <mergeCell ref="F2132:G2133"/>
    <mergeCell ref="L2132:M2135"/>
    <mergeCell ref="N2132:O2133"/>
    <mergeCell ref="P2132:P2133"/>
    <mergeCell ref="Q2132:R2133"/>
    <mergeCell ref="S2132:S2133"/>
    <mergeCell ref="T2132:U2133"/>
    <mergeCell ref="V2132:V2135"/>
    <mergeCell ref="C2133:C2134"/>
    <mergeCell ref="F2134:K2135"/>
    <mergeCell ref="N2134:O2135"/>
    <mergeCell ref="Q2134:R2135"/>
    <mergeCell ref="T2134:U2135"/>
    <mergeCell ref="E2128:E2131"/>
    <mergeCell ref="F2128:G2129"/>
    <mergeCell ref="L2128:M2131"/>
    <mergeCell ref="N2128:O2129"/>
    <mergeCell ref="P2128:P2129"/>
    <mergeCell ref="Q2128:R2129"/>
    <mergeCell ref="S2128:S2129"/>
    <mergeCell ref="T2128:U2129"/>
    <mergeCell ref="N2150:O2151"/>
    <mergeCell ref="Q2150:R2151"/>
    <mergeCell ref="T2150:U2151"/>
    <mergeCell ref="C2137:C2138"/>
    <mergeCell ref="F2138:K2139"/>
    <mergeCell ref="N2138:O2139"/>
    <mergeCell ref="Q2138:R2139"/>
    <mergeCell ref="T2138:U2139"/>
    <mergeCell ref="E2140:E2143"/>
    <mergeCell ref="F2140:G2141"/>
    <mergeCell ref="L2140:M2143"/>
    <mergeCell ref="N2140:O2141"/>
    <mergeCell ref="P2140:P2141"/>
    <mergeCell ref="Q2140:R2141"/>
    <mergeCell ref="S2140:S2141"/>
    <mergeCell ref="T2140:U2141"/>
    <mergeCell ref="E2136:E2139"/>
    <mergeCell ref="F2136:G2137"/>
    <mergeCell ref="L2136:M2139"/>
    <mergeCell ref="N2136:O2137"/>
    <mergeCell ref="P2136:P2137"/>
    <mergeCell ref="Q2136:R2137"/>
    <mergeCell ref="S2136:S2137"/>
    <mergeCell ref="T2136:U2137"/>
    <mergeCell ref="E2148:E2151"/>
    <mergeCell ref="F2148:G2149"/>
    <mergeCell ref="L2148:M2151"/>
    <mergeCell ref="N2148:O2149"/>
    <mergeCell ref="P2148:P2149"/>
    <mergeCell ref="Q2148:R2149"/>
    <mergeCell ref="S2148:S2149"/>
    <mergeCell ref="T2148:U2149"/>
    <mergeCell ref="V2152:V2155"/>
    <mergeCell ref="V2148:V2151"/>
    <mergeCell ref="V2140:V2143"/>
    <mergeCell ref="C2141:C2142"/>
    <mergeCell ref="F2142:K2143"/>
    <mergeCell ref="N2142:O2143"/>
    <mergeCell ref="Q2142:R2143"/>
    <mergeCell ref="T2142:U2143"/>
    <mergeCell ref="E2144:E2147"/>
    <mergeCell ref="F2144:G2145"/>
    <mergeCell ref="L2144:M2147"/>
    <mergeCell ref="N2144:O2145"/>
    <mergeCell ref="P2144:P2145"/>
    <mergeCell ref="Q2144:R2145"/>
    <mergeCell ref="S2144:S2145"/>
    <mergeCell ref="T2144:U2145"/>
    <mergeCell ref="V2144:V2147"/>
    <mergeCell ref="C2145:C2146"/>
    <mergeCell ref="F2146:K2147"/>
    <mergeCell ref="N2146:O2147"/>
    <mergeCell ref="Q2146:R2147"/>
    <mergeCell ref="T2146:U2147"/>
    <mergeCell ref="C2149:C2150"/>
    <mergeCell ref="F2150:K2151"/>
    <mergeCell ref="C2153:C2154"/>
    <mergeCell ref="F2154:K2155"/>
    <mergeCell ref="N2154:O2155"/>
    <mergeCell ref="Q2154:R2155"/>
    <mergeCell ref="T2154:U2155"/>
    <mergeCell ref="E2156:E2159"/>
    <mergeCell ref="F2156:G2157"/>
    <mergeCell ref="L2156:M2159"/>
    <mergeCell ref="N2156:O2157"/>
    <mergeCell ref="P2156:P2157"/>
    <mergeCell ref="Q2156:R2157"/>
    <mergeCell ref="S2156:S2157"/>
    <mergeCell ref="T2156:U2157"/>
    <mergeCell ref="V2156:V2159"/>
    <mergeCell ref="C2157:C2158"/>
    <mergeCell ref="F2158:K2159"/>
    <mergeCell ref="N2158:O2159"/>
    <mergeCell ref="Q2158:R2159"/>
    <mergeCell ref="T2158:U2159"/>
    <mergeCell ref="E2152:E2155"/>
    <mergeCell ref="F2152:G2153"/>
    <mergeCell ref="L2152:M2155"/>
    <mergeCell ref="N2152:O2153"/>
    <mergeCell ref="P2152:P2153"/>
    <mergeCell ref="Q2152:R2153"/>
    <mergeCell ref="S2152:S2153"/>
    <mergeCell ref="T2152:U2153"/>
    <mergeCell ref="B2176:F2179"/>
    <mergeCell ref="B2186:H2186"/>
    <mergeCell ref="L2186:V2186"/>
    <mergeCell ref="O2187:P2187"/>
    <mergeCell ref="R2187:S2187"/>
    <mergeCell ref="L2189:M2189"/>
    <mergeCell ref="N2189:P2189"/>
    <mergeCell ref="Q2189:R2189"/>
    <mergeCell ref="S2189:T2189"/>
    <mergeCell ref="C2203:C2204"/>
    <mergeCell ref="F2204:K2205"/>
    <mergeCell ref="N2204:O2205"/>
    <mergeCell ref="Q2204:R2205"/>
    <mergeCell ref="T2204:U2205"/>
    <mergeCell ref="C2161:C2162"/>
    <mergeCell ref="F2162:K2163"/>
    <mergeCell ref="N2162:O2163"/>
    <mergeCell ref="Q2162:R2163"/>
    <mergeCell ref="T2162:U2163"/>
    <mergeCell ref="F2166:J2166"/>
    <mergeCell ref="F2169:J2169"/>
    <mergeCell ref="H2174:V2175"/>
    <mergeCell ref="E2160:E2163"/>
    <mergeCell ref="F2160:G2161"/>
    <mergeCell ref="L2160:M2163"/>
    <mergeCell ref="N2160:O2161"/>
    <mergeCell ref="P2160:P2161"/>
    <mergeCell ref="Q2160:R2161"/>
    <mergeCell ref="S2160:S2161"/>
    <mergeCell ref="T2160:U2161"/>
    <mergeCell ref="V2160:V2163"/>
    <mergeCell ref="E2202:E2205"/>
    <mergeCell ref="F2202:G2203"/>
    <mergeCell ref="L2202:M2205"/>
    <mergeCell ref="N2202:O2203"/>
    <mergeCell ref="P2202:P2203"/>
    <mergeCell ref="Q2202:R2203"/>
    <mergeCell ref="S2202:S2203"/>
    <mergeCell ref="T2202:U2203"/>
    <mergeCell ref="V2214:V2217"/>
    <mergeCell ref="V2206:V2209"/>
    <mergeCell ref="V2202:V2205"/>
    <mergeCell ref="B2194:F2194"/>
    <mergeCell ref="L2194:M2194"/>
    <mergeCell ref="B2200:B2201"/>
    <mergeCell ref="E2200:E2201"/>
    <mergeCell ref="F2200:G2200"/>
    <mergeCell ref="L2200:M2200"/>
    <mergeCell ref="N2200:U2200"/>
    <mergeCell ref="L2201:M2201"/>
    <mergeCell ref="N2201:U2201"/>
    <mergeCell ref="C2207:C2208"/>
    <mergeCell ref="F2208:K2209"/>
    <mergeCell ref="N2208:O2209"/>
    <mergeCell ref="Q2208:R2209"/>
    <mergeCell ref="T2208:U2209"/>
    <mergeCell ref="E2210:E2213"/>
    <mergeCell ref="F2210:G2211"/>
    <mergeCell ref="L2210:M2213"/>
    <mergeCell ref="N2210:O2211"/>
    <mergeCell ref="P2210:P2211"/>
    <mergeCell ref="Q2210:R2211"/>
    <mergeCell ref="S2210:S2211"/>
    <mergeCell ref="T2210:U2211"/>
    <mergeCell ref="V2210:V2213"/>
    <mergeCell ref="C2211:C2212"/>
    <mergeCell ref="F2212:K2213"/>
    <mergeCell ref="N2212:O2213"/>
    <mergeCell ref="Q2212:R2213"/>
    <mergeCell ref="T2212:U2213"/>
    <mergeCell ref="E2206:E2209"/>
    <mergeCell ref="F2206:G2207"/>
    <mergeCell ref="L2206:M2209"/>
    <mergeCell ref="N2206:O2207"/>
    <mergeCell ref="P2206:P2207"/>
    <mergeCell ref="Q2206:R2207"/>
    <mergeCell ref="S2206:S2207"/>
    <mergeCell ref="T2206:U2207"/>
    <mergeCell ref="N2228:O2229"/>
    <mergeCell ref="Q2228:R2229"/>
    <mergeCell ref="T2228:U2229"/>
    <mergeCell ref="C2215:C2216"/>
    <mergeCell ref="F2216:K2217"/>
    <mergeCell ref="N2216:O2217"/>
    <mergeCell ref="Q2216:R2217"/>
    <mergeCell ref="T2216:U2217"/>
    <mergeCell ref="E2218:E2221"/>
    <mergeCell ref="F2218:G2219"/>
    <mergeCell ref="L2218:M2221"/>
    <mergeCell ref="N2218:O2219"/>
    <mergeCell ref="P2218:P2219"/>
    <mergeCell ref="Q2218:R2219"/>
    <mergeCell ref="S2218:S2219"/>
    <mergeCell ref="T2218:U2219"/>
    <mergeCell ref="E2214:E2217"/>
    <mergeCell ref="F2214:G2215"/>
    <mergeCell ref="L2214:M2217"/>
    <mergeCell ref="N2214:O2215"/>
    <mergeCell ref="P2214:P2215"/>
    <mergeCell ref="Q2214:R2215"/>
    <mergeCell ref="S2214:S2215"/>
    <mergeCell ref="T2214:U2215"/>
    <mergeCell ref="E2226:E2229"/>
    <mergeCell ref="F2226:G2227"/>
    <mergeCell ref="L2226:M2229"/>
    <mergeCell ref="N2226:O2227"/>
    <mergeCell ref="P2226:P2227"/>
    <mergeCell ref="Q2226:R2227"/>
    <mergeCell ref="S2226:S2227"/>
    <mergeCell ref="T2226:U2227"/>
    <mergeCell ref="V2230:V2233"/>
    <mergeCell ref="V2226:V2229"/>
    <mergeCell ref="V2218:V2221"/>
    <mergeCell ref="C2219:C2220"/>
    <mergeCell ref="F2220:K2221"/>
    <mergeCell ref="N2220:O2221"/>
    <mergeCell ref="Q2220:R2221"/>
    <mergeCell ref="T2220:U2221"/>
    <mergeCell ref="E2222:E2225"/>
    <mergeCell ref="F2222:G2223"/>
    <mergeCell ref="L2222:M2225"/>
    <mergeCell ref="N2222:O2223"/>
    <mergeCell ref="P2222:P2223"/>
    <mergeCell ref="Q2222:R2223"/>
    <mergeCell ref="S2222:S2223"/>
    <mergeCell ref="T2222:U2223"/>
    <mergeCell ref="V2222:V2225"/>
    <mergeCell ref="C2223:C2224"/>
    <mergeCell ref="F2224:K2225"/>
    <mergeCell ref="N2224:O2225"/>
    <mergeCell ref="Q2224:R2225"/>
    <mergeCell ref="T2224:U2225"/>
    <mergeCell ref="C2227:C2228"/>
    <mergeCell ref="F2228:K2229"/>
    <mergeCell ref="C2231:C2232"/>
    <mergeCell ref="F2232:K2233"/>
    <mergeCell ref="N2232:O2233"/>
    <mergeCell ref="Q2232:R2233"/>
    <mergeCell ref="T2232:U2233"/>
    <mergeCell ref="E2234:E2237"/>
    <mergeCell ref="F2234:G2235"/>
    <mergeCell ref="L2234:M2237"/>
    <mergeCell ref="N2234:O2235"/>
    <mergeCell ref="P2234:P2235"/>
    <mergeCell ref="Q2234:R2235"/>
    <mergeCell ref="S2234:S2235"/>
    <mergeCell ref="T2234:U2235"/>
    <mergeCell ref="V2234:V2237"/>
    <mergeCell ref="C2235:C2236"/>
    <mergeCell ref="F2236:K2237"/>
    <mergeCell ref="N2236:O2237"/>
    <mergeCell ref="Q2236:R2237"/>
    <mergeCell ref="T2236:U2237"/>
    <mergeCell ref="E2230:E2233"/>
    <mergeCell ref="F2230:G2231"/>
    <mergeCell ref="L2230:M2233"/>
    <mergeCell ref="N2230:O2231"/>
    <mergeCell ref="P2230:P2231"/>
    <mergeCell ref="Q2230:R2231"/>
    <mergeCell ref="S2230:S2231"/>
    <mergeCell ref="T2230:U2231"/>
    <mergeCell ref="B2254:F2257"/>
    <mergeCell ref="B2264:H2264"/>
    <mergeCell ref="L2264:V2264"/>
    <mergeCell ref="O2265:P2265"/>
    <mergeCell ref="R2265:S2265"/>
    <mergeCell ref="L2267:M2267"/>
    <mergeCell ref="N2267:P2267"/>
    <mergeCell ref="Q2267:R2267"/>
    <mergeCell ref="S2267:T2267"/>
    <mergeCell ref="C2281:C2282"/>
    <mergeCell ref="F2282:K2283"/>
    <mergeCell ref="N2282:O2283"/>
    <mergeCell ref="Q2282:R2283"/>
    <mergeCell ref="T2282:U2283"/>
    <mergeCell ref="C2239:C2240"/>
    <mergeCell ref="F2240:K2241"/>
    <mergeCell ref="N2240:O2241"/>
    <mergeCell ref="Q2240:R2241"/>
    <mergeCell ref="T2240:U2241"/>
    <mergeCell ref="F2244:J2244"/>
    <mergeCell ref="F2247:J2247"/>
    <mergeCell ref="H2252:V2253"/>
    <mergeCell ref="E2238:E2241"/>
    <mergeCell ref="F2238:G2239"/>
    <mergeCell ref="L2238:M2241"/>
    <mergeCell ref="N2238:O2239"/>
    <mergeCell ref="P2238:P2239"/>
    <mergeCell ref="Q2238:R2239"/>
    <mergeCell ref="S2238:S2239"/>
    <mergeCell ref="T2238:U2239"/>
    <mergeCell ref="V2238:V2241"/>
    <mergeCell ref="E2280:E2283"/>
    <mergeCell ref="F2280:G2281"/>
    <mergeCell ref="L2280:M2283"/>
    <mergeCell ref="N2280:O2281"/>
    <mergeCell ref="P2280:P2281"/>
    <mergeCell ref="Q2280:R2281"/>
    <mergeCell ref="S2280:S2281"/>
    <mergeCell ref="T2280:U2281"/>
    <mergeCell ref="V2292:V2295"/>
    <mergeCell ref="V2284:V2287"/>
    <mergeCell ref="V2280:V2283"/>
    <mergeCell ref="B2272:F2272"/>
    <mergeCell ref="L2272:M2272"/>
    <mergeCell ref="B2278:B2279"/>
    <mergeCell ref="E2278:E2279"/>
    <mergeCell ref="F2278:G2278"/>
    <mergeCell ref="L2278:M2278"/>
    <mergeCell ref="N2278:U2278"/>
    <mergeCell ref="L2279:M2279"/>
    <mergeCell ref="N2279:U2279"/>
    <mergeCell ref="C2285:C2286"/>
    <mergeCell ref="F2286:K2287"/>
    <mergeCell ref="N2286:O2287"/>
    <mergeCell ref="Q2286:R2287"/>
    <mergeCell ref="T2286:U2287"/>
    <mergeCell ref="E2288:E2291"/>
    <mergeCell ref="F2288:G2289"/>
    <mergeCell ref="L2288:M2291"/>
    <mergeCell ref="N2288:O2289"/>
    <mergeCell ref="P2288:P2289"/>
    <mergeCell ref="Q2288:R2289"/>
    <mergeCell ref="S2288:S2289"/>
    <mergeCell ref="T2288:U2289"/>
    <mergeCell ref="E2284:E2287"/>
    <mergeCell ref="F2284:G2285"/>
    <mergeCell ref="L2284:M2287"/>
    <mergeCell ref="N2284:O2285"/>
    <mergeCell ref="P2284:P2285"/>
    <mergeCell ref="Q2284:R2285"/>
    <mergeCell ref="S2284:S2285"/>
    <mergeCell ref="T2284:U2285"/>
    <mergeCell ref="N2306:O2307"/>
    <mergeCell ref="Q2306:R2307"/>
    <mergeCell ref="T2306:U2307"/>
    <mergeCell ref="C2293:C2294"/>
    <mergeCell ref="F2294:K2295"/>
    <mergeCell ref="N2294:O2295"/>
    <mergeCell ref="Q2294:R2295"/>
    <mergeCell ref="T2294:U2295"/>
    <mergeCell ref="E2296:E2299"/>
    <mergeCell ref="F2296:G2297"/>
    <mergeCell ref="L2296:M2299"/>
    <mergeCell ref="N2296:O2297"/>
    <mergeCell ref="P2296:P2297"/>
    <mergeCell ref="Q2296:R2297"/>
    <mergeCell ref="S2296:S2297"/>
    <mergeCell ref="N2292:O2293"/>
    <mergeCell ref="P2292:P2293"/>
    <mergeCell ref="Q2292:R2293"/>
    <mergeCell ref="C2297:C2298"/>
    <mergeCell ref="F2298:K2299"/>
    <mergeCell ref="N2298:O2299"/>
    <mergeCell ref="Q2298:R2299"/>
    <mergeCell ref="T2298:U2299"/>
    <mergeCell ref="E2300:E2303"/>
    <mergeCell ref="F2300:G2301"/>
    <mergeCell ref="L2300:M2303"/>
    <mergeCell ref="N2300:O2301"/>
    <mergeCell ref="P2300:P2301"/>
    <mergeCell ref="Q2300:R2301"/>
    <mergeCell ref="S2300:S2301"/>
    <mergeCell ref="T2300:U2301"/>
    <mergeCell ref="V2300:V2303"/>
    <mergeCell ref="C2301:C2302"/>
    <mergeCell ref="F2302:K2303"/>
    <mergeCell ref="V2288:V2291"/>
    <mergeCell ref="C2289:C2290"/>
    <mergeCell ref="F2290:K2291"/>
    <mergeCell ref="N2290:O2291"/>
    <mergeCell ref="Q2290:R2291"/>
    <mergeCell ref="T2290:U2291"/>
    <mergeCell ref="F2314:K2315"/>
    <mergeCell ref="N2314:O2315"/>
    <mergeCell ref="Q2314:R2315"/>
    <mergeCell ref="S2292:S2293"/>
    <mergeCell ref="T2292:U2293"/>
    <mergeCell ref="E2304:E2307"/>
    <mergeCell ref="F2304:G2305"/>
    <mergeCell ref="L2304:M2307"/>
    <mergeCell ref="N2304:O2305"/>
    <mergeCell ref="P2304:P2305"/>
    <mergeCell ref="Q2304:R2305"/>
    <mergeCell ref="S2304:S2305"/>
    <mergeCell ref="T2304:U2305"/>
    <mergeCell ref="T2296:U2297"/>
    <mergeCell ref="E2292:E2295"/>
    <mergeCell ref="F2292:G2293"/>
    <mergeCell ref="V2308:V2311"/>
    <mergeCell ref="V2304:V2307"/>
    <mergeCell ref="V2296:V2299"/>
    <mergeCell ref="Q2318:R2319"/>
    <mergeCell ref="T2318:U2319"/>
    <mergeCell ref="F2322:J2322"/>
    <mergeCell ref="N2302:O2303"/>
    <mergeCell ref="Q2302:R2303"/>
    <mergeCell ref="T2302:U2303"/>
    <mergeCell ref="F2316:G2317"/>
    <mergeCell ref="L2316:M2319"/>
    <mergeCell ref="N2316:O2317"/>
    <mergeCell ref="P2316:P2317"/>
    <mergeCell ref="Q2316:R2317"/>
    <mergeCell ref="S2316:S2317"/>
    <mergeCell ref="T2316:U2317"/>
    <mergeCell ref="V2316:V2319"/>
    <mergeCell ref="F2327:J2328"/>
    <mergeCell ref="C2305:C2306"/>
    <mergeCell ref="F2306:K2307"/>
    <mergeCell ref="C2309:C2310"/>
    <mergeCell ref="F2310:K2311"/>
    <mergeCell ref="N2310:O2311"/>
    <mergeCell ref="Q2310:R2311"/>
    <mergeCell ref="T2310:U2311"/>
    <mergeCell ref="E2312:E2315"/>
    <mergeCell ref="F2312:G2313"/>
    <mergeCell ref="L2312:M2315"/>
    <mergeCell ref="N2312:O2313"/>
    <mergeCell ref="P2312:P2313"/>
    <mergeCell ref="Q2312:R2313"/>
    <mergeCell ref="S2312:S2313"/>
    <mergeCell ref="T2312:U2313"/>
    <mergeCell ref="V2312:V2315"/>
    <mergeCell ref="C2313:C2314"/>
    <mergeCell ref="N2308:O2309"/>
    <mergeCell ref="P2308:P2309"/>
    <mergeCell ref="Q2308:R2309"/>
    <mergeCell ref="T2314:U2315"/>
    <mergeCell ref="E2308:E2311"/>
    <mergeCell ref="F2308:G2309"/>
    <mergeCell ref="B2332:F2335"/>
    <mergeCell ref="X14:X15"/>
    <mergeCell ref="X92:X93"/>
    <mergeCell ref="X170:X171"/>
    <mergeCell ref="X248:X249"/>
    <mergeCell ref="X326:X327"/>
    <mergeCell ref="X404:X405"/>
    <mergeCell ref="X482:X483"/>
    <mergeCell ref="X560:X561"/>
    <mergeCell ref="X638:X639"/>
    <mergeCell ref="X716:X717"/>
    <mergeCell ref="X794:X795"/>
    <mergeCell ref="X872:X873"/>
    <mergeCell ref="X950:X951"/>
    <mergeCell ref="X1028:X1029"/>
    <mergeCell ref="X1106:X1107"/>
    <mergeCell ref="X1184:X1185"/>
    <mergeCell ref="X1262:X1263"/>
    <mergeCell ref="X1340:X1341"/>
    <mergeCell ref="X1418:X1419"/>
    <mergeCell ref="X1496:X1497"/>
    <mergeCell ref="X1574:X1575"/>
    <mergeCell ref="X1652:X1653"/>
    <mergeCell ref="C2317:C2318"/>
    <mergeCell ref="F2318:K2319"/>
    <mergeCell ref="N2318:O2319"/>
    <mergeCell ref="S2308:S2309"/>
    <mergeCell ref="T2308:U2309"/>
    <mergeCell ref="L2292:M2295"/>
    <mergeCell ref="F2325:J2325"/>
    <mergeCell ref="H2330:V2331"/>
    <mergeCell ref="E2316:E2319"/>
    <mergeCell ref="H1794:V1794"/>
    <mergeCell ref="H1872:V1872"/>
    <mergeCell ref="H1950:V1950"/>
    <mergeCell ref="H2028:V2028"/>
    <mergeCell ref="H2106:V2106"/>
    <mergeCell ref="H2184:V2184"/>
    <mergeCell ref="H2262:V2262"/>
    <mergeCell ref="H2340:V2340"/>
    <mergeCell ref="H468:V468"/>
    <mergeCell ref="H546:V546"/>
    <mergeCell ref="H624:V624"/>
    <mergeCell ref="H702:V702"/>
    <mergeCell ref="H780:V780"/>
    <mergeCell ref="H858:V858"/>
    <mergeCell ref="H936:V936"/>
    <mergeCell ref="H1014:V1014"/>
    <mergeCell ref="H1092:V1092"/>
    <mergeCell ref="H1170:V1170"/>
    <mergeCell ref="H1248:V1248"/>
    <mergeCell ref="H1326:V1326"/>
    <mergeCell ref="H1404:V1404"/>
    <mergeCell ref="H1482:V1482"/>
    <mergeCell ref="H1560:V1560"/>
    <mergeCell ref="H1638:V1638"/>
    <mergeCell ref="H1716:V1716"/>
    <mergeCell ref="L2308:M2311"/>
  </mergeCells>
  <pageMargins left="0.47244094488188981" right="0.27559055118110237" top="0.23622047244094491" bottom="0.27559055118110237" header="0.19685039370078741" footer="0.31496062992125984"/>
  <pageSetup paperSize="9" scale="88" orientation="portrait" horizontalDpi="4294967293" verticalDpi="0" r:id="rId1"/>
  <rowBreaks count="29" manualBreakCount="29">
    <brk id="79" min="1" max="21" man="1"/>
    <brk id="157" min="1" max="21" man="1"/>
    <brk id="235" min="1" max="21" man="1"/>
    <brk id="313" min="1" max="21" man="1"/>
    <brk id="391" min="1" max="21" man="1"/>
    <brk id="469" min="1" max="21" man="1"/>
    <brk id="547" min="1" max="21" man="1"/>
    <brk id="625" min="1" max="21" man="1"/>
    <brk id="703" min="1" max="21" man="1"/>
    <brk id="781" min="1" max="21" man="1"/>
    <brk id="859" min="1" max="21" man="1"/>
    <brk id="937" min="1" max="21" man="1"/>
    <brk id="1015" min="1" max="21" man="1"/>
    <brk id="1093" min="1" max="21" man="1"/>
    <brk id="1171" min="1" max="21" man="1"/>
    <brk id="1249" min="1" max="21" man="1"/>
    <brk id="1327" min="1" max="21" man="1"/>
    <brk id="1405" min="1" max="21" man="1"/>
    <brk id="1483" min="1" max="21" man="1"/>
    <brk id="1561" min="1" max="21" man="1"/>
    <brk id="1639" min="1" max="21" man="1"/>
    <brk id="1717" min="1" max="21" man="1"/>
    <brk id="1795" min="1" max="21" man="1"/>
    <brk id="1873" min="1" max="21" man="1"/>
    <brk id="1951" min="1" max="21" man="1"/>
    <brk id="2029" min="1" max="21" man="1"/>
    <brk id="2107" min="1" max="21" man="1"/>
    <brk id="2185" min="1" max="21" man="1"/>
    <brk id="2263" min="1" max="21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31A-4093-4B41-AF8D-F11DED8EA9C2}">
  <sheetPr>
    <tabColor rgb="FF00B0F0"/>
  </sheetPr>
  <dimension ref="A1:P43"/>
  <sheetViews>
    <sheetView workbookViewId="0">
      <selection activeCell="C11" sqref="C11"/>
    </sheetView>
  </sheetViews>
  <sheetFormatPr defaultRowHeight="13.8" x14ac:dyDescent="0.25"/>
  <cols>
    <col min="1" max="1" width="5.77734375" style="93" customWidth="1"/>
    <col min="2" max="2" width="36.88671875" style="93" customWidth="1"/>
    <col min="3" max="3" width="20.109375" style="81" customWidth="1"/>
    <col min="4" max="4" width="8.5546875" style="93" customWidth="1"/>
    <col min="5" max="5" width="8.6640625" style="93" customWidth="1"/>
    <col min="6" max="6" width="6.6640625" style="93" customWidth="1"/>
    <col min="7" max="8" width="4.44140625" style="93" customWidth="1"/>
    <col min="9" max="9" width="9.6640625" style="96" customWidth="1"/>
    <col min="10" max="10" width="15" style="93" customWidth="1"/>
    <col min="11" max="11" width="15.5546875" style="93" customWidth="1"/>
    <col min="12" max="12" width="10" style="93" customWidth="1"/>
    <col min="13" max="13" width="10.77734375" style="93" customWidth="1"/>
    <col min="14" max="14" width="15" style="80" customWidth="1"/>
    <col min="15" max="15" width="4.109375" style="65" customWidth="1"/>
    <col min="16" max="16" width="32.21875" style="65" customWidth="1"/>
    <col min="17" max="16384" width="8.88671875" style="65"/>
  </cols>
  <sheetData>
    <row r="1" spans="1:16" s="129" customFormat="1" ht="18" customHeight="1" x14ac:dyDescent="0.25">
      <c r="A1" s="127" t="s">
        <v>63</v>
      </c>
      <c r="B1" s="127"/>
      <c r="C1" s="133" t="s">
        <v>228</v>
      </c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8" t="s">
        <v>64</v>
      </c>
    </row>
    <row r="2" spans="1:16" s="129" customFormat="1" ht="18" customHeight="1" x14ac:dyDescent="0.25">
      <c r="A2" s="130" t="s">
        <v>65</v>
      </c>
      <c r="B2" s="131"/>
      <c r="C2" s="134" t="s">
        <v>227</v>
      </c>
      <c r="D2" s="130"/>
      <c r="E2" s="130"/>
      <c r="F2" s="130"/>
      <c r="G2" s="130"/>
      <c r="H2" s="130"/>
      <c r="I2" s="131"/>
      <c r="J2" s="130"/>
      <c r="K2" s="130"/>
      <c r="L2" s="130"/>
      <c r="M2" s="130"/>
      <c r="N2" s="135">
        <v>46038.302245370367</v>
      </c>
    </row>
    <row r="3" spans="1:16" ht="42.6" customHeight="1" x14ac:dyDescent="0.25">
      <c r="A3" s="97" t="s">
        <v>0</v>
      </c>
      <c r="B3" s="97" t="s">
        <v>66</v>
      </c>
      <c r="C3" s="97" t="s">
        <v>67</v>
      </c>
      <c r="D3" s="97" t="s">
        <v>11</v>
      </c>
      <c r="E3" s="97" t="s">
        <v>68</v>
      </c>
      <c r="F3" s="136" t="s">
        <v>92</v>
      </c>
      <c r="G3" s="136"/>
      <c r="H3" s="136"/>
      <c r="I3" s="97" t="s">
        <v>69</v>
      </c>
      <c r="J3" s="97" t="s">
        <v>70</v>
      </c>
      <c r="K3" s="97" t="s">
        <v>71</v>
      </c>
      <c r="L3" s="97" t="s">
        <v>72</v>
      </c>
      <c r="M3" s="97" t="s">
        <v>73</v>
      </c>
      <c r="N3" s="97" t="s">
        <v>74</v>
      </c>
      <c r="P3" s="71" t="s">
        <v>103</v>
      </c>
    </row>
    <row r="4" spans="1:16" ht="13.95" customHeight="1" x14ac:dyDescent="0.25">
      <c r="A4" s="98"/>
      <c r="B4" s="98"/>
      <c r="C4" s="104"/>
      <c r="D4" s="98"/>
      <c r="E4" s="98"/>
      <c r="F4" s="98"/>
      <c r="G4" s="98"/>
      <c r="H4" s="98"/>
      <c r="I4" s="116"/>
      <c r="J4" s="98"/>
      <c r="K4" s="98"/>
      <c r="L4" s="98"/>
      <c r="M4" s="98"/>
      <c r="N4" s="99"/>
    </row>
    <row r="5" spans="1:16" ht="18.3" customHeight="1" x14ac:dyDescent="0.25">
      <c r="A5" s="98"/>
      <c r="B5" s="100" t="s">
        <v>224</v>
      </c>
      <c r="C5" s="104"/>
      <c r="D5" s="98"/>
      <c r="E5" s="98"/>
      <c r="F5" s="98"/>
      <c r="G5" s="98"/>
      <c r="H5" s="98"/>
      <c r="I5" s="116"/>
      <c r="J5" s="98"/>
      <c r="K5" s="98"/>
      <c r="L5" s="98"/>
      <c r="M5" s="98"/>
      <c r="N5" s="99"/>
      <c r="P5" s="137" t="s">
        <v>243</v>
      </c>
    </row>
    <row r="6" spans="1:16" s="78" customFormat="1" ht="16.2" customHeight="1" x14ac:dyDescent="0.25">
      <c r="A6" s="101">
        <v>1</v>
      </c>
      <c r="B6" s="102" t="s">
        <v>109</v>
      </c>
      <c r="C6" s="104" t="s">
        <v>114</v>
      </c>
      <c r="D6" s="102" t="s">
        <v>26</v>
      </c>
      <c r="E6" s="103">
        <v>31.7</v>
      </c>
      <c r="F6" s="104">
        <v>1994</v>
      </c>
      <c r="G6" s="104" t="s">
        <v>93</v>
      </c>
      <c r="H6" s="104" t="s">
        <v>95</v>
      </c>
      <c r="I6" s="117" t="s">
        <v>225</v>
      </c>
      <c r="J6" s="102" t="s">
        <v>119</v>
      </c>
      <c r="K6" s="102" t="s">
        <v>120</v>
      </c>
      <c r="L6" s="102" t="s">
        <v>121</v>
      </c>
      <c r="M6" s="102" t="s">
        <v>77</v>
      </c>
      <c r="N6" s="105" t="s">
        <v>104</v>
      </c>
      <c r="P6" s="138"/>
    </row>
    <row r="7" spans="1:16" s="78" customFormat="1" ht="16.2" customHeight="1" x14ac:dyDescent="0.25">
      <c r="A7" s="101">
        <v>2</v>
      </c>
      <c r="B7" s="102" t="s">
        <v>110</v>
      </c>
      <c r="C7" s="104" t="s">
        <v>115</v>
      </c>
      <c r="D7" s="102" t="s">
        <v>26</v>
      </c>
      <c r="E7" s="103">
        <v>31.7</v>
      </c>
      <c r="F7" s="104">
        <v>1994</v>
      </c>
      <c r="G7" s="104" t="s">
        <v>93</v>
      </c>
      <c r="H7" s="104" t="s">
        <v>95</v>
      </c>
      <c r="I7" s="117" t="s">
        <v>225</v>
      </c>
      <c r="J7" s="102" t="s">
        <v>119</v>
      </c>
      <c r="K7" s="102" t="s">
        <v>120</v>
      </c>
      <c r="L7" s="102" t="s">
        <v>121</v>
      </c>
      <c r="M7" s="102" t="s">
        <v>77</v>
      </c>
      <c r="N7" s="105" t="s">
        <v>104</v>
      </c>
      <c r="P7" s="138"/>
    </row>
    <row r="8" spans="1:16" s="78" customFormat="1" ht="16.2" customHeight="1" x14ac:dyDescent="0.25">
      <c r="A8" s="101">
        <v>3</v>
      </c>
      <c r="B8" s="102" t="s">
        <v>111</v>
      </c>
      <c r="C8" s="104" t="s">
        <v>116</v>
      </c>
      <c r="D8" s="102" t="s">
        <v>26</v>
      </c>
      <c r="E8" s="103">
        <v>21.6</v>
      </c>
      <c r="F8" s="104">
        <v>2004</v>
      </c>
      <c r="G8" s="104" t="s">
        <v>99</v>
      </c>
      <c r="H8" s="104" t="s">
        <v>101</v>
      </c>
      <c r="I8" s="117" t="s">
        <v>225</v>
      </c>
      <c r="J8" s="102" t="s">
        <v>119</v>
      </c>
      <c r="K8" s="102" t="s">
        <v>120</v>
      </c>
      <c r="L8" s="102" t="s">
        <v>121</v>
      </c>
      <c r="M8" s="102" t="s">
        <v>77</v>
      </c>
      <c r="N8" s="105" t="s">
        <v>104</v>
      </c>
      <c r="P8" s="138"/>
    </row>
    <row r="9" spans="1:16" s="78" customFormat="1" ht="16.2" customHeight="1" x14ac:dyDescent="0.25">
      <c r="A9" s="101">
        <v>4</v>
      </c>
      <c r="B9" s="102" t="s">
        <v>112</v>
      </c>
      <c r="C9" s="104" t="s">
        <v>117</v>
      </c>
      <c r="D9" s="102" t="s">
        <v>26</v>
      </c>
      <c r="E9" s="103">
        <v>26.76</v>
      </c>
      <c r="F9" s="104">
        <v>1999</v>
      </c>
      <c r="G9" s="104" t="s">
        <v>100</v>
      </c>
      <c r="H9" s="104" t="s">
        <v>96</v>
      </c>
      <c r="I9" s="117" t="s">
        <v>225</v>
      </c>
      <c r="J9" s="102" t="s">
        <v>119</v>
      </c>
      <c r="K9" s="102" t="s">
        <v>120</v>
      </c>
      <c r="L9" s="102" t="s">
        <v>121</v>
      </c>
      <c r="M9" s="102" t="s">
        <v>77</v>
      </c>
      <c r="N9" s="105" t="s">
        <v>104</v>
      </c>
      <c r="P9" s="138"/>
    </row>
    <row r="10" spans="1:16" s="78" customFormat="1" ht="16.2" customHeight="1" x14ac:dyDescent="0.25">
      <c r="A10" s="101">
        <v>5</v>
      </c>
      <c r="B10" s="102" t="s">
        <v>113</v>
      </c>
      <c r="C10" s="104" t="s">
        <v>118</v>
      </c>
      <c r="D10" s="102" t="s">
        <v>26</v>
      </c>
      <c r="E10" s="103">
        <v>21.6</v>
      </c>
      <c r="F10" s="104">
        <v>2004</v>
      </c>
      <c r="G10" s="104" t="s">
        <v>99</v>
      </c>
      <c r="H10" s="104" t="s">
        <v>101</v>
      </c>
      <c r="I10" s="117" t="s">
        <v>225</v>
      </c>
      <c r="J10" s="102" t="s">
        <v>119</v>
      </c>
      <c r="K10" s="102" t="s">
        <v>120</v>
      </c>
      <c r="L10" s="102" t="s">
        <v>121</v>
      </c>
      <c r="M10" s="102" t="s">
        <v>77</v>
      </c>
      <c r="N10" s="105" t="s">
        <v>104</v>
      </c>
      <c r="P10" s="138"/>
    </row>
    <row r="11" spans="1:16" s="78" customFormat="1" ht="16.2" customHeight="1" x14ac:dyDescent="0.25">
      <c r="A11" s="104">
        <v>6</v>
      </c>
      <c r="B11" s="102" t="s">
        <v>122</v>
      </c>
      <c r="C11" s="104" t="s">
        <v>127</v>
      </c>
      <c r="D11" s="102" t="s">
        <v>26</v>
      </c>
      <c r="E11" s="103">
        <v>49.75</v>
      </c>
      <c r="F11" s="104">
        <v>1976</v>
      </c>
      <c r="G11" s="104" t="s">
        <v>100</v>
      </c>
      <c r="H11" s="104">
        <v>19</v>
      </c>
      <c r="I11" s="117" t="s">
        <v>225</v>
      </c>
      <c r="J11" s="102" t="s">
        <v>119</v>
      </c>
      <c r="K11" s="102" t="s">
        <v>120</v>
      </c>
      <c r="L11" s="102" t="s">
        <v>121</v>
      </c>
      <c r="M11" s="102" t="s">
        <v>77</v>
      </c>
      <c r="N11" s="105" t="s">
        <v>104</v>
      </c>
      <c r="P11" s="138"/>
    </row>
    <row r="12" spans="1:16" s="78" customFormat="1" ht="16.2" customHeight="1" x14ac:dyDescent="0.25">
      <c r="A12" s="104">
        <v>7</v>
      </c>
      <c r="B12" s="102" t="s">
        <v>123</v>
      </c>
      <c r="C12" s="104" t="s">
        <v>128</v>
      </c>
      <c r="D12" s="102" t="s">
        <v>26</v>
      </c>
      <c r="E12" s="103">
        <v>52.7</v>
      </c>
      <c r="F12" s="104">
        <v>1973</v>
      </c>
      <c r="G12" s="104" t="s">
        <v>93</v>
      </c>
      <c r="H12" s="104" t="s">
        <v>99</v>
      </c>
      <c r="I12" s="117" t="s">
        <v>225</v>
      </c>
      <c r="J12" s="102" t="s">
        <v>119</v>
      </c>
      <c r="K12" s="102" t="s">
        <v>226</v>
      </c>
      <c r="L12" s="102" t="s">
        <v>121</v>
      </c>
      <c r="M12" s="102" t="s">
        <v>77</v>
      </c>
      <c r="N12" s="105" t="s">
        <v>104</v>
      </c>
      <c r="P12" s="138"/>
    </row>
    <row r="13" spans="1:16" s="78" customFormat="1" ht="16.2" customHeight="1" x14ac:dyDescent="0.25">
      <c r="A13" s="104">
        <v>8</v>
      </c>
      <c r="B13" s="102" t="s">
        <v>124</v>
      </c>
      <c r="C13" s="104" t="s">
        <v>129</v>
      </c>
      <c r="D13" s="102" t="s">
        <v>26</v>
      </c>
      <c r="E13" s="103">
        <v>31.7</v>
      </c>
      <c r="F13" s="104">
        <v>1994</v>
      </c>
      <c r="G13" s="104" t="s">
        <v>93</v>
      </c>
      <c r="H13" s="104" t="s">
        <v>95</v>
      </c>
      <c r="I13" s="117" t="s">
        <v>225</v>
      </c>
      <c r="J13" s="102" t="s">
        <v>119</v>
      </c>
      <c r="K13" s="102" t="s">
        <v>120</v>
      </c>
      <c r="L13" s="102" t="s">
        <v>121</v>
      </c>
      <c r="M13" s="102" t="s">
        <v>77</v>
      </c>
      <c r="N13" s="105" t="s">
        <v>104</v>
      </c>
      <c r="P13" s="138"/>
    </row>
    <row r="14" spans="1:16" s="78" customFormat="1" ht="16.2" customHeight="1" x14ac:dyDescent="0.25">
      <c r="A14" s="104">
        <v>9</v>
      </c>
      <c r="B14" s="102" t="s">
        <v>125</v>
      </c>
      <c r="C14" s="104" t="s">
        <v>130</v>
      </c>
      <c r="D14" s="102" t="s">
        <v>26</v>
      </c>
      <c r="E14" s="103">
        <v>21.6</v>
      </c>
      <c r="F14" s="104">
        <v>2004</v>
      </c>
      <c r="G14" s="104" t="s">
        <v>99</v>
      </c>
      <c r="H14" s="104" t="s">
        <v>101</v>
      </c>
      <c r="I14" s="117" t="s">
        <v>225</v>
      </c>
      <c r="J14" s="102" t="s">
        <v>119</v>
      </c>
      <c r="K14" s="102" t="s">
        <v>120</v>
      </c>
      <c r="L14" s="102" t="s">
        <v>121</v>
      </c>
      <c r="M14" s="102" t="s">
        <v>77</v>
      </c>
      <c r="N14" s="105" t="s">
        <v>104</v>
      </c>
      <c r="P14" s="138"/>
    </row>
    <row r="15" spans="1:16" s="78" customFormat="1" ht="16.2" customHeight="1" x14ac:dyDescent="0.25">
      <c r="A15" s="104">
        <v>10</v>
      </c>
      <c r="B15" s="102" t="s">
        <v>126</v>
      </c>
      <c r="C15" s="104" t="s">
        <v>131</v>
      </c>
      <c r="D15" s="102" t="s">
        <v>26</v>
      </c>
      <c r="E15" s="103">
        <v>26.76</v>
      </c>
      <c r="F15" s="104">
        <v>1999</v>
      </c>
      <c r="G15" s="104" t="s">
        <v>100</v>
      </c>
      <c r="H15" s="104" t="s">
        <v>96</v>
      </c>
      <c r="I15" s="117" t="s">
        <v>225</v>
      </c>
      <c r="J15" s="102" t="s">
        <v>119</v>
      </c>
      <c r="K15" s="102" t="s">
        <v>120</v>
      </c>
      <c r="L15" s="102" t="s">
        <v>121</v>
      </c>
      <c r="M15" s="102" t="s">
        <v>77</v>
      </c>
      <c r="N15" s="105" t="s">
        <v>104</v>
      </c>
      <c r="P15" s="94"/>
    </row>
    <row r="16" spans="1:16" s="78" customFormat="1" ht="16.2" customHeight="1" x14ac:dyDescent="0.25">
      <c r="A16" s="104">
        <v>11</v>
      </c>
      <c r="B16" s="102" t="s">
        <v>133</v>
      </c>
      <c r="C16" s="104" t="s">
        <v>148</v>
      </c>
      <c r="D16" s="102" t="s">
        <v>26</v>
      </c>
      <c r="E16" s="103">
        <v>26.76</v>
      </c>
      <c r="F16" s="104">
        <v>1999</v>
      </c>
      <c r="G16" s="104" t="s">
        <v>100</v>
      </c>
      <c r="H16" s="104" t="s">
        <v>96</v>
      </c>
      <c r="I16" s="117" t="s">
        <v>225</v>
      </c>
      <c r="J16" s="102" t="s">
        <v>119</v>
      </c>
      <c r="K16" s="102" t="s">
        <v>120</v>
      </c>
      <c r="L16" s="102" t="s">
        <v>121</v>
      </c>
      <c r="M16" s="102" t="s">
        <v>77</v>
      </c>
      <c r="N16" s="105" t="s">
        <v>104</v>
      </c>
      <c r="P16" s="95" t="s">
        <v>198</v>
      </c>
    </row>
    <row r="17" spans="1:16" s="78" customFormat="1" ht="16.2" customHeight="1" x14ac:dyDescent="0.25">
      <c r="A17" s="104">
        <v>12</v>
      </c>
      <c r="B17" s="102" t="s">
        <v>134</v>
      </c>
      <c r="C17" s="104" t="s">
        <v>149</v>
      </c>
      <c r="D17" s="102" t="s">
        <v>26</v>
      </c>
      <c r="E17" s="103">
        <v>49.75</v>
      </c>
      <c r="F17" s="104">
        <v>1976</v>
      </c>
      <c r="G17" s="104" t="s">
        <v>100</v>
      </c>
      <c r="H17" s="104">
        <v>19</v>
      </c>
      <c r="I17" s="117" t="s">
        <v>225</v>
      </c>
      <c r="J17" s="102" t="s">
        <v>119</v>
      </c>
      <c r="K17" s="102" t="s">
        <v>120</v>
      </c>
      <c r="L17" s="102" t="s">
        <v>121</v>
      </c>
      <c r="M17" s="102" t="s">
        <v>77</v>
      </c>
      <c r="N17" s="105" t="s">
        <v>104</v>
      </c>
    </row>
    <row r="18" spans="1:16" s="78" customFormat="1" ht="16.2" customHeight="1" x14ac:dyDescent="0.25">
      <c r="A18" s="104">
        <v>13</v>
      </c>
      <c r="B18" s="102" t="s">
        <v>135</v>
      </c>
      <c r="C18" s="104" t="s">
        <v>150</v>
      </c>
      <c r="D18" s="102" t="s">
        <v>26</v>
      </c>
      <c r="E18" s="103">
        <v>31.7</v>
      </c>
      <c r="F18" s="104">
        <v>1994</v>
      </c>
      <c r="G18" s="104" t="s">
        <v>93</v>
      </c>
      <c r="H18" s="104" t="s">
        <v>95</v>
      </c>
      <c r="I18" s="117" t="s">
        <v>225</v>
      </c>
      <c r="J18" s="102" t="s">
        <v>119</v>
      </c>
      <c r="K18" s="102" t="s">
        <v>120</v>
      </c>
      <c r="L18" s="102" t="s">
        <v>121</v>
      </c>
      <c r="M18" s="102" t="s">
        <v>77</v>
      </c>
      <c r="N18" s="105" t="s">
        <v>104</v>
      </c>
      <c r="P18" s="105" t="s">
        <v>104</v>
      </c>
    </row>
    <row r="19" spans="1:16" s="78" customFormat="1" ht="16.2" customHeight="1" x14ac:dyDescent="0.25">
      <c r="A19" s="104">
        <v>14</v>
      </c>
      <c r="B19" s="102" t="s">
        <v>136</v>
      </c>
      <c r="C19" s="104" t="s">
        <v>151</v>
      </c>
      <c r="D19" s="102" t="s">
        <v>26</v>
      </c>
      <c r="E19" s="103">
        <v>49.75</v>
      </c>
      <c r="F19" s="104">
        <v>1976</v>
      </c>
      <c r="G19" s="104" t="s">
        <v>100</v>
      </c>
      <c r="H19" s="104">
        <v>19</v>
      </c>
      <c r="I19" s="117" t="s">
        <v>225</v>
      </c>
      <c r="J19" s="102" t="s">
        <v>119</v>
      </c>
      <c r="K19" s="102" t="s">
        <v>120</v>
      </c>
      <c r="L19" s="102" t="s">
        <v>121</v>
      </c>
      <c r="M19" s="102" t="s">
        <v>77</v>
      </c>
      <c r="N19" s="105" t="s">
        <v>104</v>
      </c>
      <c r="P19" s="113" t="s">
        <v>196</v>
      </c>
    </row>
    <row r="20" spans="1:16" s="78" customFormat="1" ht="16.2" customHeight="1" x14ac:dyDescent="0.25">
      <c r="A20" s="104">
        <v>15</v>
      </c>
      <c r="B20" s="102" t="s">
        <v>137</v>
      </c>
      <c r="C20" s="104" t="s">
        <v>152</v>
      </c>
      <c r="D20" s="102" t="s">
        <v>26</v>
      </c>
      <c r="E20" s="103">
        <v>66.180000000000007</v>
      </c>
      <c r="F20" s="104">
        <v>1959</v>
      </c>
      <c r="G20" s="104">
        <v>12</v>
      </c>
      <c r="H20" s="104">
        <v>19</v>
      </c>
      <c r="I20" s="117" t="s">
        <v>225</v>
      </c>
      <c r="J20" s="102" t="s">
        <v>119</v>
      </c>
      <c r="K20" s="102" t="s">
        <v>226</v>
      </c>
      <c r="L20" s="102" t="s">
        <v>121</v>
      </c>
      <c r="M20" s="102" t="s">
        <v>77</v>
      </c>
      <c r="N20" s="105" t="s">
        <v>104</v>
      </c>
      <c r="P20" s="113" t="s">
        <v>108</v>
      </c>
    </row>
    <row r="21" spans="1:16" s="78" customFormat="1" ht="16.2" customHeight="1" x14ac:dyDescent="0.25">
      <c r="A21" s="104">
        <v>16</v>
      </c>
      <c r="B21" s="102" t="s">
        <v>138</v>
      </c>
      <c r="C21" s="104" t="s">
        <v>153</v>
      </c>
      <c r="D21" s="102" t="s">
        <v>26</v>
      </c>
      <c r="E21" s="103">
        <v>52.7</v>
      </c>
      <c r="F21" s="104">
        <v>1973</v>
      </c>
      <c r="G21" s="104" t="s">
        <v>93</v>
      </c>
      <c r="H21" s="104" t="s">
        <v>99</v>
      </c>
      <c r="I21" s="117" t="s">
        <v>225</v>
      </c>
      <c r="J21" s="102" t="s">
        <v>119</v>
      </c>
      <c r="K21" s="102" t="s">
        <v>226</v>
      </c>
      <c r="L21" s="102" t="s">
        <v>121</v>
      </c>
      <c r="M21" s="102" t="s">
        <v>77</v>
      </c>
      <c r="N21" s="105" t="s">
        <v>104</v>
      </c>
      <c r="P21" s="94"/>
    </row>
    <row r="22" spans="1:16" s="78" customFormat="1" ht="16.2" customHeight="1" x14ac:dyDescent="0.25">
      <c r="A22" s="104">
        <v>17</v>
      </c>
      <c r="B22" s="102" t="s">
        <v>139</v>
      </c>
      <c r="C22" s="104" t="s">
        <v>154</v>
      </c>
      <c r="D22" s="102" t="s">
        <v>26</v>
      </c>
      <c r="E22" s="103">
        <v>29.18</v>
      </c>
      <c r="F22" s="104">
        <v>1996</v>
      </c>
      <c r="G22" s="104">
        <v>12</v>
      </c>
      <c r="H22" s="104" t="s">
        <v>98</v>
      </c>
      <c r="I22" s="117" t="s">
        <v>225</v>
      </c>
      <c r="J22" s="102" t="s">
        <v>119</v>
      </c>
      <c r="K22" s="102" t="s">
        <v>226</v>
      </c>
      <c r="L22" s="102" t="s">
        <v>121</v>
      </c>
      <c r="M22" s="102" t="s">
        <v>77</v>
      </c>
      <c r="N22" s="105" t="s">
        <v>104</v>
      </c>
      <c r="P22" s="94"/>
    </row>
    <row r="23" spans="1:16" s="78" customFormat="1" ht="16.2" customHeight="1" x14ac:dyDescent="0.25">
      <c r="A23" s="104">
        <v>18</v>
      </c>
      <c r="B23" s="102" t="s">
        <v>140</v>
      </c>
      <c r="C23" s="104" t="s">
        <v>155</v>
      </c>
      <c r="D23" s="102" t="s">
        <v>26</v>
      </c>
      <c r="E23" s="103">
        <v>51.87</v>
      </c>
      <c r="F23" s="104">
        <v>1974</v>
      </c>
      <c r="G23" s="104" t="s">
        <v>101</v>
      </c>
      <c r="H23" s="104" t="s">
        <v>99</v>
      </c>
      <c r="I23" s="117" t="s">
        <v>225</v>
      </c>
      <c r="J23" s="102" t="s">
        <v>119</v>
      </c>
      <c r="K23" s="102" t="s">
        <v>226</v>
      </c>
      <c r="L23" s="102" t="s">
        <v>121</v>
      </c>
      <c r="M23" s="102" t="s">
        <v>77</v>
      </c>
      <c r="N23" s="105" t="s">
        <v>104</v>
      </c>
      <c r="P23" s="138" t="s">
        <v>240</v>
      </c>
    </row>
    <row r="24" spans="1:16" s="78" customFormat="1" ht="16.2" customHeight="1" x14ac:dyDescent="0.25">
      <c r="A24" s="104">
        <v>19</v>
      </c>
      <c r="B24" s="102" t="s">
        <v>141</v>
      </c>
      <c r="C24" s="104" t="s">
        <v>156</v>
      </c>
      <c r="D24" s="102" t="s">
        <v>26</v>
      </c>
      <c r="E24" s="103">
        <v>45</v>
      </c>
      <c r="F24" s="104">
        <v>1996</v>
      </c>
      <c r="G24" s="104">
        <v>12</v>
      </c>
      <c r="H24" s="104" t="s">
        <v>98</v>
      </c>
      <c r="I24" s="117" t="s">
        <v>225</v>
      </c>
      <c r="J24" s="102" t="s">
        <v>119</v>
      </c>
      <c r="K24" s="102" t="s">
        <v>226</v>
      </c>
      <c r="L24" s="102" t="s">
        <v>121</v>
      </c>
      <c r="M24" s="102" t="s">
        <v>77</v>
      </c>
      <c r="N24" s="105" t="s">
        <v>104</v>
      </c>
      <c r="P24" s="138"/>
    </row>
    <row r="25" spans="1:16" s="78" customFormat="1" ht="16.2" customHeight="1" x14ac:dyDescent="0.25">
      <c r="A25" s="104">
        <v>20</v>
      </c>
      <c r="B25" s="102" t="s">
        <v>142</v>
      </c>
      <c r="C25" s="104" t="s">
        <v>157</v>
      </c>
      <c r="D25" s="102" t="s">
        <v>27</v>
      </c>
      <c r="E25" s="103">
        <v>49</v>
      </c>
      <c r="F25" s="104">
        <v>1974</v>
      </c>
      <c r="G25" s="104" t="s">
        <v>101</v>
      </c>
      <c r="H25" s="104" t="s">
        <v>99</v>
      </c>
      <c r="I25" s="117" t="s">
        <v>225</v>
      </c>
      <c r="J25" s="102" t="s">
        <v>119</v>
      </c>
      <c r="K25" s="102" t="s">
        <v>226</v>
      </c>
      <c r="L25" s="102" t="s">
        <v>121</v>
      </c>
      <c r="M25" s="102" t="s">
        <v>77</v>
      </c>
      <c r="N25" s="105" t="s">
        <v>104</v>
      </c>
      <c r="P25" s="138"/>
    </row>
    <row r="26" spans="1:16" s="78" customFormat="1" ht="16.2" customHeight="1" x14ac:dyDescent="0.25">
      <c r="A26" s="104">
        <v>21</v>
      </c>
      <c r="B26" s="102" t="s">
        <v>143</v>
      </c>
      <c r="C26" s="104" t="s">
        <v>158</v>
      </c>
      <c r="D26" s="102" t="s">
        <v>27</v>
      </c>
      <c r="E26" s="103">
        <v>49.75</v>
      </c>
      <c r="F26" s="104">
        <v>1976</v>
      </c>
      <c r="G26" s="104" t="s">
        <v>100</v>
      </c>
      <c r="H26" s="104">
        <v>19</v>
      </c>
      <c r="I26" s="117" t="s">
        <v>225</v>
      </c>
      <c r="J26" s="102" t="s">
        <v>119</v>
      </c>
      <c r="K26" s="102" t="s">
        <v>120</v>
      </c>
      <c r="L26" s="102" t="s">
        <v>121</v>
      </c>
      <c r="M26" s="102" t="s">
        <v>77</v>
      </c>
      <c r="N26" s="105" t="s">
        <v>104</v>
      </c>
      <c r="P26" s="138"/>
    </row>
    <row r="27" spans="1:16" s="78" customFormat="1" ht="16.2" customHeight="1" x14ac:dyDescent="0.25">
      <c r="A27" s="104">
        <v>22</v>
      </c>
      <c r="B27" s="102" t="s">
        <v>144</v>
      </c>
      <c r="C27" s="104" t="s">
        <v>159</v>
      </c>
      <c r="D27" s="102" t="s">
        <v>27</v>
      </c>
      <c r="E27" s="103">
        <v>66.180000000000007</v>
      </c>
      <c r="F27" s="104">
        <v>1959</v>
      </c>
      <c r="G27" s="104">
        <v>12</v>
      </c>
      <c r="H27" s="104">
        <v>19</v>
      </c>
      <c r="I27" s="117" t="s">
        <v>225</v>
      </c>
      <c r="J27" s="102" t="s">
        <v>119</v>
      </c>
      <c r="K27" s="102" t="s">
        <v>226</v>
      </c>
      <c r="L27" s="102" t="s">
        <v>121</v>
      </c>
      <c r="M27" s="102" t="s">
        <v>77</v>
      </c>
      <c r="N27" s="105" t="s">
        <v>104</v>
      </c>
      <c r="P27" s="138"/>
    </row>
    <row r="28" spans="1:16" s="78" customFormat="1" ht="16.2" customHeight="1" x14ac:dyDescent="0.25">
      <c r="A28" s="104">
        <v>23</v>
      </c>
      <c r="B28" s="102" t="s">
        <v>145</v>
      </c>
      <c r="C28" s="104" t="s">
        <v>160</v>
      </c>
      <c r="D28" s="102" t="s">
        <v>27</v>
      </c>
      <c r="E28" s="103">
        <v>52.7</v>
      </c>
      <c r="F28" s="104">
        <v>1973</v>
      </c>
      <c r="G28" s="104" t="s">
        <v>93</v>
      </c>
      <c r="H28" s="104" t="s">
        <v>99</v>
      </c>
      <c r="I28" s="117" t="s">
        <v>225</v>
      </c>
      <c r="J28" s="102" t="s">
        <v>119</v>
      </c>
      <c r="K28" s="102" t="s">
        <v>226</v>
      </c>
      <c r="L28" s="102" t="s">
        <v>121</v>
      </c>
      <c r="M28" s="102" t="s">
        <v>77</v>
      </c>
      <c r="N28" s="105" t="s">
        <v>104</v>
      </c>
      <c r="P28" s="138"/>
    </row>
    <row r="29" spans="1:16" s="78" customFormat="1" ht="16.2" customHeight="1" x14ac:dyDescent="0.25">
      <c r="A29" s="104">
        <v>24</v>
      </c>
      <c r="B29" s="102" t="s">
        <v>146</v>
      </c>
      <c r="C29" s="104" t="s">
        <v>161</v>
      </c>
      <c r="D29" s="102" t="s">
        <v>27</v>
      </c>
      <c r="E29" s="103">
        <v>29.18</v>
      </c>
      <c r="F29" s="104">
        <v>1996</v>
      </c>
      <c r="G29" s="104">
        <v>12</v>
      </c>
      <c r="H29" s="104" t="s">
        <v>98</v>
      </c>
      <c r="I29" s="117" t="s">
        <v>225</v>
      </c>
      <c r="J29" s="102" t="s">
        <v>119</v>
      </c>
      <c r="K29" s="102" t="s">
        <v>226</v>
      </c>
      <c r="L29" s="102" t="s">
        <v>121</v>
      </c>
      <c r="M29" s="102" t="s">
        <v>77</v>
      </c>
      <c r="N29" s="105" t="s">
        <v>104</v>
      </c>
      <c r="P29" s="138"/>
    </row>
    <row r="30" spans="1:16" s="78" customFormat="1" ht="16.2" customHeight="1" x14ac:dyDescent="0.25">
      <c r="A30" s="104">
        <v>25</v>
      </c>
      <c r="B30" s="102" t="s">
        <v>147</v>
      </c>
      <c r="C30" s="104" t="s">
        <v>162</v>
      </c>
      <c r="D30" s="102" t="s">
        <v>27</v>
      </c>
      <c r="E30" s="103">
        <v>51.87</v>
      </c>
      <c r="F30" s="104">
        <v>1974</v>
      </c>
      <c r="G30" s="104" t="s">
        <v>101</v>
      </c>
      <c r="H30" s="104" t="s">
        <v>99</v>
      </c>
      <c r="I30" s="117" t="s">
        <v>225</v>
      </c>
      <c r="J30" s="102" t="s">
        <v>119</v>
      </c>
      <c r="K30" s="102" t="s">
        <v>226</v>
      </c>
      <c r="L30" s="102" t="s">
        <v>121</v>
      </c>
      <c r="M30" s="102" t="s">
        <v>77</v>
      </c>
      <c r="N30" s="105" t="s">
        <v>104</v>
      </c>
      <c r="P30" s="138"/>
    </row>
    <row r="31" spans="1:16" s="78" customFormat="1" ht="16.2" customHeight="1" x14ac:dyDescent="0.25">
      <c r="A31" s="104">
        <v>26</v>
      </c>
      <c r="B31" s="102" t="s">
        <v>163</v>
      </c>
      <c r="C31" s="104" t="s">
        <v>168</v>
      </c>
      <c r="D31" s="102" t="s">
        <v>27</v>
      </c>
      <c r="E31" s="103">
        <v>52.7</v>
      </c>
      <c r="F31" s="104">
        <v>1973</v>
      </c>
      <c r="G31" s="104" t="s">
        <v>93</v>
      </c>
      <c r="H31" s="104" t="s">
        <v>99</v>
      </c>
      <c r="I31" s="117" t="s">
        <v>225</v>
      </c>
      <c r="J31" s="102" t="s">
        <v>119</v>
      </c>
      <c r="K31" s="102" t="s">
        <v>226</v>
      </c>
      <c r="L31" s="102" t="s">
        <v>121</v>
      </c>
      <c r="M31" s="102" t="s">
        <v>77</v>
      </c>
      <c r="N31" s="105" t="s">
        <v>104</v>
      </c>
      <c r="P31" s="138"/>
    </row>
    <row r="32" spans="1:16" s="78" customFormat="1" ht="16.2" customHeight="1" x14ac:dyDescent="0.25">
      <c r="A32" s="104">
        <v>27</v>
      </c>
      <c r="B32" s="102" t="s">
        <v>164</v>
      </c>
      <c r="C32" s="104" t="s">
        <v>169</v>
      </c>
      <c r="D32" s="102" t="s">
        <v>27</v>
      </c>
      <c r="E32" s="103">
        <v>66.180000000000007</v>
      </c>
      <c r="F32" s="104">
        <v>1959</v>
      </c>
      <c r="G32" s="104">
        <v>12</v>
      </c>
      <c r="H32" s="104">
        <v>19</v>
      </c>
      <c r="I32" s="117" t="s">
        <v>225</v>
      </c>
      <c r="J32" s="102" t="s">
        <v>119</v>
      </c>
      <c r="K32" s="102" t="s">
        <v>226</v>
      </c>
      <c r="L32" s="102" t="s">
        <v>121</v>
      </c>
      <c r="M32" s="102" t="s">
        <v>77</v>
      </c>
      <c r="N32" s="105" t="s">
        <v>104</v>
      </c>
      <c r="P32" s="138"/>
    </row>
    <row r="33" spans="1:16" s="78" customFormat="1" ht="16.2" customHeight="1" x14ac:dyDescent="0.25">
      <c r="A33" s="104">
        <v>28</v>
      </c>
      <c r="B33" s="102" t="s">
        <v>165</v>
      </c>
      <c r="C33" s="104" t="s">
        <v>170</v>
      </c>
      <c r="D33" s="102" t="s">
        <v>27</v>
      </c>
      <c r="E33" s="103">
        <v>29.18</v>
      </c>
      <c r="F33" s="104">
        <v>1996</v>
      </c>
      <c r="G33" s="104">
        <v>12</v>
      </c>
      <c r="H33" s="104" t="s">
        <v>98</v>
      </c>
      <c r="I33" s="117" t="s">
        <v>225</v>
      </c>
      <c r="J33" s="102" t="s">
        <v>119</v>
      </c>
      <c r="K33" s="102" t="s">
        <v>226</v>
      </c>
      <c r="L33" s="102" t="s">
        <v>121</v>
      </c>
      <c r="M33" s="102" t="s">
        <v>77</v>
      </c>
      <c r="N33" s="105" t="s">
        <v>104</v>
      </c>
      <c r="P33" s="138"/>
    </row>
    <row r="34" spans="1:16" s="78" customFormat="1" ht="16.2" customHeight="1" x14ac:dyDescent="0.25">
      <c r="A34" s="104">
        <v>29</v>
      </c>
      <c r="B34" s="102" t="s">
        <v>166</v>
      </c>
      <c r="C34" s="104" t="s">
        <v>171</v>
      </c>
      <c r="D34" s="102" t="s">
        <v>27</v>
      </c>
      <c r="E34" s="103">
        <v>51.87</v>
      </c>
      <c r="F34" s="104">
        <v>1974</v>
      </c>
      <c r="G34" s="104" t="s">
        <v>101</v>
      </c>
      <c r="H34" s="104" t="s">
        <v>99</v>
      </c>
      <c r="I34" s="117" t="s">
        <v>225</v>
      </c>
      <c r="J34" s="102" t="s">
        <v>119</v>
      </c>
      <c r="K34" s="102" t="s">
        <v>226</v>
      </c>
      <c r="L34" s="102" t="s">
        <v>121</v>
      </c>
      <c r="M34" s="102" t="s">
        <v>77</v>
      </c>
      <c r="N34" s="105" t="s">
        <v>104</v>
      </c>
      <c r="P34" s="138"/>
    </row>
    <row r="35" spans="1:16" s="78" customFormat="1" ht="16.2" customHeight="1" x14ac:dyDescent="0.25">
      <c r="A35" s="104">
        <v>30</v>
      </c>
      <c r="B35" s="102" t="s">
        <v>167</v>
      </c>
      <c r="C35" s="104" t="s">
        <v>172</v>
      </c>
      <c r="D35" s="102" t="s">
        <v>27</v>
      </c>
      <c r="E35" s="103">
        <v>45</v>
      </c>
      <c r="F35" s="104">
        <v>1996</v>
      </c>
      <c r="G35" s="104">
        <v>12</v>
      </c>
      <c r="H35" s="104" t="s">
        <v>98</v>
      </c>
      <c r="I35" s="117" t="s">
        <v>225</v>
      </c>
      <c r="J35" s="102" t="s">
        <v>119</v>
      </c>
      <c r="K35" s="102" t="s">
        <v>226</v>
      </c>
      <c r="L35" s="102" t="s">
        <v>121</v>
      </c>
      <c r="M35" s="102" t="s">
        <v>77</v>
      </c>
      <c r="N35" s="105" t="s">
        <v>104</v>
      </c>
    </row>
    <row r="36" spans="1:16" s="78" customFormat="1" ht="16.2" customHeight="1" x14ac:dyDescent="0.25">
      <c r="A36" s="104">
        <v>31</v>
      </c>
      <c r="B36" s="102" t="s">
        <v>173</v>
      </c>
      <c r="C36" s="104" t="s">
        <v>183</v>
      </c>
      <c r="D36" s="102" t="s">
        <v>27</v>
      </c>
      <c r="E36" s="103">
        <v>49</v>
      </c>
      <c r="F36" s="104">
        <v>1974</v>
      </c>
      <c r="G36" s="104" t="s">
        <v>101</v>
      </c>
      <c r="H36" s="104" t="s">
        <v>99</v>
      </c>
      <c r="I36" s="117" t="s">
        <v>225</v>
      </c>
      <c r="J36" s="102" t="s">
        <v>119</v>
      </c>
      <c r="K36" s="102" t="s">
        <v>226</v>
      </c>
      <c r="L36" s="102" t="s">
        <v>121</v>
      </c>
      <c r="M36" s="102" t="s">
        <v>77</v>
      </c>
      <c r="N36" s="105" t="s">
        <v>104</v>
      </c>
    </row>
    <row r="37" spans="1:16" s="78" customFormat="1" ht="16.2" customHeight="1" x14ac:dyDescent="0.25">
      <c r="A37" s="104">
        <v>32</v>
      </c>
      <c r="B37" s="102" t="s">
        <v>174</v>
      </c>
      <c r="C37" s="104" t="s">
        <v>188</v>
      </c>
      <c r="D37" s="102" t="s">
        <v>27</v>
      </c>
      <c r="E37" s="103">
        <v>49</v>
      </c>
      <c r="F37" s="104">
        <v>1974</v>
      </c>
      <c r="G37" s="104" t="s">
        <v>101</v>
      </c>
      <c r="H37" s="104" t="s">
        <v>99</v>
      </c>
      <c r="I37" s="117" t="s">
        <v>225</v>
      </c>
      <c r="J37" s="102" t="s">
        <v>119</v>
      </c>
      <c r="K37" s="102" t="s">
        <v>226</v>
      </c>
      <c r="L37" s="102" t="s">
        <v>121</v>
      </c>
      <c r="M37" s="102" t="s">
        <v>77</v>
      </c>
      <c r="N37" s="105" t="s">
        <v>104</v>
      </c>
    </row>
    <row r="38" spans="1:16" ht="16.2" customHeight="1" x14ac:dyDescent="0.25">
      <c r="A38" s="104">
        <v>33</v>
      </c>
      <c r="B38" s="102" t="s">
        <v>175</v>
      </c>
      <c r="C38" s="104" t="s">
        <v>189</v>
      </c>
      <c r="D38" s="102" t="s">
        <v>27</v>
      </c>
      <c r="E38" s="103">
        <v>66.180000000000007</v>
      </c>
      <c r="F38" s="104">
        <v>1959</v>
      </c>
      <c r="G38" s="104">
        <v>12</v>
      </c>
      <c r="H38" s="104">
        <v>19</v>
      </c>
      <c r="I38" s="117" t="s">
        <v>225</v>
      </c>
      <c r="J38" s="102" t="s">
        <v>119</v>
      </c>
      <c r="K38" s="102" t="s">
        <v>226</v>
      </c>
      <c r="L38" s="102" t="s">
        <v>121</v>
      </c>
      <c r="M38" s="102" t="s">
        <v>77</v>
      </c>
      <c r="N38" s="105" t="s">
        <v>104</v>
      </c>
      <c r="P38" s="78"/>
    </row>
    <row r="39" spans="1:16" ht="16.2" customHeight="1" x14ac:dyDescent="0.25">
      <c r="A39" s="104">
        <v>34</v>
      </c>
      <c r="B39" s="102" t="s">
        <v>176</v>
      </c>
      <c r="C39" s="104" t="s">
        <v>190</v>
      </c>
      <c r="D39" s="102" t="s">
        <v>26</v>
      </c>
      <c r="E39" s="103">
        <v>21.6</v>
      </c>
      <c r="F39" s="104">
        <v>2004</v>
      </c>
      <c r="G39" s="104" t="s">
        <v>99</v>
      </c>
      <c r="H39" s="104" t="s">
        <v>101</v>
      </c>
      <c r="I39" s="117" t="s">
        <v>225</v>
      </c>
      <c r="J39" s="102" t="s">
        <v>119</v>
      </c>
      <c r="K39" s="102" t="s">
        <v>120</v>
      </c>
      <c r="L39" s="102" t="s">
        <v>121</v>
      </c>
      <c r="M39" s="102" t="s">
        <v>77</v>
      </c>
      <c r="N39" s="113" t="s">
        <v>196</v>
      </c>
    </row>
    <row r="40" spans="1:16" ht="16.2" customHeight="1" x14ac:dyDescent="0.25">
      <c r="A40" s="104">
        <v>35</v>
      </c>
      <c r="B40" s="102" t="s">
        <v>177</v>
      </c>
      <c r="C40" s="104" t="s">
        <v>191</v>
      </c>
      <c r="D40" s="102" t="s">
        <v>26</v>
      </c>
      <c r="E40" s="103">
        <v>26.76</v>
      </c>
      <c r="F40" s="104">
        <v>1999</v>
      </c>
      <c r="G40" s="104" t="s">
        <v>100</v>
      </c>
      <c r="H40" s="104" t="s">
        <v>96</v>
      </c>
      <c r="I40" s="117" t="s">
        <v>225</v>
      </c>
      <c r="J40" s="102" t="s">
        <v>119</v>
      </c>
      <c r="K40" s="102" t="s">
        <v>120</v>
      </c>
      <c r="L40" s="102" t="s">
        <v>121</v>
      </c>
      <c r="M40" s="102" t="s">
        <v>77</v>
      </c>
      <c r="N40" s="113" t="s">
        <v>196</v>
      </c>
    </row>
    <row r="41" spans="1:16" ht="16.2" customHeight="1" x14ac:dyDescent="0.25">
      <c r="A41" s="104">
        <v>36</v>
      </c>
      <c r="B41" s="102" t="s">
        <v>178</v>
      </c>
      <c r="C41" s="104" t="s">
        <v>192</v>
      </c>
      <c r="D41" s="102" t="s">
        <v>26</v>
      </c>
      <c r="E41" s="103">
        <v>49.75</v>
      </c>
      <c r="F41" s="104">
        <v>1976</v>
      </c>
      <c r="G41" s="104" t="s">
        <v>100</v>
      </c>
      <c r="H41" s="104">
        <v>19</v>
      </c>
      <c r="I41" s="117" t="s">
        <v>225</v>
      </c>
      <c r="J41" s="102" t="s">
        <v>119</v>
      </c>
      <c r="K41" s="102" t="s">
        <v>120</v>
      </c>
      <c r="L41" s="102" t="s">
        <v>121</v>
      </c>
      <c r="M41" s="102" t="s">
        <v>77</v>
      </c>
      <c r="N41" s="113" t="s">
        <v>108</v>
      </c>
    </row>
    <row r="42" spans="1:16" ht="16.2" customHeight="1" x14ac:dyDescent="0.25">
      <c r="A42" s="104">
        <v>37</v>
      </c>
      <c r="B42" s="102" t="s">
        <v>179</v>
      </c>
      <c r="C42" s="104" t="s">
        <v>184</v>
      </c>
      <c r="D42" s="102" t="s">
        <v>27</v>
      </c>
      <c r="E42" s="103">
        <v>66.180000000000007</v>
      </c>
      <c r="F42" s="104">
        <v>1959</v>
      </c>
      <c r="G42" s="104">
        <v>12</v>
      </c>
      <c r="H42" s="104">
        <v>19</v>
      </c>
      <c r="I42" s="117" t="s">
        <v>225</v>
      </c>
      <c r="J42" s="102" t="s">
        <v>119</v>
      </c>
      <c r="K42" s="102" t="s">
        <v>226</v>
      </c>
      <c r="L42" s="102" t="s">
        <v>121</v>
      </c>
      <c r="M42" s="102" t="s">
        <v>77</v>
      </c>
      <c r="N42" s="113" t="s">
        <v>108</v>
      </c>
    </row>
    <row r="43" spans="1:16" ht="16.2" customHeight="1" x14ac:dyDescent="0.25">
      <c r="A43" s="104">
        <v>38</v>
      </c>
      <c r="B43" s="102" t="s">
        <v>180</v>
      </c>
      <c r="C43" s="104" t="s">
        <v>185</v>
      </c>
      <c r="D43" s="102" t="s">
        <v>27</v>
      </c>
      <c r="E43" s="103">
        <v>49.75</v>
      </c>
      <c r="F43" s="104">
        <v>1976</v>
      </c>
      <c r="G43" s="104" t="s">
        <v>100</v>
      </c>
      <c r="H43" s="104">
        <v>19</v>
      </c>
      <c r="I43" s="117" t="s">
        <v>225</v>
      </c>
      <c r="J43" s="102" t="s">
        <v>119</v>
      </c>
      <c r="K43" s="102" t="s">
        <v>120</v>
      </c>
      <c r="L43" s="102" t="s">
        <v>121</v>
      </c>
      <c r="M43" s="102" t="s">
        <v>77</v>
      </c>
      <c r="N43" s="113" t="s">
        <v>108</v>
      </c>
    </row>
  </sheetData>
  <sortState xmlns:xlrd2="http://schemas.microsoft.com/office/spreadsheetml/2017/richdata2" ref="B6:N38">
    <sortCondition descending="1" ref="D6:D38"/>
    <sortCondition ref="B6:B38"/>
  </sortState>
  <mergeCells count="3">
    <mergeCell ref="F3:H3"/>
    <mergeCell ref="P5:P14"/>
    <mergeCell ref="P23:P34"/>
  </mergeCells>
  <phoneticPr fontId="3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31882-049C-4568-9835-AE09536F1E6E}">
  <sheetPr>
    <tabColor rgb="FFFFFF00"/>
  </sheetPr>
  <dimension ref="A1:Z740"/>
  <sheetViews>
    <sheetView showGridLines="0" view="pageBreakPreview" zoomScale="115" zoomScaleNormal="100" zoomScaleSheetLayoutView="115" workbookViewId="0">
      <selection activeCell="AC31" sqref="AC31"/>
    </sheetView>
  </sheetViews>
  <sheetFormatPr defaultRowHeight="13.2" x14ac:dyDescent="0.25"/>
  <cols>
    <col min="1" max="1" width="2.109375" customWidth="1"/>
    <col min="2" max="2" width="7.77734375" customWidth="1"/>
    <col min="3" max="3" width="11" customWidth="1"/>
    <col min="4" max="4" width="12.33203125" customWidth="1"/>
    <col min="5" max="5" width="4.33203125" customWidth="1"/>
    <col min="6" max="6" width="8.44140625" customWidth="1"/>
    <col min="7" max="7" width="11" customWidth="1"/>
    <col min="8" max="8" width="8" customWidth="1"/>
    <col min="9" max="9" width="8.109375" customWidth="1"/>
    <col min="10" max="10" width="3.88671875" customWidth="1"/>
    <col min="11" max="11" width="2" customWidth="1"/>
    <col min="12" max="12" width="2.109375" customWidth="1"/>
    <col min="13" max="13" width="3.5546875" customWidth="1"/>
    <col min="14" max="15" width="2.33203125" customWidth="1"/>
    <col min="16" max="16" width="4.21875" customWidth="1"/>
    <col min="17" max="17" width="1.21875" customWidth="1"/>
    <col min="18" max="18" width="2.109375" customWidth="1"/>
    <col min="19" max="19" width="2.33203125" customWidth="1"/>
    <col min="20" max="20" width="3.33203125" customWidth="1"/>
    <col min="21" max="21" width="4.6640625" customWidth="1"/>
    <col min="22" max="22" width="1.109375" customWidth="1"/>
    <col min="23" max="23" width="9.109375" customWidth="1"/>
    <col min="24" max="24" width="7.6640625" customWidth="1"/>
    <col min="25" max="25" width="12.109375" customWidth="1"/>
    <col min="26" max="29" width="7.6640625" customWidth="1"/>
  </cols>
  <sheetData>
    <row r="1" spans="1:26" ht="28.5" customHeight="1" x14ac:dyDescent="0.3">
      <c r="B1" s="193" t="s">
        <v>46</v>
      </c>
      <c r="C1" s="194"/>
      <c r="D1" s="194"/>
      <c r="E1" s="194"/>
      <c r="F1" s="194"/>
      <c r="G1" s="2"/>
      <c r="H1" s="2"/>
      <c r="I1" s="13" t="s">
        <v>47</v>
      </c>
      <c r="J1" s="195" t="s">
        <v>14</v>
      </c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7"/>
      <c r="Y1" s="79" t="s">
        <v>194</v>
      </c>
    </row>
    <row r="2" spans="1:26" ht="26.25" customHeight="1" x14ac:dyDescent="0.4">
      <c r="B2" s="39" t="s">
        <v>48</v>
      </c>
      <c r="C2" s="2"/>
      <c r="D2" s="2"/>
      <c r="E2" s="2"/>
      <c r="F2" s="2"/>
      <c r="G2" s="2"/>
      <c r="H2" s="2"/>
      <c r="I2" s="29" t="s">
        <v>13</v>
      </c>
      <c r="J2" s="15">
        <v>4</v>
      </c>
      <c r="K2" s="215">
        <v>1</v>
      </c>
      <c r="L2" s="216"/>
      <c r="M2" s="15">
        <v>0</v>
      </c>
      <c r="N2" s="198">
        <v>0</v>
      </c>
      <c r="O2" s="199"/>
      <c r="P2" s="217">
        <v>0</v>
      </c>
      <c r="Q2" s="218"/>
      <c r="R2" s="219">
        <v>1</v>
      </c>
      <c r="S2" s="220"/>
      <c r="U2" s="6"/>
      <c r="V2" s="6"/>
      <c r="W2" s="7"/>
      <c r="Y2" s="1"/>
    </row>
    <row r="3" spans="1:26" ht="21" customHeight="1" x14ac:dyDescent="0.25">
      <c r="B3" s="26" t="s">
        <v>237</v>
      </c>
      <c r="C3" s="25"/>
      <c r="D3" s="25"/>
      <c r="E3" s="25"/>
      <c r="F3" s="25"/>
      <c r="G3" s="25"/>
      <c r="H3" s="2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Y3" s="69" t="s">
        <v>102</v>
      </c>
    </row>
    <row r="4" spans="1:26" ht="13.5" customHeight="1" x14ac:dyDescent="0.25">
      <c r="B4" s="40" t="s">
        <v>24</v>
      </c>
      <c r="C4" s="25"/>
      <c r="D4" s="25"/>
      <c r="E4" s="25"/>
      <c r="F4" s="25"/>
      <c r="G4" s="25"/>
      <c r="H4" s="25"/>
      <c r="I4" s="28" t="s">
        <v>6</v>
      </c>
      <c r="J4" s="231">
        <v>2026</v>
      </c>
      <c r="K4" s="232"/>
      <c r="L4" s="28"/>
      <c r="M4" s="204" t="s">
        <v>15</v>
      </c>
      <c r="N4" s="204"/>
      <c r="O4" s="204"/>
      <c r="P4" s="239">
        <v>2</v>
      </c>
      <c r="Q4" s="240"/>
      <c r="R4" s="86"/>
      <c r="S4" s="233" t="s">
        <v>16</v>
      </c>
      <c r="T4" s="233"/>
      <c r="U4" s="239">
        <v>10</v>
      </c>
      <c r="V4" s="240"/>
      <c r="X4" s="1"/>
      <c r="Y4" s="68" t="s">
        <v>199</v>
      </c>
    </row>
    <row r="5" spans="1:26" ht="9.75" customHeight="1" x14ac:dyDescent="0.25"/>
    <row r="6" spans="1:26" ht="11.25" customHeight="1" x14ac:dyDescent="0.25">
      <c r="B6" s="24" t="s">
        <v>49</v>
      </c>
      <c r="Y6" s="68" t="s">
        <v>202</v>
      </c>
    </row>
    <row r="7" spans="1:26" ht="11.25" customHeight="1" x14ac:dyDescent="0.25">
      <c r="B7" s="8" t="s">
        <v>50</v>
      </c>
    </row>
    <row r="8" spans="1:26" x14ac:dyDescent="0.25">
      <c r="B8" s="8"/>
    </row>
    <row r="9" spans="1:26" ht="15.75" customHeight="1" x14ac:dyDescent="0.25">
      <c r="B9" s="234" t="s">
        <v>51</v>
      </c>
      <c r="C9" s="234"/>
      <c r="D9" s="234"/>
      <c r="E9" s="234"/>
      <c r="F9" s="18" t="s">
        <v>6</v>
      </c>
      <c r="G9" s="120">
        <v>2026</v>
      </c>
      <c r="H9" s="9" t="s">
        <v>15</v>
      </c>
      <c r="I9" s="121">
        <v>2</v>
      </c>
      <c r="J9" s="235" t="s">
        <v>16</v>
      </c>
      <c r="K9" s="236"/>
      <c r="L9" s="237">
        <v>8</v>
      </c>
      <c r="M9" s="238"/>
      <c r="N9" s="84"/>
      <c r="O9" s="85"/>
      <c r="P9" s="43"/>
      <c r="Q9" s="43"/>
      <c r="Y9" s="68" t="s">
        <v>203</v>
      </c>
    </row>
    <row r="10" spans="1:26" ht="17.25" customHeight="1" x14ac:dyDescent="0.25">
      <c r="C10" s="8"/>
      <c r="Z10" s="32"/>
    </row>
    <row r="11" spans="1:26" ht="18.75" customHeight="1" x14ac:dyDescent="0.25">
      <c r="B11" s="255" t="s">
        <v>52</v>
      </c>
      <c r="C11" s="257" t="s">
        <v>53</v>
      </c>
      <c r="D11" s="258"/>
      <c r="E11" s="258"/>
      <c r="F11" s="221" t="s">
        <v>54</v>
      </c>
      <c r="G11" s="223"/>
      <c r="H11" s="223"/>
      <c r="I11" s="259" t="s">
        <v>55</v>
      </c>
      <c r="J11" s="221"/>
      <c r="K11" s="221" t="s">
        <v>56</v>
      </c>
      <c r="L11" s="221"/>
      <c r="M11" s="221"/>
      <c r="N11" s="221"/>
      <c r="O11" s="222" t="s">
        <v>231</v>
      </c>
      <c r="P11" s="222"/>
      <c r="Q11" s="222"/>
      <c r="R11" s="223"/>
      <c r="S11" s="221" t="s">
        <v>57</v>
      </c>
      <c r="T11" s="223"/>
      <c r="U11" s="223"/>
      <c r="V11" s="221" t="s">
        <v>58</v>
      </c>
      <c r="W11" s="223"/>
    </row>
    <row r="12" spans="1:26" ht="26.25" customHeight="1" x14ac:dyDescent="0.25">
      <c r="B12" s="256"/>
      <c r="C12" s="253" t="s">
        <v>59</v>
      </c>
      <c r="D12" s="254"/>
      <c r="E12" s="254"/>
      <c r="F12" s="254"/>
      <c r="G12" s="254"/>
      <c r="H12" s="254"/>
      <c r="I12" s="221"/>
      <c r="J12" s="221"/>
      <c r="K12" s="221"/>
      <c r="L12" s="221"/>
      <c r="M12" s="221"/>
      <c r="N12" s="221"/>
      <c r="O12" s="223"/>
      <c r="P12" s="223"/>
      <c r="Q12" s="223"/>
      <c r="R12" s="223"/>
      <c r="S12" s="223"/>
      <c r="T12" s="223"/>
      <c r="U12" s="223"/>
      <c r="V12" s="223"/>
      <c r="W12" s="223"/>
      <c r="Y12" s="122" t="s">
        <v>242</v>
      </c>
    </row>
    <row r="13" spans="1:26" ht="7.5" customHeight="1" x14ac:dyDescent="0.25">
      <c r="A13" s="260"/>
      <c r="B13" s="241">
        <v>1</v>
      </c>
      <c r="C13" s="244" t="str">
        <f>IF(AND('Data Dan'!$I$6="1 Dan",'Data Dan'!$N$6="LULUS"),VLOOKUP(B13,'Data Dan'!$A$6:$I$475,3,0),"")</f>
        <v>XX.X.XX.XX.XX.001</v>
      </c>
      <c r="D13" s="245"/>
      <c r="E13" s="245"/>
      <c r="F13" s="248"/>
      <c r="G13" s="249"/>
      <c r="H13" s="250" t="str">
        <f>_xlfn.IFNA(INDEX('Data Dan'!$I$6:$I$495,MATCH(C13,'Data Dan'!$C$6:$C$495,0)),"")</f>
        <v>1 DAN</v>
      </c>
      <c r="I13" s="224" t="str">
        <f t="shared" ref="I13" si="0">IF(AND(S13&lt;&gt;"",V13&lt;&gt;""),IF(V13&gt;=90,"Excellent",IF(V13&gt;=80,"Very Good",IF(V13&gt;=70,"Good",IF(V13&gt;=60,"Fair","Poor")))),"")</f>
        <v>Very Good</v>
      </c>
      <c r="J13" s="224"/>
      <c r="K13" s="44"/>
      <c r="L13" s="45"/>
      <c r="M13" s="45"/>
      <c r="N13" s="46"/>
      <c r="O13" s="44"/>
      <c r="P13" s="45"/>
      <c r="Q13" s="45"/>
      <c r="R13" s="46"/>
      <c r="S13" s="224">
        <v>315</v>
      </c>
      <c r="T13" s="224"/>
      <c r="U13" s="224"/>
      <c r="V13" s="252">
        <v>87</v>
      </c>
      <c r="W13" s="252"/>
      <c r="Y13" s="214" t="str">
        <f>_xlfn.IFNA(VLOOKUP(C13,'Data Dan'!$C$6:$N$995,12,0),"No Data")</f>
        <v>LULUS</v>
      </c>
    </row>
    <row r="14" spans="1:26" ht="12" customHeight="1" x14ac:dyDescent="0.25">
      <c r="A14" s="261"/>
      <c r="B14" s="242"/>
      <c r="C14" s="246"/>
      <c r="D14" s="247"/>
      <c r="E14" s="247"/>
      <c r="F14" s="248"/>
      <c r="G14" s="249"/>
      <c r="H14" s="251"/>
      <c r="I14" s="224"/>
      <c r="J14" s="224"/>
      <c r="K14" s="47"/>
      <c r="L14" s="224" t="str">
        <f>IF(C13&lt;&gt;"","V","")</f>
        <v>V</v>
      </c>
      <c r="M14" s="224"/>
      <c r="N14" s="47"/>
      <c r="O14" s="47"/>
      <c r="P14" s="224" t="str">
        <f>IF(C13&lt;&gt;"","V","")</f>
        <v>V</v>
      </c>
      <c r="Q14" s="224"/>
      <c r="R14" s="47"/>
      <c r="S14" s="224"/>
      <c r="T14" s="224"/>
      <c r="U14" s="224"/>
      <c r="V14" s="252"/>
      <c r="W14" s="252"/>
      <c r="Y14" s="214"/>
    </row>
    <row r="15" spans="1:26" ht="9" customHeight="1" x14ac:dyDescent="0.25">
      <c r="A15" s="261"/>
      <c r="B15" s="242"/>
      <c r="C15" s="225" t="str">
        <f>_xlfn.IFNA(INDEX('Data Dan'!$B$6:$B$501,MATCH(C13,'Data Dan'!$C$6:$C$501,0)),"")</f>
        <v>Kenshi 1</v>
      </c>
      <c r="D15" s="226"/>
      <c r="E15" s="226"/>
      <c r="F15" s="226"/>
      <c r="G15" s="226"/>
      <c r="H15" s="227"/>
      <c r="I15" s="224"/>
      <c r="J15" s="224"/>
      <c r="K15" s="47"/>
      <c r="L15" s="224"/>
      <c r="M15" s="224"/>
      <c r="N15" s="47"/>
      <c r="O15" s="47"/>
      <c r="P15" s="224"/>
      <c r="Q15" s="224"/>
      <c r="R15" s="47"/>
      <c r="S15" s="224"/>
      <c r="T15" s="224"/>
      <c r="U15" s="224"/>
      <c r="V15" s="252"/>
      <c r="W15" s="252"/>
      <c r="Y15" s="214"/>
    </row>
    <row r="16" spans="1:26" ht="9" customHeight="1" x14ac:dyDescent="0.25">
      <c r="A16" s="261"/>
      <c r="B16" s="243"/>
      <c r="C16" s="228"/>
      <c r="D16" s="229"/>
      <c r="E16" s="229"/>
      <c r="F16" s="229"/>
      <c r="G16" s="229"/>
      <c r="H16" s="230"/>
      <c r="I16" s="224"/>
      <c r="J16" s="224"/>
      <c r="K16" s="48"/>
      <c r="L16" s="49"/>
      <c r="M16" s="49"/>
      <c r="N16" s="50"/>
      <c r="O16" s="48"/>
      <c r="P16" s="49"/>
      <c r="Q16" s="49"/>
      <c r="R16" s="50"/>
      <c r="S16" s="224"/>
      <c r="T16" s="224"/>
      <c r="U16" s="224"/>
      <c r="V16" s="252"/>
      <c r="W16" s="252"/>
      <c r="Y16" s="214"/>
    </row>
    <row r="17" spans="2:25" ht="7.5" customHeight="1" x14ac:dyDescent="0.25">
      <c r="B17" s="241">
        <f>B13+1</f>
        <v>2</v>
      </c>
      <c r="C17" s="244" t="str">
        <f>IF(AND('Data Dan'!$I$7="1 Dan",'Data Dan'!$N$7="LULUS"),VLOOKUP(B17,'Data Dan'!$A$6:$I$475,3,0),"")</f>
        <v>XX.X.XX.XX.XX.002</v>
      </c>
      <c r="D17" s="245"/>
      <c r="E17" s="245"/>
      <c r="F17" s="248"/>
      <c r="G17" s="249"/>
      <c r="H17" s="250" t="str">
        <f>_xlfn.IFNA(INDEX('Data Dan'!$I$6:$I$495,MATCH(C17,'Data Dan'!$C$6:$C$495,0)),"")</f>
        <v>1 DAN</v>
      </c>
      <c r="I17" s="224" t="str">
        <f t="shared" ref="I17" si="1">IF(AND(S17&lt;&gt;"",V17&lt;&gt;""),IF(V17&gt;=90,"Excellent",IF(V17&gt;=80,"Very Good",IF(V17&gt;=70,"Good",IF(V17&gt;=60,"Fair","Poor")))),"")</f>
        <v>Good</v>
      </c>
      <c r="J17" s="224"/>
      <c r="K17" s="44"/>
      <c r="L17" s="45"/>
      <c r="M17" s="45"/>
      <c r="N17" s="46"/>
      <c r="O17" s="44"/>
      <c r="P17" s="45"/>
      <c r="Q17" s="45"/>
      <c r="R17" s="46"/>
      <c r="S17" s="224">
        <v>310</v>
      </c>
      <c r="T17" s="224"/>
      <c r="U17" s="224"/>
      <c r="V17" s="252">
        <v>75</v>
      </c>
      <c r="W17" s="252"/>
      <c r="Y17" s="214" t="str">
        <f>_xlfn.IFNA(VLOOKUP(C17,'Data Dan'!$C$6:$N$995,12,0),"No Data")</f>
        <v>LULUS</v>
      </c>
    </row>
    <row r="18" spans="2:25" ht="12" customHeight="1" x14ac:dyDescent="0.25">
      <c r="B18" s="242"/>
      <c r="C18" s="246"/>
      <c r="D18" s="247"/>
      <c r="E18" s="247"/>
      <c r="F18" s="248"/>
      <c r="G18" s="249"/>
      <c r="H18" s="251"/>
      <c r="I18" s="224"/>
      <c r="J18" s="224"/>
      <c r="K18" s="47"/>
      <c r="L18" s="224" t="str">
        <f>IF(C17&lt;&gt;"","V","")</f>
        <v>V</v>
      </c>
      <c r="M18" s="224"/>
      <c r="N18" s="47"/>
      <c r="O18" s="47"/>
      <c r="P18" s="224" t="str">
        <f>IF(C17&lt;&gt;"","V","")</f>
        <v>V</v>
      </c>
      <c r="Q18" s="224"/>
      <c r="R18" s="47"/>
      <c r="S18" s="224"/>
      <c r="T18" s="224"/>
      <c r="U18" s="224"/>
      <c r="V18" s="252"/>
      <c r="W18" s="252"/>
      <c r="Y18" s="214"/>
    </row>
    <row r="19" spans="2:25" ht="9" customHeight="1" x14ac:dyDescent="0.25">
      <c r="B19" s="242"/>
      <c r="C19" s="225" t="str">
        <f>_xlfn.IFNA(INDEX('Data Dan'!$B$6:$B$501,MATCH(C17,'Data Dan'!$C$6:$C$501,0)),"")</f>
        <v>Kenshi 2</v>
      </c>
      <c r="D19" s="226"/>
      <c r="E19" s="226"/>
      <c r="F19" s="226"/>
      <c r="G19" s="226"/>
      <c r="H19" s="227"/>
      <c r="I19" s="224"/>
      <c r="J19" s="224"/>
      <c r="K19" s="47"/>
      <c r="L19" s="224"/>
      <c r="M19" s="224"/>
      <c r="N19" s="47"/>
      <c r="O19" s="47"/>
      <c r="P19" s="224"/>
      <c r="Q19" s="224"/>
      <c r="R19" s="47"/>
      <c r="S19" s="224"/>
      <c r="T19" s="224"/>
      <c r="U19" s="224"/>
      <c r="V19" s="252"/>
      <c r="W19" s="252"/>
      <c r="Y19" s="214"/>
    </row>
    <row r="20" spans="2:25" ht="9" customHeight="1" x14ac:dyDescent="0.25">
      <c r="B20" s="243"/>
      <c r="C20" s="228"/>
      <c r="D20" s="229"/>
      <c r="E20" s="229"/>
      <c r="F20" s="229"/>
      <c r="G20" s="229"/>
      <c r="H20" s="230"/>
      <c r="I20" s="224"/>
      <c r="J20" s="224"/>
      <c r="K20" s="48"/>
      <c r="L20" s="49"/>
      <c r="M20" s="49"/>
      <c r="N20" s="50"/>
      <c r="O20" s="48"/>
      <c r="P20" s="49"/>
      <c r="Q20" s="49"/>
      <c r="R20" s="50"/>
      <c r="S20" s="224"/>
      <c r="T20" s="224"/>
      <c r="U20" s="224"/>
      <c r="V20" s="252"/>
      <c r="W20" s="252"/>
      <c r="Y20" s="214"/>
    </row>
    <row r="21" spans="2:25" ht="7.5" customHeight="1" x14ac:dyDescent="0.25">
      <c r="B21" s="241">
        <f t="shared" ref="B21" si="2">B17+1</f>
        <v>3</v>
      </c>
      <c r="C21" s="244" t="str">
        <f>IF(AND('Data Dan'!$I$8="1 Dan",'Data Dan'!$N$8="LULUS"),VLOOKUP(B21,'Data Dan'!$A$6:$I$475,3,0),"")</f>
        <v>XX.X.XX.XX.XX.003</v>
      </c>
      <c r="D21" s="245"/>
      <c r="E21" s="245"/>
      <c r="F21" s="248"/>
      <c r="G21" s="249"/>
      <c r="H21" s="250" t="str">
        <f>_xlfn.IFNA(INDEX('Data Dan'!$I$6:$I$495,MATCH(C21,'Data Dan'!$C$6:$C$495,0)),"")</f>
        <v>1 DAN</v>
      </c>
      <c r="I21" s="224" t="str">
        <f t="shared" ref="I21" si="3">IF(AND(S21&lt;&gt;"",V21&lt;&gt;""),IF(V21&gt;=90,"Excellent",IF(V21&gt;=80,"Very Good",IF(V21&gt;=70,"Good",IF(V21&gt;=60,"Fair","Poor")))),"")</f>
        <v/>
      </c>
      <c r="J21" s="224"/>
      <c r="K21" s="44"/>
      <c r="L21" s="45"/>
      <c r="M21" s="45"/>
      <c r="N21" s="46"/>
      <c r="O21" s="44"/>
      <c r="P21" s="45"/>
      <c r="Q21" s="45"/>
      <c r="R21" s="46"/>
      <c r="S21" s="224"/>
      <c r="T21" s="224"/>
      <c r="U21" s="224"/>
      <c r="V21" s="252">
        <v>80</v>
      </c>
      <c r="W21" s="252"/>
      <c r="Y21" s="214" t="str">
        <f>_xlfn.IFNA(VLOOKUP(C21,'Data Dan'!$C$6:$N$995,12,0),"No Data")</f>
        <v>LULUS</v>
      </c>
    </row>
    <row r="22" spans="2:25" ht="12" customHeight="1" x14ac:dyDescent="0.25">
      <c r="B22" s="242"/>
      <c r="C22" s="246"/>
      <c r="D22" s="247"/>
      <c r="E22" s="247"/>
      <c r="F22" s="248"/>
      <c r="G22" s="249"/>
      <c r="H22" s="251"/>
      <c r="I22" s="224"/>
      <c r="J22" s="224"/>
      <c r="K22" s="47"/>
      <c r="L22" s="224" t="str">
        <f>IF(C21&lt;&gt;"","V","")</f>
        <v>V</v>
      </c>
      <c r="M22" s="224"/>
      <c r="N22" s="47"/>
      <c r="O22" s="47"/>
      <c r="P22" s="224" t="str">
        <f>IF(C21&lt;&gt;"","V","")</f>
        <v>V</v>
      </c>
      <c r="Q22" s="224"/>
      <c r="R22" s="47"/>
      <c r="S22" s="224"/>
      <c r="T22" s="224"/>
      <c r="U22" s="224"/>
      <c r="V22" s="252"/>
      <c r="W22" s="252"/>
      <c r="Y22" s="214"/>
    </row>
    <row r="23" spans="2:25" ht="9" customHeight="1" x14ac:dyDescent="0.25">
      <c r="B23" s="242"/>
      <c r="C23" s="225" t="str">
        <f>_xlfn.IFNA(INDEX('Data Dan'!$B$6:$B$501,MATCH(C21,'Data Dan'!$C$6:$C$501,0)),"")</f>
        <v>Kenshi 3</v>
      </c>
      <c r="D23" s="226"/>
      <c r="E23" s="226"/>
      <c r="F23" s="226"/>
      <c r="G23" s="226"/>
      <c r="H23" s="227"/>
      <c r="I23" s="224"/>
      <c r="J23" s="224"/>
      <c r="K23" s="47"/>
      <c r="L23" s="224"/>
      <c r="M23" s="224"/>
      <c r="N23" s="47"/>
      <c r="O23" s="47"/>
      <c r="P23" s="224"/>
      <c r="Q23" s="224"/>
      <c r="R23" s="47"/>
      <c r="S23" s="224"/>
      <c r="T23" s="224"/>
      <c r="U23" s="224"/>
      <c r="V23" s="252"/>
      <c r="W23" s="252"/>
      <c r="Y23" s="214"/>
    </row>
    <row r="24" spans="2:25" ht="9" customHeight="1" x14ac:dyDescent="0.25">
      <c r="B24" s="243"/>
      <c r="C24" s="228"/>
      <c r="D24" s="229"/>
      <c r="E24" s="229"/>
      <c r="F24" s="229"/>
      <c r="G24" s="229"/>
      <c r="H24" s="230"/>
      <c r="I24" s="224"/>
      <c r="J24" s="224"/>
      <c r="K24" s="48"/>
      <c r="L24" s="49"/>
      <c r="M24" s="49"/>
      <c r="N24" s="50"/>
      <c r="O24" s="48"/>
      <c r="P24" s="49"/>
      <c r="Q24" s="49"/>
      <c r="R24" s="50"/>
      <c r="S24" s="224"/>
      <c r="T24" s="224"/>
      <c r="U24" s="224"/>
      <c r="V24" s="252"/>
      <c r="W24" s="252"/>
      <c r="Y24" s="214"/>
    </row>
    <row r="25" spans="2:25" ht="7.5" customHeight="1" x14ac:dyDescent="0.25">
      <c r="B25" s="241">
        <f t="shared" ref="B25" si="4">B21+1</f>
        <v>4</v>
      </c>
      <c r="C25" s="244" t="str">
        <f>IF(AND('Data Dan'!$I$9="1 Dan",'Data Dan'!$N$9="LULUS"),VLOOKUP(B25,'Data Dan'!$A$6:$I$475,3,0),"")</f>
        <v>XX.X.XX.XX.XX.004</v>
      </c>
      <c r="D25" s="245"/>
      <c r="E25" s="245"/>
      <c r="F25" s="248"/>
      <c r="G25" s="249"/>
      <c r="H25" s="250" t="str">
        <f>_xlfn.IFNA(INDEX('Data Dan'!$I$6:$I$495,MATCH(C25,'Data Dan'!$C$6:$C$495,0)),"")</f>
        <v>1 DAN</v>
      </c>
      <c r="I25" s="224" t="str">
        <f t="shared" ref="I25" si="5">IF(AND(S25&lt;&gt;"",V25&lt;&gt;""),IF(V25&gt;=90,"Excellent",IF(V25&gt;=80,"Very Good",IF(V25&gt;=70,"Good",IF(V25&gt;=60,"Fair","Poor")))),"")</f>
        <v/>
      </c>
      <c r="J25" s="224"/>
      <c r="K25" s="44"/>
      <c r="L25" s="45"/>
      <c r="M25" s="45"/>
      <c r="N25" s="46"/>
      <c r="O25" s="44"/>
      <c r="P25" s="45"/>
      <c r="Q25" s="45"/>
      <c r="R25" s="46"/>
      <c r="S25" s="224"/>
      <c r="T25" s="224"/>
      <c r="U25" s="224"/>
      <c r="V25" s="252"/>
      <c r="W25" s="252"/>
      <c r="Y25" s="214" t="str">
        <f>_xlfn.IFNA(VLOOKUP(C25,'Data Dan'!$C$6:$N$995,12,0),"No Data")</f>
        <v>LULUS</v>
      </c>
    </row>
    <row r="26" spans="2:25" ht="12" customHeight="1" x14ac:dyDescent="0.25">
      <c r="B26" s="242"/>
      <c r="C26" s="246"/>
      <c r="D26" s="247"/>
      <c r="E26" s="247"/>
      <c r="F26" s="248"/>
      <c r="G26" s="249"/>
      <c r="H26" s="251"/>
      <c r="I26" s="224"/>
      <c r="J26" s="224"/>
      <c r="K26" s="47"/>
      <c r="L26" s="224" t="str">
        <f>IF(C25&lt;&gt;"","V","")</f>
        <v>V</v>
      </c>
      <c r="M26" s="224"/>
      <c r="N26" s="47"/>
      <c r="O26" s="47"/>
      <c r="P26" s="224" t="str">
        <f>IF(C25&lt;&gt;"","V","")</f>
        <v>V</v>
      </c>
      <c r="Q26" s="224"/>
      <c r="R26" s="47"/>
      <c r="S26" s="224"/>
      <c r="T26" s="224"/>
      <c r="U26" s="224"/>
      <c r="V26" s="252"/>
      <c r="W26" s="252"/>
      <c r="Y26" s="214"/>
    </row>
    <row r="27" spans="2:25" ht="9" customHeight="1" x14ac:dyDescent="0.25">
      <c r="B27" s="242"/>
      <c r="C27" s="225" t="str">
        <f>_xlfn.IFNA(INDEX('Data Dan'!$B$6:$B$501,MATCH(C25,'Data Dan'!$C$6:$C$501,0)),"")</f>
        <v>Kenshi 4</v>
      </c>
      <c r="D27" s="226"/>
      <c r="E27" s="226"/>
      <c r="F27" s="226"/>
      <c r="G27" s="226"/>
      <c r="H27" s="227"/>
      <c r="I27" s="224"/>
      <c r="J27" s="224"/>
      <c r="K27" s="47"/>
      <c r="L27" s="224"/>
      <c r="M27" s="224"/>
      <c r="N27" s="47"/>
      <c r="O27" s="47"/>
      <c r="P27" s="224"/>
      <c r="Q27" s="224"/>
      <c r="R27" s="47"/>
      <c r="S27" s="224"/>
      <c r="T27" s="224"/>
      <c r="U27" s="224"/>
      <c r="V27" s="252"/>
      <c r="W27" s="252"/>
      <c r="Y27" s="214"/>
    </row>
    <row r="28" spans="2:25" ht="9" customHeight="1" x14ac:dyDescent="0.25">
      <c r="B28" s="243"/>
      <c r="C28" s="228"/>
      <c r="D28" s="229"/>
      <c r="E28" s="229"/>
      <c r="F28" s="229"/>
      <c r="G28" s="229"/>
      <c r="H28" s="230"/>
      <c r="I28" s="224"/>
      <c r="J28" s="224"/>
      <c r="K28" s="48"/>
      <c r="L28" s="49"/>
      <c r="M28" s="49"/>
      <c r="N28" s="50"/>
      <c r="O28" s="48"/>
      <c r="P28" s="49"/>
      <c r="Q28" s="49"/>
      <c r="R28" s="50"/>
      <c r="S28" s="224"/>
      <c r="T28" s="224"/>
      <c r="U28" s="224"/>
      <c r="V28" s="252"/>
      <c r="W28" s="252"/>
      <c r="Y28" s="214"/>
    </row>
    <row r="29" spans="2:25" ht="7.5" customHeight="1" x14ac:dyDescent="0.25">
      <c r="B29" s="241">
        <f t="shared" ref="B29" si="6">B25+1</f>
        <v>5</v>
      </c>
      <c r="C29" s="244" t="str">
        <f>IF(AND('Data Dan'!$I$10="1 Dan",'Data Dan'!$N$10="LULUS"),VLOOKUP(B29,'Data Dan'!$A$6:$I$475,3,0),"")</f>
        <v>XX.X.XX.XX.XX.005</v>
      </c>
      <c r="D29" s="245"/>
      <c r="E29" s="245"/>
      <c r="F29" s="248"/>
      <c r="G29" s="249"/>
      <c r="H29" s="250" t="str">
        <f>_xlfn.IFNA(INDEX('Data Dan'!$I$6:$I$495,MATCH(C29,'Data Dan'!$C$6:$C$495,0)),"")</f>
        <v>1 DAN</v>
      </c>
      <c r="I29" s="224" t="str">
        <f t="shared" ref="I29" si="7">IF(AND(S29&lt;&gt;"",V29&lt;&gt;""),IF(V29&gt;=90,"Excellent",IF(V29&gt;=80,"Very Good",IF(V29&gt;=70,"Good",IF(V29&gt;=60,"Fair","Poor")))),"")</f>
        <v/>
      </c>
      <c r="J29" s="224"/>
      <c r="K29" s="44"/>
      <c r="L29" s="45"/>
      <c r="M29" s="45"/>
      <c r="N29" s="46"/>
      <c r="O29" s="44"/>
      <c r="P29" s="45"/>
      <c r="Q29" s="45"/>
      <c r="R29" s="46"/>
      <c r="S29" s="224"/>
      <c r="T29" s="224"/>
      <c r="U29" s="224"/>
      <c r="V29" s="252"/>
      <c r="W29" s="252"/>
      <c r="Y29" s="214" t="str">
        <f>_xlfn.IFNA(VLOOKUP(C29,'Data Dan'!$C$6:$N$995,12,0),"No Data")</f>
        <v>LULUS</v>
      </c>
    </row>
    <row r="30" spans="2:25" ht="12" customHeight="1" x14ac:dyDescent="0.25">
      <c r="B30" s="242"/>
      <c r="C30" s="246"/>
      <c r="D30" s="247"/>
      <c r="E30" s="247"/>
      <c r="F30" s="248"/>
      <c r="G30" s="249"/>
      <c r="H30" s="251"/>
      <c r="I30" s="224"/>
      <c r="J30" s="224"/>
      <c r="K30" s="47"/>
      <c r="L30" s="224" t="str">
        <f>IF(C29&lt;&gt;"","V","")</f>
        <v>V</v>
      </c>
      <c r="M30" s="224"/>
      <c r="N30" s="47"/>
      <c r="O30" s="47"/>
      <c r="P30" s="224" t="str">
        <f>IF(C29&lt;&gt;"","V","")</f>
        <v>V</v>
      </c>
      <c r="Q30" s="224"/>
      <c r="R30" s="47"/>
      <c r="S30" s="224"/>
      <c r="T30" s="224"/>
      <c r="U30" s="224"/>
      <c r="V30" s="252"/>
      <c r="W30" s="252"/>
      <c r="Y30" s="214"/>
    </row>
    <row r="31" spans="2:25" ht="9" customHeight="1" x14ac:dyDescent="0.25">
      <c r="B31" s="242"/>
      <c r="C31" s="225" t="str">
        <f>_xlfn.IFNA(INDEX('Data Dan'!$B$6:$B$501,MATCH(C29,'Data Dan'!$C$6:$C$501,0)),"")</f>
        <v>Kenshi 5</v>
      </c>
      <c r="D31" s="226"/>
      <c r="E31" s="226"/>
      <c r="F31" s="226"/>
      <c r="G31" s="226"/>
      <c r="H31" s="227"/>
      <c r="I31" s="224"/>
      <c r="J31" s="224"/>
      <c r="K31" s="47"/>
      <c r="L31" s="224"/>
      <c r="M31" s="224"/>
      <c r="N31" s="47"/>
      <c r="O31" s="47"/>
      <c r="P31" s="224"/>
      <c r="Q31" s="224"/>
      <c r="R31" s="47"/>
      <c r="S31" s="224"/>
      <c r="T31" s="224"/>
      <c r="U31" s="224"/>
      <c r="V31" s="252"/>
      <c r="W31" s="252"/>
      <c r="Y31" s="214"/>
    </row>
    <row r="32" spans="2:25" ht="9" customHeight="1" x14ac:dyDescent="0.25">
      <c r="B32" s="243"/>
      <c r="C32" s="228"/>
      <c r="D32" s="229"/>
      <c r="E32" s="229"/>
      <c r="F32" s="229"/>
      <c r="G32" s="229"/>
      <c r="H32" s="230"/>
      <c r="I32" s="224"/>
      <c r="J32" s="224"/>
      <c r="K32" s="48"/>
      <c r="L32" s="49"/>
      <c r="M32" s="49"/>
      <c r="N32" s="50"/>
      <c r="O32" s="48"/>
      <c r="P32" s="49"/>
      <c r="Q32" s="49"/>
      <c r="R32" s="50"/>
      <c r="S32" s="224"/>
      <c r="T32" s="224"/>
      <c r="U32" s="224"/>
      <c r="V32" s="252"/>
      <c r="W32" s="252"/>
      <c r="Y32" s="214"/>
    </row>
    <row r="33" spans="2:25" ht="7.5" customHeight="1" x14ac:dyDescent="0.25">
      <c r="B33" s="241">
        <f t="shared" ref="B33" si="8">B29+1</f>
        <v>6</v>
      </c>
      <c r="C33" s="244" t="str">
        <f>IF(AND('Data Dan'!$I$11="1 Dan",'Data Dan'!$N$11="LULUS"),VLOOKUP(B33,'Data Dan'!$A$6:$I$475,3,0),"")</f>
        <v>XX.X.XX.XX.XX.006</v>
      </c>
      <c r="D33" s="245"/>
      <c r="E33" s="245"/>
      <c r="F33" s="248"/>
      <c r="G33" s="249"/>
      <c r="H33" s="250" t="str">
        <f>_xlfn.IFNA(INDEX('Data Dan'!$I$6:$I$495,MATCH(C33,'Data Dan'!$C$6:$C$495,0)),"")</f>
        <v>1 DAN</v>
      </c>
      <c r="I33" s="224" t="str">
        <f t="shared" ref="I33" si="9">IF(AND(S33&lt;&gt;"",V33&lt;&gt;""),IF(V33&gt;=90,"Excellent",IF(V33&gt;=80,"Very Good",IF(V33&gt;=70,"Good",IF(V33&gt;=60,"Fair","Poor")))),"")</f>
        <v/>
      </c>
      <c r="J33" s="224"/>
      <c r="K33" s="44"/>
      <c r="L33" s="45"/>
      <c r="M33" s="45"/>
      <c r="N33" s="46"/>
      <c r="O33" s="44"/>
      <c r="P33" s="45"/>
      <c r="Q33" s="45"/>
      <c r="R33" s="46"/>
      <c r="S33" s="224"/>
      <c r="T33" s="224"/>
      <c r="U33" s="224"/>
      <c r="V33" s="252"/>
      <c r="W33" s="252"/>
      <c r="Y33" s="214" t="str">
        <f>_xlfn.IFNA(VLOOKUP(C33,'Data Dan'!$C$6:$N$995,12,0),"No Data")</f>
        <v>LULUS</v>
      </c>
    </row>
    <row r="34" spans="2:25" ht="12" customHeight="1" x14ac:dyDescent="0.25">
      <c r="B34" s="242"/>
      <c r="C34" s="246"/>
      <c r="D34" s="247"/>
      <c r="E34" s="247"/>
      <c r="F34" s="248"/>
      <c r="G34" s="249"/>
      <c r="H34" s="251"/>
      <c r="I34" s="224"/>
      <c r="J34" s="224"/>
      <c r="K34" s="47"/>
      <c r="L34" s="224" t="str">
        <f>IF(C33&lt;&gt;"","V","")</f>
        <v>V</v>
      </c>
      <c r="M34" s="224"/>
      <c r="N34" s="47"/>
      <c r="O34" s="47"/>
      <c r="P34" s="224" t="str">
        <f>IF(C33&lt;&gt;"","V","")</f>
        <v>V</v>
      </c>
      <c r="Q34" s="224"/>
      <c r="R34" s="47"/>
      <c r="S34" s="224"/>
      <c r="T34" s="224"/>
      <c r="U34" s="224"/>
      <c r="V34" s="252"/>
      <c r="W34" s="252"/>
      <c r="Y34" s="214"/>
    </row>
    <row r="35" spans="2:25" ht="9" customHeight="1" x14ac:dyDescent="0.25">
      <c r="B35" s="242"/>
      <c r="C35" s="225" t="str">
        <f>_xlfn.IFNA(INDEX('Data Dan'!$B$6:$B$501,MATCH(C33,'Data Dan'!$C$6:$C$501,0)),"")</f>
        <v>Kenshi 6</v>
      </c>
      <c r="D35" s="226"/>
      <c r="E35" s="226"/>
      <c r="F35" s="226"/>
      <c r="G35" s="226"/>
      <c r="H35" s="227"/>
      <c r="I35" s="224"/>
      <c r="J35" s="224"/>
      <c r="K35" s="47"/>
      <c r="L35" s="224"/>
      <c r="M35" s="224"/>
      <c r="N35" s="47"/>
      <c r="O35" s="47"/>
      <c r="P35" s="224"/>
      <c r="Q35" s="224"/>
      <c r="R35" s="47"/>
      <c r="S35" s="224"/>
      <c r="T35" s="224"/>
      <c r="U35" s="224"/>
      <c r="V35" s="252"/>
      <c r="W35" s="252"/>
      <c r="Y35" s="214"/>
    </row>
    <row r="36" spans="2:25" ht="9" customHeight="1" x14ac:dyDescent="0.25">
      <c r="B36" s="243"/>
      <c r="C36" s="228"/>
      <c r="D36" s="229"/>
      <c r="E36" s="229"/>
      <c r="F36" s="229"/>
      <c r="G36" s="229"/>
      <c r="H36" s="230"/>
      <c r="I36" s="224"/>
      <c r="J36" s="224"/>
      <c r="K36" s="48"/>
      <c r="L36" s="49"/>
      <c r="M36" s="49"/>
      <c r="N36" s="50"/>
      <c r="O36" s="48"/>
      <c r="P36" s="49"/>
      <c r="Q36" s="49"/>
      <c r="R36" s="50"/>
      <c r="S36" s="224"/>
      <c r="T36" s="224"/>
      <c r="U36" s="224"/>
      <c r="V36" s="252"/>
      <c r="W36" s="252"/>
      <c r="Y36" s="214"/>
    </row>
    <row r="37" spans="2:25" ht="7.5" customHeight="1" x14ac:dyDescent="0.25">
      <c r="B37" s="241">
        <f t="shared" ref="B37" si="10">B33+1</f>
        <v>7</v>
      </c>
      <c r="C37" s="244" t="str">
        <f>IF(AND('Data Dan'!$I$12="1 Dan",'Data Dan'!$N$12="LULUS"),VLOOKUP(B37,'Data Dan'!$A$6:$I$475,3,0),"")</f>
        <v>XX.X.XX.XX.XX.007</v>
      </c>
      <c r="D37" s="245"/>
      <c r="E37" s="245"/>
      <c r="F37" s="248"/>
      <c r="G37" s="249"/>
      <c r="H37" s="250" t="str">
        <f>_xlfn.IFNA(INDEX('Data Dan'!$I$6:$I$495,MATCH(C37,'Data Dan'!$C$6:$C$495,0)),"")</f>
        <v>1 DAN</v>
      </c>
      <c r="I37" s="224" t="str">
        <f t="shared" ref="I37" si="11">IF(AND(S37&lt;&gt;"",V37&lt;&gt;""),IF(V37&gt;=90,"Excellent",IF(V37&gt;=80,"Very Good",IF(V37&gt;=70,"Good",IF(V37&gt;=60,"Fair","Poor")))),"")</f>
        <v/>
      </c>
      <c r="J37" s="224"/>
      <c r="K37" s="44"/>
      <c r="L37" s="45"/>
      <c r="M37" s="45"/>
      <c r="N37" s="46"/>
      <c r="O37" s="44"/>
      <c r="P37" s="45"/>
      <c r="Q37" s="45"/>
      <c r="R37" s="46"/>
      <c r="S37" s="224"/>
      <c r="T37" s="224"/>
      <c r="U37" s="224"/>
      <c r="V37" s="252"/>
      <c r="W37" s="252"/>
      <c r="Y37" s="214" t="str">
        <f>_xlfn.IFNA(VLOOKUP(C37,'Data Dan'!$C$6:$N$995,12,0),"No Data")</f>
        <v>LULUS</v>
      </c>
    </row>
    <row r="38" spans="2:25" ht="12" customHeight="1" x14ac:dyDescent="0.25">
      <c r="B38" s="242"/>
      <c r="C38" s="246"/>
      <c r="D38" s="247"/>
      <c r="E38" s="247"/>
      <c r="F38" s="248"/>
      <c r="G38" s="249"/>
      <c r="H38" s="251"/>
      <c r="I38" s="224"/>
      <c r="J38" s="224"/>
      <c r="K38" s="47"/>
      <c r="L38" s="224" t="str">
        <f>IF(C37&lt;&gt;"","V","")</f>
        <v>V</v>
      </c>
      <c r="M38" s="224"/>
      <c r="N38" s="47"/>
      <c r="O38" s="47"/>
      <c r="P38" s="224" t="str">
        <f>IF(C37&lt;&gt;"","V","")</f>
        <v>V</v>
      </c>
      <c r="Q38" s="224"/>
      <c r="R38" s="47"/>
      <c r="S38" s="224"/>
      <c r="T38" s="224"/>
      <c r="U38" s="224"/>
      <c r="V38" s="252"/>
      <c r="W38" s="252"/>
      <c r="Y38" s="214"/>
    </row>
    <row r="39" spans="2:25" ht="9" customHeight="1" x14ac:dyDescent="0.25">
      <c r="B39" s="242"/>
      <c r="C39" s="225" t="str">
        <f>_xlfn.IFNA(INDEX('Data Dan'!$B$6:$B$501,MATCH(C37,'Data Dan'!$C$6:$C$501,0)),"")</f>
        <v>Kenshi 7</v>
      </c>
      <c r="D39" s="226"/>
      <c r="E39" s="226"/>
      <c r="F39" s="226"/>
      <c r="G39" s="226"/>
      <c r="H39" s="227"/>
      <c r="I39" s="224"/>
      <c r="J39" s="224"/>
      <c r="K39" s="47"/>
      <c r="L39" s="224"/>
      <c r="M39" s="224"/>
      <c r="N39" s="47"/>
      <c r="O39" s="47"/>
      <c r="P39" s="224"/>
      <c r="Q39" s="224"/>
      <c r="R39" s="47"/>
      <c r="S39" s="224"/>
      <c r="T39" s="224"/>
      <c r="U39" s="224"/>
      <c r="V39" s="252"/>
      <c r="W39" s="252"/>
      <c r="Y39" s="214"/>
    </row>
    <row r="40" spans="2:25" ht="9" customHeight="1" x14ac:dyDescent="0.25">
      <c r="B40" s="243"/>
      <c r="C40" s="228"/>
      <c r="D40" s="229"/>
      <c r="E40" s="229"/>
      <c r="F40" s="229"/>
      <c r="G40" s="229"/>
      <c r="H40" s="230"/>
      <c r="I40" s="224"/>
      <c r="J40" s="224"/>
      <c r="K40" s="48"/>
      <c r="L40" s="49"/>
      <c r="M40" s="49"/>
      <c r="N40" s="50"/>
      <c r="O40" s="48"/>
      <c r="P40" s="49"/>
      <c r="Q40" s="49"/>
      <c r="R40" s="50"/>
      <c r="S40" s="224"/>
      <c r="T40" s="224"/>
      <c r="U40" s="224"/>
      <c r="V40" s="252"/>
      <c r="W40" s="252"/>
      <c r="Y40" s="214"/>
    </row>
    <row r="41" spans="2:25" ht="7.5" customHeight="1" x14ac:dyDescent="0.25">
      <c r="B41" s="241">
        <f t="shared" ref="B41" si="12">B37+1</f>
        <v>8</v>
      </c>
      <c r="C41" s="244" t="str">
        <f>IF(AND('Data Dan'!$I$13="1 Dan",'Data Dan'!$N$13="LULUS"),VLOOKUP(B41,'Data Dan'!$A$6:$I$475,3,0),"")</f>
        <v>XX.X.XX.XX.XX.008</v>
      </c>
      <c r="D41" s="245"/>
      <c r="E41" s="245"/>
      <c r="F41" s="248"/>
      <c r="G41" s="249"/>
      <c r="H41" s="250" t="str">
        <f>_xlfn.IFNA(INDEX('Data Dan'!$I$6:$I$495,MATCH(C41,'Data Dan'!$C$6:$C$495,0)),"")</f>
        <v>1 DAN</v>
      </c>
      <c r="I41" s="224" t="str">
        <f t="shared" ref="I41" si="13">IF(AND(S41&lt;&gt;"",V41&lt;&gt;""),IF(V41&gt;=90,"Excellent",IF(V41&gt;=80,"Very Good",IF(V41&gt;=70,"Good",IF(V41&gt;=60,"Fair","Poor")))),"")</f>
        <v/>
      </c>
      <c r="J41" s="224"/>
      <c r="K41" s="44"/>
      <c r="L41" s="45"/>
      <c r="M41" s="45"/>
      <c r="N41" s="46"/>
      <c r="O41" s="44"/>
      <c r="P41" s="45"/>
      <c r="Q41" s="45"/>
      <c r="R41" s="46"/>
      <c r="S41" s="224"/>
      <c r="T41" s="224"/>
      <c r="U41" s="224"/>
      <c r="V41" s="252"/>
      <c r="W41" s="252"/>
      <c r="Y41" s="214" t="str">
        <f>_xlfn.IFNA(VLOOKUP(C41,'Data Dan'!$C$6:$N$995,12,0),"No Data")</f>
        <v>LULUS</v>
      </c>
    </row>
    <row r="42" spans="2:25" ht="12" customHeight="1" x14ac:dyDescent="0.25">
      <c r="B42" s="242"/>
      <c r="C42" s="246"/>
      <c r="D42" s="247"/>
      <c r="E42" s="247"/>
      <c r="F42" s="248"/>
      <c r="G42" s="249"/>
      <c r="H42" s="251"/>
      <c r="I42" s="224"/>
      <c r="J42" s="224"/>
      <c r="K42" s="47"/>
      <c r="L42" s="224" t="str">
        <f>IF(C41&lt;&gt;"","V","")</f>
        <v>V</v>
      </c>
      <c r="M42" s="224"/>
      <c r="N42" s="47"/>
      <c r="O42" s="47"/>
      <c r="P42" s="224" t="str">
        <f>IF(C41&lt;&gt;"","V","")</f>
        <v>V</v>
      </c>
      <c r="Q42" s="224"/>
      <c r="R42" s="47"/>
      <c r="S42" s="224"/>
      <c r="T42" s="224"/>
      <c r="U42" s="224"/>
      <c r="V42" s="252"/>
      <c r="W42" s="252"/>
      <c r="Y42" s="214"/>
    </row>
    <row r="43" spans="2:25" ht="9" customHeight="1" x14ac:dyDescent="0.25">
      <c r="B43" s="242"/>
      <c r="C43" s="225" t="str">
        <f>_xlfn.IFNA(INDEX('Data Dan'!$B$6:$B$501,MATCH(C41,'Data Dan'!$C$6:$C$501,0)),"")</f>
        <v>Kenshi 8</v>
      </c>
      <c r="D43" s="226"/>
      <c r="E43" s="226"/>
      <c r="F43" s="226"/>
      <c r="G43" s="226"/>
      <c r="H43" s="227"/>
      <c r="I43" s="224"/>
      <c r="J43" s="224"/>
      <c r="K43" s="47"/>
      <c r="L43" s="224"/>
      <c r="M43" s="224"/>
      <c r="N43" s="47"/>
      <c r="O43" s="47"/>
      <c r="P43" s="224"/>
      <c r="Q43" s="224"/>
      <c r="R43" s="47"/>
      <c r="S43" s="224"/>
      <c r="T43" s="224"/>
      <c r="U43" s="224"/>
      <c r="V43" s="252"/>
      <c r="W43" s="252"/>
      <c r="Y43" s="214"/>
    </row>
    <row r="44" spans="2:25" ht="9" customHeight="1" x14ac:dyDescent="0.25">
      <c r="B44" s="243"/>
      <c r="C44" s="228"/>
      <c r="D44" s="229"/>
      <c r="E44" s="229"/>
      <c r="F44" s="229"/>
      <c r="G44" s="229"/>
      <c r="H44" s="230"/>
      <c r="I44" s="224"/>
      <c r="J44" s="224"/>
      <c r="K44" s="48"/>
      <c r="L44" s="49"/>
      <c r="M44" s="49"/>
      <c r="N44" s="50"/>
      <c r="O44" s="48"/>
      <c r="P44" s="49"/>
      <c r="Q44" s="49"/>
      <c r="R44" s="50"/>
      <c r="S44" s="224"/>
      <c r="T44" s="224"/>
      <c r="U44" s="224"/>
      <c r="V44" s="252"/>
      <c r="W44" s="252"/>
      <c r="Y44" s="214"/>
    </row>
    <row r="45" spans="2:25" ht="7.5" customHeight="1" x14ac:dyDescent="0.25">
      <c r="B45" s="241">
        <f t="shared" ref="B45" si="14">B41+1</f>
        <v>9</v>
      </c>
      <c r="C45" s="244" t="str">
        <f>IF(AND('Data Dan'!$I$14="1 Dan",'Data Dan'!$N$14="LULUS"),VLOOKUP(B45,'Data Dan'!$A$6:$I$475,3,0),"")</f>
        <v>XX.X.XX.XX.XX.009</v>
      </c>
      <c r="D45" s="245"/>
      <c r="E45" s="245"/>
      <c r="F45" s="248"/>
      <c r="G45" s="249"/>
      <c r="H45" s="250" t="str">
        <f>_xlfn.IFNA(INDEX('Data Dan'!$I$6:$I$495,MATCH(C45,'Data Dan'!$C$6:$C$495,0)),"")</f>
        <v>1 DAN</v>
      </c>
      <c r="I45" s="224" t="str">
        <f t="shared" ref="I45" si="15">IF(AND(S45&lt;&gt;"",V45&lt;&gt;""),IF(V45&gt;=90,"Excellent",IF(V45&gt;=80,"Very Good",IF(V45&gt;=70,"Good",IF(V45&gt;=60,"Fair","Poor")))),"")</f>
        <v/>
      </c>
      <c r="J45" s="224"/>
      <c r="K45" s="44"/>
      <c r="L45" s="45"/>
      <c r="M45" s="45"/>
      <c r="N45" s="46"/>
      <c r="O45" s="44"/>
      <c r="P45" s="45"/>
      <c r="Q45" s="45"/>
      <c r="R45" s="46"/>
      <c r="S45" s="224"/>
      <c r="T45" s="224"/>
      <c r="U45" s="224"/>
      <c r="V45" s="252"/>
      <c r="W45" s="252"/>
      <c r="Y45" s="214" t="str">
        <f>_xlfn.IFNA(VLOOKUP(C45,'Data Dan'!$C$6:$N$995,12,0),"No Data")</f>
        <v>LULUS</v>
      </c>
    </row>
    <row r="46" spans="2:25" ht="12" customHeight="1" x14ac:dyDescent="0.25">
      <c r="B46" s="242"/>
      <c r="C46" s="246"/>
      <c r="D46" s="247"/>
      <c r="E46" s="247"/>
      <c r="F46" s="248"/>
      <c r="G46" s="249"/>
      <c r="H46" s="251"/>
      <c r="I46" s="224"/>
      <c r="J46" s="224"/>
      <c r="K46" s="47"/>
      <c r="L46" s="224" t="str">
        <f>IF(C45&lt;&gt;"","V","")</f>
        <v>V</v>
      </c>
      <c r="M46" s="224"/>
      <c r="N46" s="47"/>
      <c r="O46" s="47"/>
      <c r="P46" s="224" t="str">
        <f>IF(C45&lt;&gt;"","V","")</f>
        <v>V</v>
      </c>
      <c r="Q46" s="224"/>
      <c r="R46" s="47"/>
      <c r="S46" s="224"/>
      <c r="T46" s="224"/>
      <c r="U46" s="224"/>
      <c r="V46" s="252"/>
      <c r="W46" s="252"/>
      <c r="Y46" s="214"/>
    </row>
    <row r="47" spans="2:25" ht="9" customHeight="1" x14ac:dyDescent="0.25">
      <c r="B47" s="242"/>
      <c r="C47" s="225" t="str">
        <f>_xlfn.IFNA(INDEX('Data Dan'!$B$6:$B$501,MATCH(C45,'Data Dan'!$C$6:$C$501,0)),"")</f>
        <v>Kenshi 9</v>
      </c>
      <c r="D47" s="226"/>
      <c r="E47" s="226"/>
      <c r="F47" s="226"/>
      <c r="G47" s="226"/>
      <c r="H47" s="227"/>
      <c r="I47" s="224"/>
      <c r="J47" s="224"/>
      <c r="K47" s="47"/>
      <c r="L47" s="224"/>
      <c r="M47" s="224"/>
      <c r="N47" s="47"/>
      <c r="O47" s="47"/>
      <c r="P47" s="224"/>
      <c r="Q47" s="224"/>
      <c r="R47" s="47"/>
      <c r="S47" s="224"/>
      <c r="T47" s="224"/>
      <c r="U47" s="224"/>
      <c r="V47" s="252"/>
      <c r="W47" s="252"/>
      <c r="Y47" s="214"/>
    </row>
    <row r="48" spans="2:25" ht="9" customHeight="1" x14ac:dyDescent="0.25">
      <c r="B48" s="243"/>
      <c r="C48" s="228"/>
      <c r="D48" s="229"/>
      <c r="E48" s="229"/>
      <c r="F48" s="229"/>
      <c r="G48" s="229"/>
      <c r="H48" s="230"/>
      <c r="I48" s="224"/>
      <c r="J48" s="224"/>
      <c r="K48" s="48"/>
      <c r="L48" s="49"/>
      <c r="M48" s="49"/>
      <c r="N48" s="50"/>
      <c r="O48" s="48"/>
      <c r="P48" s="49"/>
      <c r="Q48" s="49"/>
      <c r="R48" s="50"/>
      <c r="S48" s="224"/>
      <c r="T48" s="224"/>
      <c r="U48" s="224"/>
      <c r="V48" s="252"/>
      <c r="W48" s="252"/>
      <c r="Y48" s="214"/>
    </row>
    <row r="49" spans="2:25" ht="7.5" customHeight="1" x14ac:dyDescent="0.25">
      <c r="B49" s="241">
        <f t="shared" ref="B49" si="16">B45+1</f>
        <v>10</v>
      </c>
      <c r="C49" s="244" t="str">
        <f>IF(AND('Data Dan'!$I$15="1 Dan",'Data Dan'!$N$15="LULUS"),VLOOKUP(B49,'Data Dan'!$A$6:$I$475,3,0),"")</f>
        <v>XX.X.XX.XX.XX.010</v>
      </c>
      <c r="D49" s="245"/>
      <c r="E49" s="245"/>
      <c r="F49" s="248"/>
      <c r="G49" s="249"/>
      <c r="H49" s="250" t="str">
        <f>_xlfn.IFNA(INDEX('Data Dan'!$I$6:$I$495,MATCH(C49,'Data Dan'!$C$6:$C$495,0)),"")</f>
        <v>1 DAN</v>
      </c>
      <c r="I49" s="224" t="str">
        <f t="shared" ref="I49" si="17">IF(AND(S49&lt;&gt;"",V49&lt;&gt;""),IF(V49&gt;=90,"Excellent",IF(V49&gt;=80,"Very Good",IF(V49&gt;=70,"Good",IF(V49&gt;=60,"Fair","Poor")))),"")</f>
        <v/>
      </c>
      <c r="J49" s="224"/>
      <c r="K49" s="44"/>
      <c r="L49" s="45"/>
      <c r="M49" s="45"/>
      <c r="N49" s="46"/>
      <c r="O49" s="44"/>
      <c r="P49" s="45"/>
      <c r="Q49" s="45"/>
      <c r="R49" s="46"/>
      <c r="S49" s="224"/>
      <c r="T49" s="224"/>
      <c r="U49" s="224"/>
      <c r="V49" s="252"/>
      <c r="W49" s="252"/>
      <c r="Y49" s="214" t="str">
        <f>_xlfn.IFNA(VLOOKUP(C49,'Data Dan'!$C$6:$N$995,12,0),"No Data")</f>
        <v>LULUS</v>
      </c>
    </row>
    <row r="50" spans="2:25" ht="12" customHeight="1" x14ac:dyDescent="0.25">
      <c r="B50" s="242"/>
      <c r="C50" s="246"/>
      <c r="D50" s="247"/>
      <c r="E50" s="247"/>
      <c r="F50" s="248"/>
      <c r="G50" s="249"/>
      <c r="H50" s="251"/>
      <c r="I50" s="224"/>
      <c r="J50" s="224"/>
      <c r="K50" s="47"/>
      <c r="L50" s="224" t="str">
        <f>IF(C49&lt;&gt;"","V","")</f>
        <v>V</v>
      </c>
      <c r="M50" s="224"/>
      <c r="N50" s="47"/>
      <c r="O50" s="47"/>
      <c r="P50" s="224" t="str">
        <f>IF(C49&lt;&gt;"","V","")</f>
        <v>V</v>
      </c>
      <c r="Q50" s="224"/>
      <c r="R50" s="47"/>
      <c r="S50" s="224"/>
      <c r="T50" s="224"/>
      <c r="U50" s="224"/>
      <c r="V50" s="252"/>
      <c r="W50" s="252"/>
      <c r="Y50" s="214"/>
    </row>
    <row r="51" spans="2:25" ht="9" customHeight="1" x14ac:dyDescent="0.25">
      <c r="B51" s="242"/>
      <c r="C51" s="225" t="str">
        <f>_xlfn.IFNA(INDEX('Data Dan'!$B$6:$B$501,MATCH(C49,'Data Dan'!$C$6:$C$501,0)),"")</f>
        <v>Kenshi 10</v>
      </c>
      <c r="D51" s="226"/>
      <c r="E51" s="226"/>
      <c r="F51" s="226"/>
      <c r="G51" s="226"/>
      <c r="H51" s="227"/>
      <c r="I51" s="224"/>
      <c r="J51" s="224"/>
      <c r="K51" s="47"/>
      <c r="L51" s="224"/>
      <c r="M51" s="224"/>
      <c r="N51" s="47"/>
      <c r="O51" s="47"/>
      <c r="P51" s="224"/>
      <c r="Q51" s="224"/>
      <c r="R51" s="47"/>
      <c r="S51" s="224"/>
      <c r="T51" s="224"/>
      <c r="U51" s="224"/>
      <c r="V51" s="252"/>
      <c r="W51" s="252"/>
      <c r="Y51" s="214"/>
    </row>
    <row r="52" spans="2:25" ht="9" customHeight="1" x14ac:dyDescent="0.25">
      <c r="B52" s="243"/>
      <c r="C52" s="228"/>
      <c r="D52" s="229"/>
      <c r="E52" s="229"/>
      <c r="F52" s="229"/>
      <c r="G52" s="229"/>
      <c r="H52" s="230"/>
      <c r="I52" s="224"/>
      <c r="J52" s="224"/>
      <c r="K52" s="48"/>
      <c r="L52" s="49"/>
      <c r="M52" s="49"/>
      <c r="N52" s="50"/>
      <c r="O52" s="48"/>
      <c r="P52" s="49"/>
      <c r="Q52" s="49"/>
      <c r="R52" s="50"/>
      <c r="S52" s="224"/>
      <c r="T52" s="224"/>
      <c r="U52" s="224"/>
      <c r="V52" s="252"/>
      <c r="W52" s="252"/>
      <c r="Y52" s="214"/>
    </row>
    <row r="53" spans="2:25" ht="7.5" customHeight="1" x14ac:dyDescent="0.25"/>
    <row r="54" spans="2:25" s="34" customFormat="1" x14ac:dyDescent="0.25">
      <c r="C54" s="35" t="s">
        <v>60</v>
      </c>
      <c r="I54" s="262" t="s">
        <v>28</v>
      </c>
      <c r="J54" s="262"/>
    </row>
    <row r="55" spans="2:25" x14ac:dyDescent="0.25">
      <c r="C55" s="33" t="s">
        <v>31</v>
      </c>
      <c r="D55" s="149"/>
      <c r="E55" s="149"/>
      <c r="F55" s="149"/>
      <c r="G55" s="149"/>
      <c r="H55" s="149"/>
      <c r="I55" s="263" t="s">
        <v>29</v>
      </c>
      <c r="J55" s="263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 spans="2:25" ht="6.75" customHeight="1" x14ac:dyDescent="0.25">
      <c r="D56" s="34"/>
      <c r="E56" s="34"/>
      <c r="F56" s="34"/>
      <c r="G56" s="34"/>
      <c r="H56" s="34"/>
    </row>
    <row r="57" spans="2:25" s="34" customFormat="1" x14ac:dyDescent="0.25">
      <c r="C57" s="35" t="s">
        <v>61</v>
      </c>
      <c r="I57" s="262" t="s">
        <v>36</v>
      </c>
      <c r="J57" s="262"/>
    </row>
    <row r="58" spans="2:25" x14ac:dyDescent="0.25">
      <c r="C58" s="33" t="s">
        <v>33</v>
      </c>
      <c r="D58" s="149"/>
      <c r="E58" s="149"/>
      <c r="F58" s="149"/>
      <c r="G58" s="149"/>
      <c r="H58" s="149"/>
      <c r="I58" s="263" t="s">
        <v>29</v>
      </c>
      <c r="J58" s="263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 spans="2:25" ht="6.75" customHeight="1" x14ac:dyDescent="0.25">
      <c r="D59" s="34"/>
      <c r="E59" s="34"/>
      <c r="F59" s="34"/>
      <c r="G59" s="34"/>
      <c r="H59" s="34"/>
    </row>
    <row r="60" spans="2:25" s="34" customFormat="1" ht="13.8" x14ac:dyDescent="0.25">
      <c r="C60" s="35" t="s">
        <v>62</v>
      </c>
      <c r="D60" s="177" t="s">
        <v>195</v>
      </c>
      <c r="E60" s="177"/>
      <c r="F60" s="177"/>
      <c r="G60" s="177"/>
      <c r="H60" s="177"/>
      <c r="I60" s="262" t="s">
        <v>28</v>
      </c>
      <c r="J60" s="262"/>
      <c r="Y60" s="70" t="s">
        <v>106</v>
      </c>
    </row>
    <row r="61" spans="2:25" ht="13.8" x14ac:dyDescent="0.25">
      <c r="C61" s="33" t="s">
        <v>35</v>
      </c>
      <c r="D61" s="178"/>
      <c r="E61" s="178"/>
      <c r="F61" s="178"/>
      <c r="G61" s="178"/>
      <c r="H61" s="178"/>
      <c r="I61" s="263" t="s">
        <v>29</v>
      </c>
      <c r="J61" s="263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Y61" s="70" t="s">
        <v>105</v>
      </c>
    </row>
    <row r="62" spans="2:25" ht="12.75" customHeight="1" thickBot="1" x14ac:dyDescent="0.3"/>
    <row r="63" spans="2:25" ht="13.8" thickTop="1" x14ac:dyDescent="0.25">
      <c r="B63" s="34" t="s">
        <v>37</v>
      </c>
      <c r="F63" s="150" t="s">
        <v>40</v>
      </c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</row>
    <row r="64" spans="2:25" x14ac:dyDescent="0.25">
      <c r="B64" s="34" t="s">
        <v>38</v>
      </c>
      <c r="F64" s="152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</row>
    <row r="65" spans="2:25" ht="11.25" customHeight="1" x14ac:dyDescent="0.25">
      <c r="B65" s="163" t="s">
        <v>39</v>
      </c>
      <c r="C65" s="163"/>
      <c r="D65" s="163"/>
      <c r="F65" s="37" t="s">
        <v>41</v>
      </c>
    </row>
    <row r="66" spans="2:25" ht="15" customHeight="1" x14ac:dyDescent="0.25">
      <c r="B66" s="163"/>
      <c r="C66" s="163"/>
      <c r="D66" s="163"/>
      <c r="F66" s="38" t="s">
        <v>42</v>
      </c>
    </row>
    <row r="67" spans="2:25" ht="11.25" customHeight="1" x14ac:dyDescent="0.25">
      <c r="B67" s="163"/>
      <c r="C67" s="163"/>
      <c r="D67" s="163"/>
      <c r="F67" s="36"/>
    </row>
    <row r="68" spans="2:25" x14ac:dyDescent="0.25">
      <c r="B68" s="163"/>
      <c r="C68" s="163"/>
      <c r="D68" s="163"/>
      <c r="F68" s="36"/>
    </row>
    <row r="69" spans="2:25" x14ac:dyDescent="0.25">
      <c r="F69" s="36"/>
    </row>
    <row r="70" spans="2:25" x14ac:dyDescent="0.25">
      <c r="F70" s="36"/>
    </row>
    <row r="71" spans="2:25" x14ac:dyDescent="0.25">
      <c r="F71" s="36"/>
    </row>
    <row r="72" spans="2:25" x14ac:dyDescent="0.25">
      <c r="F72" s="36"/>
    </row>
    <row r="73" spans="2:25" ht="13.8" x14ac:dyDescent="0.25">
      <c r="F73" s="157" t="s">
        <v>201</v>
      </c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</row>
    <row r="74" spans="2:25" x14ac:dyDescent="0.25">
      <c r="F74" s="36"/>
    </row>
    <row r="75" spans="2:25" ht="28.5" customHeight="1" x14ac:dyDescent="0.3">
      <c r="B75" s="193" t="s">
        <v>46</v>
      </c>
      <c r="C75" s="194"/>
      <c r="D75" s="194"/>
      <c r="E75" s="194"/>
      <c r="F75" s="194"/>
      <c r="G75" s="2"/>
      <c r="H75" s="2"/>
      <c r="I75" s="13" t="s">
        <v>47</v>
      </c>
      <c r="J75" s="195" t="s">
        <v>14</v>
      </c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7"/>
      <c r="Y75" s="1"/>
    </row>
    <row r="76" spans="2:25" ht="26.25" customHeight="1" x14ac:dyDescent="0.4">
      <c r="B76" s="39" t="s">
        <v>48</v>
      </c>
      <c r="C76" s="2"/>
      <c r="D76" s="2"/>
      <c r="E76" s="2"/>
      <c r="F76" s="2"/>
      <c r="G76" s="2"/>
      <c r="H76" s="2"/>
      <c r="I76" s="29" t="s">
        <v>13</v>
      </c>
      <c r="J76" s="15">
        <v>4</v>
      </c>
      <c r="K76" s="215">
        <v>1</v>
      </c>
      <c r="L76" s="216"/>
      <c r="M76" s="15">
        <v>0</v>
      </c>
      <c r="N76" s="198">
        <v>0</v>
      </c>
      <c r="O76" s="199"/>
      <c r="P76" s="217">
        <v>0</v>
      </c>
      <c r="Q76" s="218"/>
      <c r="R76" s="219">
        <v>1</v>
      </c>
      <c r="S76" s="220"/>
      <c r="U76" s="6"/>
      <c r="V76" s="6"/>
      <c r="W76" s="7"/>
      <c r="Y76" s="1"/>
    </row>
    <row r="77" spans="2:25" ht="21" customHeight="1" x14ac:dyDescent="0.25">
      <c r="B77" s="26" t="s">
        <v>237</v>
      </c>
      <c r="C77" s="25"/>
      <c r="D77" s="25"/>
      <c r="E77" s="25"/>
      <c r="F77" s="25"/>
      <c r="G77" s="25"/>
      <c r="H77" s="2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Y77" s="1"/>
    </row>
    <row r="78" spans="2:25" ht="13.5" customHeight="1" x14ac:dyDescent="0.25">
      <c r="B78" s="40" t="s">
        <v>24</v>
      </c>
      <c r="C78" s="25"/>
      <c r="D78" s="25"/>
      <c r="E78" s="25"/>
      <c r="F78" s="25"/>
      <c r="G78" s="25"/>
      <c r="H78" s="25"/>
      <c r="I78" s="28" t="s">
        <v>6</v>
      </c>
      <c r="J78" s="231">
        <f>$J$4</f>
        <v>2026</v>
      </c>
      <c r="K78" s="232"/>
      <c r="L78" s="28"/>
      <c r="M78" s="204" t="s">
        <v>15</v>
      </c>
      <c r="N78" s="204"/>
      <c r="O78" s="204"/>
      <c r="P78" s="239">
        <f>$P$4</f>
        <v>2</v>
      </c>
      <c r="Q78" s="240"/>
      <c r="R78" s="86"/>
      <c r="S78" s="233" t="s">
        <v>16</v>
      </c>
      <c r="T78" s="233"/>
      <c r="U78" s="239">
        <f>$U$4</f>
        <v>10</v>
      </c>
      <c r="V78" s="240"/>
      <c r="X78" s="1"/>
    </row>
    <row r="79" spans="2:25" ht="9.75" customHeight="1" x14ac:dyDescent="0.25"/>
    <row r="80" spans="2:25" ht="11.25" customHeight="1" x14ac:dyDescent="0.25">
      <c r="B80" s="24" t="s">
        <v>49</v>
      </c>
    </row>
    <row r="81" spans="1:26" ht="11.25" customHeight="1" x14ac:dyDescent="0.25">
      <c r="B81" s="8" t="s">
        <v>50</v>
      </c>
    </row>
    <row r="82" spans="1:26" x14ac:dyDescent="0.25">
      <c r="B82" s="8"/>
    </row>
    <row r="83" spans="1:26" ht="15.75" customHeight="1" x14ac:dyDescent="0.25">
      <c r="B83" s="234" t="s">
        <v>51</v>
      </c>
      <c r="C83" s="234"/>
      <c r="D83" s="234"/>
      <c r="E83" s="234"/>
      <c r="F83" s="18" t="s">
        <v>6</v>
      </c>
      <c r="G83" s="120">
        <f>$G$9</f>
        <v>2026</v>
      </c>
      <c r="H83" s="9" t="s">
        <v>15</v>
      </c>
      <c r="I83" s="121">
        <f>$I$9</f>
        <v>2</v>
      </c>
      <c r="J83" s="235" t="s">
        <v>16</v>
      </c>
      <c r="K83" s="236"/>
      <c r="L83" s="237">
        <f>$L$9</f>
        <v>8</v>
      </c>
      <c r="M83" s="238"/>
      <c r="N83" s="84"/>
      <c r="O83" s="85"/>
      <c r="P83" s="43"/>
      <c r="Q83" s="43"/>
      <c r="Y83" s="32"/>
    </row>
    <row r="84" spans="1:26" ht="17.25" customHeight="1" x14ac:dyDescent="0.25">
      <c r="C84" s="8"/>
      <c r="Z84" s="32"/>
    </row>
    <row r="85" spans="1:26" ht="18.75" customHeight="1" x14ac:dyDescent="0.25">
      <c r="B85" s="255" t="s">
        <v>52</v>
      </c>
      <c r="C85" s="257" t="s">
        <v>53</v>
      </c>
      <c r="D85" s="258"/>
      <c r="E85" s="258"/>
      <c r="F85" s="221" t="s">
        <v>54</v>
      </c>
      <c r="G85" s="223"/>
      <c r="H85" s="223"/>
      <c r="I85" s="259" t="s">
        <v>55</v>
      </c>
      <c r="J85" s="221"/>
      <c r="K85" s="221" t="s">
        <v>56</v>
      </c>
      <c r="L85" s="221"/>
      <c r="M85" s="221"/>
      <c r="N85" s="221"/>
      <c r="O85" s="222" t="s">
        <v>231</v>
      </c>
      <c r="P85" s="222"/>
      <c r="Q85" s="222"/>
      <c r="R85" s="223"/>
      <c r="S85" s="221" t="s">
        <v>57</v>
      </c>
      <c r="T85" s="223"/>
      <c r="U85" s="223"/>
      <c r="V85" s="221" t="s">
        <v>58</v>
      </c>
      <c r="W85" s="223"/>
    </row>
    <row r="86" spans="1:26" ht="26.25" customHeight="1" x14ac:dyDescent="0.25">
      <c r="B86" s="256"/>
      <c r="C86" s="253" t="s">
        <v>59</v>
      </c>
      <c r="D86" s="254"/>
      <c r="E86" s="254"/>
      <c r="F86" s="254"/>
      <c r="G86" s="254"/>
      <c r="H86" s="254"/>
      <c r="I86" s="221"/>
      <c r="J86" s="221"/>
      <c r="K86" s="221"/>
      <c r="L86" s="221"/>
      <c r="M86" s="221"/>
      <c r="N86" s="221"/>
      <c r="O86" s="223"/>
      <c r="P86" s="223"/>
      <c r="Q86" s="223"/>
      <c r="R86" s="223"/>
      <c r="S86" s="223"/>
      <c r="T86" s="223"/>
      <c r="U86" s="223"/>
      <c r="V86" s="223"/>
      <c r="W86" s="223"/>
      <c r="Y86" s="122" t="s">
        <v>242</v>
      </c>
    </row>
    <row r="87" spans="1:26" ht="7.5" customHeight="1" x14ac:dyDescent="0.25">
      <c r="A87" s="260"/>
      <c r="B87" s="241">
        <f>B49+1</f>
        <v>11</v>
      </c>
      <c r="C87" s="244" t="str">
        <f>IF(AND('Data Dan'!$I$16="1 Dan",'Data Dan'!$N$16="LULUS"),VLOOKUP(B87,'Data Dan'!$A$6:$I$475,3,0),"")</f>
        <v>XX.X.XX.XX.XX.011</v>
      </c>
      <c r="D87" s="245"/>
      <c r="E87" s="245"/>
      <c r="F87" s="248"/>
      <c r="G87" s="249"/>
      <c r="H87" s="250" t="str">
        <f>_xlfn.IFNA(INDEX('Data Dan'!$I$6:$I$495,MATCH(C87,'Data Dan'!$C$6:$C$495,0)),"")</f>
        <v>1 DAN</v>
      </c>
      <c r="I87" s="224" t="str">
        <f>IF(AND(S87&lt;&gt;"",V87&lt;&gt;""),IF(V87&gt;=90,"Excellent",IF(V87&gt;=80,"Very Good",IF(V87&gt;=70,"Good",IF(V87&gt;=60,"Fair","Poor")))),"")</f>
        <v/>
      </c>
      <c r="J87" s="224"/>
      <c r="K87" s="44"/>
      <c r="L87" s="45"/>
      <c r="M87" s="45"/>
      <c r="N87" s="46"/>
      <c r="O87" s="44"/>
      <c r="P87" s="45"/>
      <c r="Q87" s="45"/>
      <c r="R87" s="46"/>
      <c r="S87" s="224"/>
      <c r="T87" s="224"/>
      <c r="U87" s="224"/>
      <c r="V87" s="252"/>
      <c r="W87" s="252"/>
      <c r="Y87" s="214" t="str">
        <f>_xlfn.IFNA(VLOOKUP(C87,'Data Dan'!$C$6:$N$995,12,0),"No Data")</f>
        <v>LULUS</v>
      </c>
    </row>
    <row r="88" spans="1:26" ht="12" customHeight="1" x14ac:dyDescent="0.25">
      <c r="A88" s="261"/>
      <c r="B88" s="242"/>
      <c r="C88" s="246"/>
      <c r="D88" s="247"/>
      <c r="E88" s="247"/>
      <c r="F88" s="248"/>
      <c r="G88" s="249"/>
      <c r="H88" s="251"/>
      <c r="I88" s="224"/>
      <c r="J88" s="224"/>
      <c r="K88" s="47"/>
      <c r="L88" s="224" t="str">
        <f>IF(C87&lt;&gt;"","V","")</f>
        <v>V</v>
      </c>
      <c r="M88" s="224"/>
      <c r="N88" s="47"/>
      <c r="O88" s="47"/>
      <c r="P88" s="224" t="str">
        <f>IF(C87&lt;&gt;"","V","")</f>
        <v>V</v>
      </c>
      <c r="Q88" s="224"/>
      <c r="R88" s="47"/>
      <c r="S88" s="224"/>
      <c r="T88" s="224"/>
      <c r="U88" s="224"/>
      <c r="V88" s="252"/>
      <c r="W88" s="252"/>
      <c r="Y88" s="214"/>
    </row>
    <row r="89" spans="1:26" ht="9" customHeight="1" x14ac:dyDescent="0.25">
      <c r="A89" s="261"/>
      <c r="B89" s="242"/>
      <c r="C89" s="225" t="str">
        <f>_xlfn.IFNA(INDEX('Data Dan'!$B$6:$B$501,MATCH(C87,'Data Dan'!$C$6:$C$501,0)),"")</f>
        <v>Kenshi 11</v>
      </c>
      <c r="D89" s="226"/>
      <c r="E89" s="226"/>
      <c r="F89" s="226"/>
      <c r="G89" s="226"/>
      <c r="H89" s="227"/>
      <c r="I89" s="224"/>
      <c r="J89" s="224"/>
      <c r="K89" s="47"/>
      <c r="L89" s="224"/>
      <c r="M89" s="224"/>
      <c r="N89" s="47"/>
      <c r="O89" s="47"/>
      <c r="P89" s="224"/>
      <c r="Q89" s="224"/>
      <c r="R89" s="47"/>
      <c r="S89" s="224"/>
      <c r="T89" s="224"/>
      <c r="U89" s="224"/>
      <c r="V89" s="252"/>
      <c r="W89" s="252"/>
      <c r="Y89" s="214"/>
    </row>
    <row r="90" spans="1:26" ht="9" customHeight="1" x14ac:dyDescent="0.25">
      <c r="A90" s="261"/>
      <c r="B90" s="243"/>
      <c r="C90" s="228"/>
      <c r="D90" s="229"/>
      <c r="E90" s="229"/>
      <c r="F90" s="229"/>
      <c r="G90" s="229"/>
      <c r="H90" s="230"/>
      <c r="I90" s="224"/>
      <c r="J90" s="224"/>
      <c r="K90" s="48"/>
      <c r="L90" s="49"/>
      <c r="M90" s="49"/>
      <c r="N90" s="50"/>
      <c r="O90" s="48"/>
      <c r="P90" s="49"/>
      <c r="Q90" s="49"/>
      <c r="R90" s="50"/>
      <c r="S90" s="224"/>
      <c r="T90" s="224"/>
      <c r="U90" s="224"/>
      <c r="V90" s="252"/>
      <c r="W90" s="252"/>
      <c r="Y90" s="214"/>
    </row>
    <row r="91" spans="1:26" ht="7.5" customHeight="1" x14ac:dyDescent="0.25">
      <c r="B91" s="241">
        <f t="shared" ref="B91:B123" si="18">B87+1</f>
        <v>12</v>
      </c>
      <c r="C91" s="244" t="str">
        <f>IF(AND('Data Dan'!$I$17="1 Dan",'Data Dan'!$N$17="LULUS"),VLOOKUP(B91,'Data Dan'!$A$6:$I$475,3,0),"")</f>
        <v>XX.X.XX.XX.XX.012</v>
      </c>
      <c r="D91" s="245"/>
      <c r="E91" s="245"/>
      <c r="F91" s="248"/>
      <c r="G91" s="249"/>
      <c r="H91" s="250" t="str">
        <f>_xlfn.IFNA(INDEX('Data Dan'!$I$6:$I$495,MATCH(C91,'Data Dan'!$C$6:$C$495,0)),"")</f>
        <v>1 DAN</v>
      </c>
      <c r="I91" s="224" t="str">
        <f>IF(AND(S91&lt;&gt;"",V91&lt;&gt;""),IF(V91&gt;=90,"Excellent",IF(V91&gt;=80,"Very Good",IF(V91&gt;=70,"Good",IF(V91&gt;=60,"Fair","Poor")))),"")</f>
        <v/>
      </c>
      <c r="J91" s="224"/>
      <c r="K91" s="44"/>
      <c r="L91" s="45"/>
      <c r="M91" s="45"/>
      <c r="N91" s="46"/>
      <c r="O91" s="44"/>
      <c r="P91" s="45"/>
      <c r="Q91" s="45"/>
      <c r="R91" s="46"/>
      <c r="S91" s="224"/>
      <c r="T91" s="224"/>
      <c r="U91" s="224"/>
      <c r="V91" s="252"/>
      <c r="W91" s="252"/>
      <c r="Y91" s="214" t="str">
        <f>_xlfn.IFNA(VLOOKUP(C91,'Data Dan'!$C$6:$N$995,12,0),"No Data")</f>
        <v>LULUS</v>
      </c>
    </row>
    <row r="92" spans="1:26" ht="12" customHeight="1" x14ac:dyDescent="0.25">
      <c r="B92" s="242"/>
      <c r="C92" s="246"/>
      <c r="D92" s="247"/>
      <c r="E92" s="247"/>
      <c r="F92" s="248"/>
      <c r="G92" s="249"/>
      <c r="H92" s="251"/>
      <c r="I92" s="224"/>
      <c r="J92" s="224"/>
      <c r="K92" s="47"/>
      <c r="L92" s="224" t="str">
        <f>IF(C91&lt;&gt;"","V","")</f>
        <v>V</v>
      </c>
      <c r="M92" s="224"/>
      <c r="N92" s="47"/>
      <c r="O92" s="47"/>
      <c r="P92" s="224" t="str">
        <f>IF(C91&lt;&gt;"","V","")</f>
        <v>V</v>
      </c>
      <c r="Q92" s="224"/>
      <c r="R92" s="47"/>
      <c r="S92" s="224"/>
      <c r="T92" s="224"/>
      <c r="U92" s="224"/>
      <c r="V92" s="252"/>
      <c r="W92" s="252"/>
      <c r="Y92" s="214"/>
    </row>
    <row r="93" spans="1:26" ht="9" customHeight="1" x14ac:dyDescent="0.25">
      <c r="B93" s="242"/>
      <c r="C93" s="225" t="str">
        <f>_xlfn.IFNA(INDEX('Data Dan'!$B$6:$B$501,MATCH(C91,'Data Dan'!$C$6:$C$501,0)),"")</f>
        <v>Kenshi 12</v>
      </c>
      <c r="D93" s="226"/>
      <c r="E93" s="226"/>
      <c r="F93" s="226"/>
      <c r="G93" s="226"/>
      <c r="H93" s="227"/>
      <c r="I93" s="224"/>
      <c r="J93" s="224"/>
      <c r="K93" s="47"/>
      <c r="L93" s="224"/>
      <c r="M93" s="224"/>
      <c r="N93" s="47"/>
      <c r="O93" s="47"/>
      <c r="P93" s="224"/>
      <c r="Q93" s="224"/>
      <c r="R93" s="47"/>
      <c r="S93" s="224"/>
      <c r="T93" s="224"/>
      <c r="U93" s="224"/>
      <c r="V93" s="252"/>
      <c r="W93" s="252"/>
      <c r="Y93" s="214"/>
    </row>
    <row r="94" spans="1:26" ht="9" customHeight="1" x14ac:dyDescent="0.25">
      <c r="B94" s="243"/>
      <c r="C94" s="228"/>
      <c r="D94" s="229"/>
      <c r="E94" s="229"/>
      <c r="F94" s="229"/>
      <c r="G94" s="229"/>
      <c r="H94" s="230"/>
      <c r="I94" s="224"/>
      <c r="J94" s="224"/>
      <c r="K94" s="48"/>
      <c r="L94" s="49"/>
      <c r="M94" s="49"/>
      <c r="N94" s="50"/>
      <c r="O94" s="48"/>
      <c r="P94" s="49"/>
      <c r="Q94" s="49"/>
      <c r="R94" s="50"/>
      <c r="S94" s="224"/>
      <c r="T94" s="224"/>
      <c r="U94" s="224"/>
      <c r="V94" s="252"/>
      <c r="W94" s="252"/>
      <c r="Y94" s="214"/>
    </row>
    <row r="95" spans="1:26" ht="7.5" customHeight="1" x14ac:dyDescent="0.25">
      <c r="B95" s="241">
        <f t="shared" si="18"/>
        <v>13</v>
      </c>
      <c r="C95" s="244" t="str">
        <f>IF(AND('Data Dan'!$I$18="1 Dan",'Data Dan'!$N$18="LULUS"),VLOOKUP(B95,'Data Dan'!$A$6:$I$475,3,0),"")</f>
        <v>XX.X.XX.XX.XX.013</v>
      </c>
      <c r="D95" s="245"/>
      <c r="E95" s="245"/>
      <c r="F95" s="248"/>
      <c r="G95" s="249"/>
      <c r="H95" s="250" t="str">
        <f>_xlfn.IFNA(INDEX('Data Dan'!$I$6:$I$495,MATCH(C95,'Data Dan'!$C$6:$C$495,0)),"")</f>
        <v>1 DAN</v>
      </c>
      <c r="I95" s="224" t="str">
        <f t="shared" ref="I95" si="19">IF(AND(S95&lt;&gt;"",V95&lt;&gt;""),IF(V95&gt;=90,"Excellent",IF(V95&gt;=80,"Very Good",IF(V95&gt;=70,"Good",IF(V95&gt;=60,"Fair","Poor")))),"")</f>
        <v/>
      </c>
      <c r="J95" s="224"/>
      <c r="K95" s="44"/>
      <c r="L95" s="45"/>
      <c r="M95" s="45"/>
      <c r="N95" s="46"/>
      <c r="O95" s="44"/>
      <c r="P95" s="45"/>
      <c r="Q95" s="45"/>
      <c r="R95" s="46"/>
      <c r="S95" s="224"/>
      <c r="T95" s="224"/>
      <c r="U95" s="224"/>
      <c r="V95" s="252"/>
      <c r="W95" s="252"/>
      <c r="Y95" s="214" t="str">
        <f>_xlfn.IFNA(VLOOKUP(C95,'Data Dan'!$C$6:$N$995,12,0),"No Data")</f>
        <v>LULUS</v>
      </c>
    </row>
    <row r="96" spans="1:26" ht="12" customHeight="1" x14ac:dyDescent="0.25">
      <c r="B96" s="242"/>
      <c r="C96" s="246"/>
      <c r="D96" s="247"/>
      <c r="E96" s="247"/>
      <c r="F96" s="248"/>
      <c r="G96" s="249"/>
      <c r="H96" s="251"/>
      <c r="I96" s="224"/>
      <c r="J96" s="224"/>
      <c r="K96" s="47"/>
      <c r="L96" s="224" t="str">
        <f>IF(C95&lt;&gt;"","V","")</f>
        <v>V</v>
      </c>
      <c r="M96" s="224"/>
      <c r="N96" s="47"/>
      <c r="O96" s="47"/>
      <c r="P96" s="224" t="str">
        <f>IF(C95&lt;&gt;"","V","")</f>
        <v>V</v>
      </c>
      <c r="Q96" s="224"/>
      <c r="R96" s="47"/>
      <c r="S96" s="224"/>
      <c r="T96" s="224"/>
      <c r="U96" s="224"/>
      <c r="V96" s="252"/>
      <c r="W96" s="252"/>
      <c r="Y96" s="214"/>
    </row>
    <row r="97" spans="2:25" ht="9" customHeight="1" x14ac:dyDescent="0.25">
      <c r="B97" s="242"/>
      <c r="C97" s="225" t="str">
        <f>_xlfn.IFNA(INDEX('Data Dan'!$B$6:$B$501,MATCH(C95,'Data Dan'!$C$6:$C$501,0)),"")</f>
        <v>Kenshi 13</v>
      </c>
      <c r="D97" s="226"/>
      <c r="E97" s="226"/>
      <c r="F97" s="226"/>
      <c r="G97" s="226"/>
      <c r="H97" s="227"/>
      <c r="I97" s="224"/>
      <c r="J97" s="224"/>
      <c r="K97" s="47"/>
      <c r="L97" s="224"/>
      <c r="M97" s="224"/>
      <c r="N97" s="47"/>
      <c r="O97" s="47"/>
      <c r="P97" s="224"/>
      <c r="Q97" s="224"/>
      <c r="R97" s="47"/>
      <c r="S97" s="224"/>
      <c r="T97" s="224"/>
      <c r="U97" s="224"/>
      <c r="V97" s="252"/>
      <c r="W97" s="252"/>
      <c r="Y97" s="214"/>
    </row>
    <row r="98" spans="2:25" ht="9" customHeight="1" x14ac:dyDescent="0.25">
      <c r="B98" s="243"/>
      <c r="C98" s="228"/>
      <c r="D98" s="229"/>
      <c r="E98" s="229"/>
      <c r="F98" s="229"/>
      <c r="G98" s="229"/>
      <c r="H98" s="230"/>
      <c r="I98" s="224"/>
      <c r="J98" s="224"/>
      <c r="K98" s="48"/>
      <c r="L98" s="49"/>
      <c r="M98" s="49"/>
      <c r="N98" s="50"/>
      <c r="O98" s="48"/>
      <c r="P98" s="49"/>
      <c r="Q98" s="49"/>
      <c r="R98" s="50"/>
      <c r="S98" s="224"/>
      <c r="T98" s="224"/>
      <c r="U98" s="224"/>
      <c r="V98" s="252"/>
      <c r="W98" s="252"/>
      <c r="Y98" s="214"/>
    </row>
    <row r="99" spans="2:25" ht="7.5" customHeight="1" x14ac:dyDescent="0.25">
      <c r="B99" s="241">
        <f t="shared" si="18"/>
        <v>14</v>
      </c>
      <c r="C99" s="244" t="str">
        <f>IF(AND('Data Dan'!$I$19="1 Dan",'Data Dan'!$N$19="LULUS"),VLOOKUP(B99,'Data Dan'!$A$6:$I$475,3,0),"")</f>
        <v>XX.X.XX.XX.XX.014</v>
      </c>
      <c r="D99" s="245"/>
      <c r="E99" s="245"/>
      <c r="F99" s="248"/>
      <c r="G99" s="249"/>
      <c r="H99" s="250" t="str">
        <f>_xlfn.IFNA(INDEX('Data Dan'!$I$6:$I$495,MATCH(C99,'Data Dan'!$C$6:$C$495,0)),"")</f>
        <v>1 DAN</v>
      </c>
      <c r="I99" s="224" t="str">
        <f t="shared" ref="I99" si="20">IF(AND(S99&lt;&gt;"",V99&lt;&gt;""),IF(V99&gt;=90,"Excellent",IF(V99&gt;=80,"Very Good",IF(V99&gt;=70,"Good",IF(V99&gt;=60,"Fair","Poor")))),"")</f>
        <v/>
      </c>
      <c r="J99" s="224"/>
      <c r="K99" s="44"/>
      <c r="L99" s="45"/>
      <c r="M99" s="45"/>
      <c r="N99" s="46"/>
      <c r="O99" s="44"/>
      <c r="P99" s="45"/>
      <c r="Q99" s="45"/>
      <c r="R99" s="46"/>
      <c r="S99" s="224"/>
      <c r="T99" s="224"/>
      <c r="U99" s="224"/>
      <c r="V99" s="252"/>
      <c r="W99" s="252"/>
      <c r="Y99" s="214" t="str">
        <f>_xlfn.IFNA(VLOOKUP(C99,'Data Dan'!$C$6:$N$995,12,0),"No Data")</f>
        <v>LULUS</v>
      </c>
    </row>
    <row r="100" spans="2:25" ht="12" customHeight="1" x14ac:dyDescent="0.25">
      <c r="B100" s="242"/>
      <c r="C100" s="246"/>
      <c r="D100" s="247"/>
      <c r="E100" s="247"/>
      <c r="F100" s="248"/>
      <c r="G100" s="249"/>
      <c r="H100" s="251"/>
      <c r="I100" s="224"/>
      <c r="J100" s="224"/>
      <c r="K100" s="47"/>
      <c r="L100" s="224" t="str">
        <f>IF(C99&lt;&gt;"","V","")</f>
        <v>V</v>
      </c>
      <c r="M100" s="224"/>
      <c r="N100" s="47"/>
      <c r="O100" s="47"/>
      <c r="P100" s="224" t="str">
        <f>IF(C99&lt;&gt;"","V","")</f>
        <v>V</v>
      </c>
      <c r="Q100" s="224"/>
      <c r="R100" s="47"/>
      <c r="S100" s="224"/>
      <c r="T100" s="224"/>
      <c r="U100" s="224"/>
      <c r="V100" s="252"/>
      <c r="W100" s="252"/>
      <c r="Y100" s="214"/>
    </row>
    <row r="101" spans="2:25" ht="9" customHeight="1" x14ac:dyDescent="0.25">
      <c r="B101" s="242"/>
      <c r="C101" s="225" t="str">
        <f>_xlfn.IFNA(INDEX('Data Dan'!$B$6:$B$501,MATCH(C99,'Data Dan'!$C$6:$C$501,0)),"")</f>
        <v>Kenshi 14</v>
      </c>
      <c r="D101" s="226"/>
      <c r="E101" s="226"/>
      <c r="F101" s="226"/>
      <c r="G101" s="226"/>
      <c r="H101" s="227"/>
      <c r="I101" s="224"/>
      <c r="J101" s="224"/>
      <c r="K101" s="47"/>
      <c r="L101" s="224"/>
      <c r="M101" s="224"/>
      <c r="N101" s="47"/>
      <c r="O101" s="47"/>
      <c r="P101" s="224"/>
      <c r="Q101" s="224"/>
      <c r="R101" s="47"/>
      <c r="S101" s="224"/>
      <c r="T101" s="224"/>
      <c r="U101" s="224"/>
      <c r="V101" s="252"/>
      <c r="W101" s="252"/>
      <c r="Y101" s="214"/>
    </row>
    <row r="102" spans="2:25" ht="9" customHeight="1" x14ac:dyDescent="0.25">
      <c r="B102" s="243"/>
      <c r="C102" s="228"/>
      <c r="D102" s="229"/>
      <c r="E102" s="229"/>
      <c r="F102" s="229"/>
      <c r="G102" s="229"/>
      <c r="H102" s="230"/>
      <c r="I102" s="224"/>
      <c r="J102" s="224"/>
      <c r="K102" s="48"/>
      <c r="L102" s="49"/>
      <c r="M102" s="49"/>
      <c r="N102" s="50"/>
      <c r="O102" s="48"/>
      <c r="P102" s="49"/>
      <c r="Q102" s="49"/>
      <c r="R102" s="50"/>
      <c r="S102" s="224"/>
      <c r="T102" s="224"/>
      <c r="U102" s="224"/>
      <c r="V102" s="252"/>
      <c r="W102" s="252"/>
      <c r="Y102" s="214"/>
    </row>
    <row r="103" spans="2:25" ht="7.5" customHeight="1" x14ac:dyDescent="0.25">
      <c r="B103" s="241">
        <f t="shared" si="18"/>
        <v>15</v>
      </c>
      <c r="C103" s="244" t="str">
        <f>IF(AND('Data Dan'!$I$20="1 Dan",'Data Dan'!$N$20="LULUS"),VLOOKUP(B103,'Data Dan'!$A$6:$I$475,3,0),"")</f>
        <v>XX.X.XX.XX.XX.015</v>
      </c>
      <c r="D103" s="245"/>
      <c r="E103" s="245"/>
      <c r="F103" s="248"/>
      <c r="G103" s="249"/>
      <c r="H103" s="250" t="str">
        <f>_xlfn.IFNA(INDEX('Data Dan'!$I$6:$I$495,MATCH(C103,'Data Dan'!$C$6:$C$495,0)),"")</f>
        <v>1 DAN</v>
      </c>
      <c r="I103" s="224" t="str">
        <f t="shared" ref="I103" si="21">IF(AND(S103&lt;&gt;"",V103&lt;&gt;""),IF(V103&gt;=90,"Excellent",IF(V103&gt;=80,"Very Good",IF(V103&gt;=70,"Good",IF(V103&gt;=60,"Fair","Poor")))),"")</f>
        <v/>
      </c>
      <c r="J103" s="224"/>
      <c r="K103" s="44"/>
      <c r="L103" s="45"/>
      <c r="M103" s="45"/>
      <c r="N103" s="46"/>
      <c r="O103" s="44"/>
      <c r="P103" s="45"/>
      <c r="Q103" s="45"/>
      <c r="R103" s="46"/>
      <c r="S103" s="224"/>
      <c r="T103" s="224"/>
      <c r="U103" s="224"/>
      <c r="V103" s="252"/>
      <c r="W103" s="252"/>
      <c r="Y103" s="214" t="str">
        <f>_xlfn.IFNA(VLOOKUP(C103,'Data Dan'!$C$6:$N$995,12,0),"No Data")</f>
        <v>LULUS</v>
      </c>
    </row>
    <row r="104" spans="2:25" ht="12" customHeight="1" x14ac:dyDescent="0.25">
      <c r="B104" s="242"/>
      <c r="C104" s="246"/>
      <c r="D104" s="247"/>
      <c r="E104" s="247"/>
      <c r="F104" s="248"/>
      <c r="G104" s="249"/>
      <c r="H104" s="251"/>
      <c r="I104" s="224"/>
      <c r="J104" s="224"/>
      <c r="K104" s="47"/>
      <c r="L104" s="224" t="str">
        <f>IF(C103&lt;&gt;"","V","")</f>
        <v>V</v>
      </c>
      <c r="M104" s="224"/>
      <c r="N104" s="47"/>
      <c r="O104" s="47"/>
      <c r="P104" s="224" t="str">
        <f>IF(C103&lt;&gt;"","V","")</f>
        <v>V</v>
      </c>
      <c r="Q104" s="224"/>
      <c r="R104" s="47"/>
      <c r="S104" s="224"/>
      <c r="T104" s="224"/>
      <c r="U104" s="224"/>
      <c r="V104" s="252"/>
      <c r="W104" s="252"/>
      <c r="Y104" s="214"/>
    </row>
    <row r="105" spans="2:25" ht="9" customHeight="1" x14ac:dyDescent="0.25">
      <c r="B105" s="242"/>
      <c r="C105" s="225" t="str">
        <f>_xlfn.IFNA(INDEX('Data Dan'!$B$6:$B$501,MATCH(C103,'Data Dan'!$C$6:$C$501,0)),"")</f>
        <v>Kenshi 15</v>
      </c>
      <c r="D105" s="226"/>
      <c r="E105" s="226"/>
      <c r="F105" s="226"/>
      <c r="G105" s="226"/>
      <c r="H105" s="227"/>
      <c r="I105" s="224"/>
      <c r="J105" s="224"/>
      <c r="K105" s="47"/>
      <c r="L105" s="224"/>
      <c r="M105" s="224"/>
      <c r="N105" s="47"/>
      <c r="O105" s="47"/>
      <c r="P105" s="224"/>
      <c r="Q105" s="224"/>
      <c r="R105" s="47"/>
      <c r="S105" s="224"/>
      <c r="T105" s="224"/>
      <c r="U105" s="224"/>
      <c r="V105" s="252"/>
      <c r="W105" s="252"/>
      <c r="Y105" s="214"/>
    </row>
    <row r="106" spans="2:25" ht="9" customHeight="1" x14ac:dyDescent="0.25">
      <c r="B106" s="243"/>
      <c r="C106" s="228"/>
      <c r="D106" s="229"/>
      <c r="E106" s="229"/>
      <c r="F106" s="229"/>
      <c r="G106" s="229"/>
      <c r="H106" s="230"/>
      <c r="I106" s="224"/>
      <c r="J106" s="224"/>
      <c r="K106" s="48"/>
      <c r="L106" s="49"/>
      <c r="M106" s="49"/>
      <c r="N106" s="50"/>
      <c r="O106" s="48"/>
      <c r="P106" s="49"/>
      <c r="Q106" s="49"/>
      <c r="R106" s="50"/>
      <c r="S106" s="224"/>
      <c r="T106" s="224"/>
      <c r="U106" s="224"/>
      <c r="V106" s="252"/>
      <c r="W106" s="252"/>
      <c r="Y106" s="214"/>
    </row>
    <row r="107" spans="2:25" ht="7.5" customHeight="1" x14ac:dyDescent="0.25">
      <c r="B107" s="241">
        <f t="shared" si="18"/>
        <v>16</v>
      </c>
      <c r="C107" s="244" t="str">
        <f>IF(AND('Data Dan'!$I$21="1 Dan",'Data Dan'!$N$21="LULUS"),VLOOKUP(B107,'Data Dan'!$A$6:$I$475,3,0),"")</f>
        <v>XX.X.XX.XX.XX.016</v>
      </c>
      <c r="D107" s="245"/>
      <c r="E107" s="245"/>
      <c r="F107" s="248"/>
      <c r="G107" s="249"/>
      <c r="H107" s="250" t="str">
        <f>_xlfn.IFNA(INDEX('Data Dan'!$I$6:$I$495,MATCH(C107,'Data Dan'!$C$6:$C$495,0)),"")</f>
        <v>1 DAN</v>
      </c>
      <c r="I107" s="224" t="str">
        <f t="shared" ref="I107" si="22">IF(AND(S107&lt;&gt;"",V107&lt;&gt;""),IF(V107&gt;=90,"Excellent",IF(V107&gt;=80,"Very Good",IF(V107&gt;=70,"Good",IF(V107&gt;=60,"Fair","Poor")))),"")</f>
        <v/>
      </c>
      <c r="J107" s="224"/>
      <c r="K107" s="44"/>
      <c r="L107" s="45"/>
      <c r="M107" s="45"/>
      <c r="N107" s="46"/>
      <c r="O107" s="44"/>
      <c r="P107" s="45"/>
      <c r="Q107" s="45"/>
      <c r="R107" s="46"/>
      <c r="S107" s="224"/>
      <c r="T107" s="224"/>
      <c r="U107" s="224"/>
      <c r="V107" s="252"/>
      <c r="W107" s="252"/>
      <c r="Y107" s="214" t="str">
        <f>_xlfn.IFNA(VLOOKUP(C107,'Data Dan'!$C$6:$N$995,12,0),"No Data")</f>
        <v>LULUS</v>
      </c>
    </row>
    <row r="108" spans="2:25" ht="12" customHeight="1" x14ac:dyDescent="0.25">
      <c r="B108" s="242"/>
      <c r="C108" s="246"/>
      <c r="D108" s="247"/>
      <c r="E108" s="247"/>
      <c r="F108" s="248"/>
      <c r="G108" s="249"/>
      <c r="H108" s="251"/>
      <c r="I108" s="224"/>
      <c r="J108" s="224"/>
      <c r="K108" s="47"/>
      <c r="L108" s="224" t="str">
        <f>IF(C107&lt;&gt;"","V","")</f>
        <v>V</v>
      </c>
      <c r="M108" s="224"/>
      <c r="N108" s="47"/>
      <c r="O108" s="47"/>
      <c r="P108" s="224" t="str">
        <f>IF(C107&lt;&gt;"","V","")</f>
        <v>V</v>
      </c>
      <c r="Q108" s="224"/>
      <c r="R108" s="47"/>
      <c r="S108" s="224"/>
      <c r="T108" s="224"/>
      <c r="U108" s="224"/>
      <c r="V108" s="252"/>
      <c r="W108" s="252"/>
      <c r="Y108" s="214"/>
    </row>
    <row r="109" spans="2:25" ht="9" customHeight="1" x14ac:dyDescent="0.25">
      <c r="B109" s="242"/>
      <c r="C109" s="225" t="str">
        <f>_xlfn.IFNA(INDEX('Data Dan'!$B$6:$B$501,MATCH(C107,'Data Dan'!$C$6:$C$501,0)),"")</f>
        <v>Kenshi 16</v>
      </c>
      <c r="D109" s="226"/>
      <c r="E109" s="226"/>
      <c r="F109" s="226"/>
      <c r="G109" s="226"/>
      <c r="H109" s="227"/>
      <c r="I109" s="224"/>
      <c r="J109" s="224"/>
      <c r="K109" s="47"/>
      <c r="L109" s="224"/>
      <c r="M109" s="224"/>
      <c r="N109" s="47"/>
      <c r="O109" s="47"/>
      <c r="P109" s="224"/>
      <c r="Q109" s="224"/>
      <c r="R109" s="47"/>
      <c r="S109" s="224"/>
      <c r="T109" s="224"/>
      <c r="U109" s="224"/>
      <c r="V109" s="252"/>
      <c r="W109" s="252"/>
      <c r="Y109" s="214"/>
    </row>
    <row r="110" spans="2:25" ht="9" customHeight="1" x14ac:dyDescent="0.25">
      <c r="B110" s="243"/>
      <c r="C110" s="228"/>
      <c r="D110" s="229"/>
      <c r="E110" s="229"/>
      <c r="F110" s="229"/>
      <c r="G110" s="229"/>
      <c r="H110" s="230"/>
      <c r="I110" s="224"/>
      <c r="J110" s="224"/>
      <c r="K110" s="48"/>
      <c r="L110" s="49"/>
      <c r="M110" s="49"/>
      <c r="N110" s="50"/>
      <c r="O110" s="48"/>
      <c r="P110" s="49"/>
      <c r="Q110" s="49"/>
      <c r="R110" s="50"/>
      <c r="S110" s="224"/>
      <c r="T110" s="224"/>
      <c r="U110" s="224"/>
      <c r="V110" s="252"/>
      <c r="W110" s="252"/>
      <c r="Y110" s="214"/>
    </row>
    <row r="111" spans="2:25" ht="7.5" customHeight="1" x14ac:dyDescent="0.25">
      <c r="B111" s="241">
        <f t="shared" si="18"/>
        <v>17</v>
      </c>
      <c r="C111" s="244" t="str">
        <f>IF(AND('Data Dan'!$I$22="1 Dan",'Data Dan'!$N$22="LULUS"),VLOOKUP(B111,'Data Dan'!$A$6:$I$475,3,0),"")</f>
        <v>XX.X.XX.XX.XX.017</v>
      </c>
      <c r="D111" s="245"/>
      <c r="E111" s="245"/>
      <c r="F111" s="248"/>
      <c r="G111" s="249"/>
      <c r="H111" s="250" t="str">
        <f>_xlfn.IFNA(INDEX('Data Dan'!$I$6:$I$495,MATCH(C111,'Data Dan'!$C$6:$C$495,0)),"")</f>
        <v>1 DAN</v>
      </c>
      <c r="I111" s="224" t="str">
        <f t="shared" ref="I111" si="23">IF(AND(S111&lt;&gt;"",V111&lt;&gt;""),IF(V111&gt;=90,"Excellent",IF(V111&gt;=80,"Very Good",IF(V111&gt;=70,"Good",IF(V111&gt;=60,"Fair","Poor")))),"")</f>
        <v/>
      </c>
      <c r="J111" s="224"/>
      <c r="K111" s="44"/>
      <c r="L111" s="45"/>
      <c r="M111" s="45"/>
      <c r="N111" s="46"/>
      <c r="O111" s="44"/>
      <c r="P111" s="45"/>
      <c r="Q111" s="45"/>
      <c r="R111" s="46"/>
      <c r="S111" s="224"/>
      <c r="T111" s="224"/>
      <c r="U111" s="224"/>
      <c r="V111" s="252"/>
      <c r="W111" s="252"/>
      <c r="Y111" s="214" t="str">
        <f>_xlfn.IFNA(VLOOKUP(C111,'Data Dan'!$C$6:$N$995,12,0),"No Data")</f>
        <v>LULUS</v>
      </c>
    </row>
    <row r="112" spans="2:25" ht="12" customHeight="1" x14ac:dyDescent="0.25">
      <c r="B112" s="242"/>
      <c r="C112" s="246"/>
      <c r="D112" s="247"/>
      <c r="E112" s="247"/>
      <c r="F112" s="248"/>
      <c r="G112" s="249"/>
      <c r="H112" s="251"/>
      <c r="I112" s="224"/>
      <c r="J112" s="224"/>
      <c r="K112" s="47"/>
      <c r="L112" s="224" t="str">
        <f>IF(C111&lt;&gt;"","V","")</f>
        <v>V</v>
      </c>
      <c r="M112" s="224"/>
      <c r="N112" s="47"/>
      <c r="O112" s="47"/>
      <c r="P112" s="224" t="str">
        <f>IF(C111&lt;&gt;"","V","")</f>
        <v>V</v>
      </c>
      <c r="Q112" s="224"/>
      <c r="R112" s="47"/>
      <c r="S112" s="224"/>
      <c r="T112" s="224"/>
      <c r="U112" s="224"/>
      <c r="V112" s="252"/>
      <c r="W112" s="252"/>
      <c r="Y112" s="214"/>
    </row>
    <row r="113" spans="2:25" ht="9" customHeight="1" x14ac:dyDescent="0.25">
      <c r="B113" s="242"/>
      <c r="C113" s="225" t="str">
        <f>_xlfn.IFNA(INDEX('Data Dan'!$B$6:$B$501,MATCH(C111,'Data Dan'!$C$6:$C$501,0)),"")</f>
        <v>Kenshi 17</v>
      </c>
      <c r="D113" s="226"/>
      <c r="E113" s="226"/>
      <c r="F113" s="226"/>
      <c r="G113" s="226"/>
      <c r="H113" s="227"/>
      <c r="I113" s="224"/>
      <c r="J113" s="224"/>
      <c r="K113" s="47"/>
      <c r="L113" s="224"/>
      <c r="M113" s="224"/>
      <c r="N113" s="47"/>
      <c r="O113" s="47"/>
      <c r="P113" s="224"/>
      <c r="Q113" s="224"/>
      <c r="R113" s="47"/>
      <c r="S113" s="224"/>
      <c r="T113" s="224"/>
      <c r="U113" s="224"/>
      <c r="V113" s="252"/>
      <c r="W113" s="252"/>
      <c r="Y113" s="214"/>
    </row>
    <row r="114" spans="2:25" ht="9" customHeight="1" x14ac:dyDescent="0.25">
      <c r="B114" s="243"/>
      <c r="C114" s="228"/>
      <c r="D114" s="229"/>
      <c r="E114" s="229"/>
      <c r="F114" s="229"/>
      <c r="G114" s="229"/>
      <c r="H114" s="230"/>
      <c r="I114" s="224"/>
      <c r="J114" s="224"/>
      <c r="K114" s="48"/>
      <c r="L114" s="49"/>
      <c r="M114" s="49"/>
      <c r="N114" s="50"/>
      <c r="O114" s="48"/>
      <c r="P114" s="49"/>
      <c r="Q114" s="49"/>
      <c r="R114" s="50"/>
      <c r="S114" s="224"/>
      <c r="T114" s="224"/>
      <c r="U114" s="224"/>
      <c r="V114" s="252"/>
      <c r="W114" s="252"/>
      <c r="Y114" s="214"/>
    </row>
    <row r="115" spans="2:25" ht="7.5" customHeight="1" x14ac:dyDescent="0.25">
      <c r="B115" s="241">
        <f t="shared" si="18"/>
        <v>18</v>
      </c>
      <c r="C115" s="244" t="str">
        <f>IF(AND('Data Dan'!$I$23="1 Dan",'Data Dan'!$N$23="LULUS"),VLOOKUP(B115,'Data Dan'!$A$6:$I$475,3,0),"")</f>
        <v>XX.X.XX.XX.XX.018</v>
      </c>
      <c r="D115" s="245"/>
      <c r="E115" s="245"/>
      <c r="F115" s="248"/>
      <c r="G115" s="249"/>
      <c r="H115" s="250" t="str">
        <f>_xlfn.IFNA(INDEX('Data Dan'!$I$6:$I$495,MATCH(C115,'Data Dan'!$C$6:$C$495,0)),"")</f>
        <v>1 DAN</v>
      </c>
      <c r="I115" s="224" t="str">
        <f t="shared" ref="I115" si="24">IF(AND(S115&lt;&gt;"",V115&lt;&gt;""),IF(V115&gt;=90,"Excellent",IF(V115&gt;=80,"Very Good",IF(V115&gt;=70,"Good",IF(V115&gt;=60,"Fair","Poor")))),"")</f>
        <v/>
      </c>
      <c r="J115" s="224"/>
      <c r="K115" s="44"/>
      <c r="L115" s="45"/>
      <c r="M115" s="45"/>
      <c r="N115" s="46"/>
      <c r="O115" s="44"/>
      <c r="P115" s="45"/>
      <c r="Q115" s="45"/>
      <c r="R115" s="46"/>
      <c r="S115" s="224"/>
      <c r="T115" s="224"/>
      <c r="U115" s="224"/>
      <c r="V115" s="252"/>
      <c r="W115" s="252"/>
      <c r="Y115" s="214" t="str">
        <f>_xlfn.IFNA(VLOOKUP(C115,'Data Dan'!$C$6:$N$995,12,0),"No Data")</f>
        <v>LULUS</v>
      </c>
    </row>
    <row r="116" spans="2:25" ht="12" customHeight="1" x14ac:dyDescent="0.25">
      <c r="B116" s="242"/>
      <c r="C116" s="246"/>
      <c r="D116" s="247"/>
      <c r="E116" s="247"/>
      <c r="F116" s="248"/>
      <c r="G116" s="249"/>
      <c r="H116" s="251"/>
      <c r="I116" s="224"/>
      <c r="J116" s="224"/>
      <c r="K116" s="47"/>
      <c r="L116" s="224" t="str">
        <f>IF(C115&lt;&gt;"","V","")</f>
        <v>V</v>
      </c>
      <c r="M116" s="224"/>
      <c r="N116" s="47"/>
      <c r="O116" s="47"/>
      <c r="P116" s="224" t="str">
        <f>IF(C115&lt;&gt;"","V","")</f>
        <v>V</v>
      </c>
      <c r="Q116" s="224"/>
      <c r="R116" s="47"/>
      <c r="S116" s="224"/>
      <c r="T116" s="224"/>
      <c r="U116" s="224"/>
      <c r="V116" s="252"/>
      <c r="W116" s="252"/>
      <c r="Y116" s="214"/>
    </row>
    <row r="117" spans="2:25" ht="9" customHeight="1" x14ac:dyDescent="0.25">
      <c r="B117" s="242"/>
      <c r="C117" s="225" t="str">
        <f>_xlfn.IFNA(INDEX('Data Dan'!$B$6:$B$501,MATCH(C115,'Data Dan'!$C$6:$C$501,0)),"")</f>
        <v>Kenshi 18</v>
      </c>
      <c r="D117" s="226"/>
      <c r="E117" s="226"/>
      <c r="F117" s="226"/>
      <c r="G117" s="226"/>
      <c r="H117" s="227"/>
      <c r="I117" s="224"/>
      <c r="J117" s="224"/>
      <c r="K117" s="47"/>
      <c r="L117" s="224"/>
      <c r="M117" s="224"/>
      <c r="N117" s="47"/>
      <c r="O117" s="47"/>
      <c r="P117" s="224"/>
      <c r="Q117" s="224"/>
      <c r="R117" s="47"/>
      <c r="S117" s="224"/>
      <c r="T117" s="224"/>
      <c r="U117" s="224"/>
      <c r="V117" s="252"/>
      <c r="W117" s="252"/>
      <c r="Y117" s="214"/>
    </row>
    <row r="118" spans="2:25" ht="9" customHeight="1" x14ac:dyDescent="0.25">
      <c r="B118" s="243"/>
      <c r="C118" s="228"/>
      <c r="D118" s="229"/>
      <c r="E118" s="229"/>
      <c r="F118" s="229"/>
      <c r="G118" s="229"/>
      <c r="H118" s="230"/>
      <c r="I118" s="224"/>
      <c r="J118" s="224"/>
      <c r="K118" s="48"/>
      <c r="L118" s="49"/>
      <c r="M118" s="49"/>
      <c r="N118" s="50"/>
      <c r="O118" s="48"/>
      <c r="P118" s="49"/>
      <c r="Q118" s="49"/>
      <c r="R118" s="50"/>
      <c r="S118" s="224"/>
      <c r="T118" s="224"/>
      <c r="U118" s="224"/>
      <c r="V118" s="252"/>
      <c r="W118" s="252"/>
      <c r="Y118" s="214"/>
    </row>
    <row r="119" spans="2:25" ht="7.5" customHeight="1" x14ac:dyDescent="0.25">
      <c r="B119" s="241">
        <f t="shared" si="18"/>
        <v>19</v>
      </c>
      <c r="C119" s="244" t="str">
        <f>IF(AND('Data Dan'!$I$24="1 Dan",'Data Dan'!$N$24="LULUS"),VLOOKUP(B119,'Data Dan'!$A$6:$I$475,3,0),"")</f>
        <v>XX.X.XX.XX.XX.019</v>
      </c>
      <c r="D119" s="245"/>
      <c r="E119" s="245"/>
      <c r="F119" s="248"/>
      <c r="G119" s="249"/>
      <c r="H119" s="250" t="str">
        <f>_xlfn.IFNA(INDEX('Data Dan'!$I$6:$I$495,MATCH(C119,'Data Dan'!$C$6:$C$495,0)),"")</f>
        <v>1 DAN</v>
      </c>
      <c r="I119" s="224" t="str">
        <f t="shared" ref="I119" si="25">IF(AND(S119&lt;&gt;"",V119&lt;&gt;""),IF(V119&gt;=90,"Excellent",IF(V119&gt;=80,"Very Good",IF(V119&gt;=70,"Good",IF(V119&gt;=60,"Fair","Poor")))),"")</f>
        <v/>
      </c>
      <c r="J119" s="224"/>
      <c r="K119" s="44"/>
      <c r="L119" s="45"/>
      <c r="M119" s="45"/>
      <c r="N119" s="46"/>
      <c r="O119" s="44"/>
      <c r="P119" s="45"/>
      <c r="Q119" s="45"/>
      <c r="R119" s="46"/>
      <c r="S119" s="224"/>
      <c r="T119" s="224"/>
      <c r="U119" s="224"/>
      <c r="V119" s="252"/>
      <c r="W119" s="252"/>
      <c r="Y119" s="214" t="str">
        <f>_xlfn.IFNA(VLOOKUP(C119,'Data Dan'!$C$6:$N$995,12,0),"No Data")</f>
        <v>LULUS</v>
      </c>
    </row>
    <row r="120" spans="2:25" ht="12" customHeight="1" x14ac:dyDescent="0.25">
      <c r="B120" s="242"/>
      <c r="C120" s="246"/>
      <c r="D120" s="247"/>
      <c r="E120" s="247"/>
      <c r="F120" s="248"/>
      <c r="G120" s="249"/>
      <c r="H120" s="251"/>
      <c r="I120" s="224"/>
      <c r="J120" s="224"/>
      <c r="K120" s="47"/>
      <c r="L120" s="224" t="str">
        <f>IF(C119&lt;&gt;"","V","")</f>
        <v>V</v>
      </c>
      <c r="M120" s="224"/>
      <c r="N120" s="47"/>
      <c r="O120" s="47"/>
      <c r="P120" s="224" t="str">
        <f>IF(C119&lt;&gt;"","V","")</f>
        <v>V</v>
      </c>
      <c r="Q120" s="224"/>
      <c r="R120" s="47"/>
      <c r="S120" s="224"/>
      <c r="T120" s="224"/>
      <c r="U120" s="224"/>
      <c r="V120" s="252"/>
      <c r="W120" s="252"/>
      <c r="Y120" s="214"/>
    </row>
    <row r="121" spans="2:25" ht="9" customHeight="1" x14ac:dyDescent="0.25">
      <c r="B121" s="242"/>
      <c r="C121" s="225" t="str">
        <f>_xlfn.IFNA(INDEX('Data Dan'!$B$6:$B$501,MATCH(C119,'Data Dan'!$C$6:$C$501,0)),"")</f>
        <v>Kenshi 19</v>
      </c>
      <c r="D121" s="226"/>
      <c r="E121" s="226"/>
      <c r="F121" s="226"/>
      <c r="G121" s="226"/>
      <c r="H121" s="227"/>
      <c r="I121" s="224"/>
      <c r="J121" s="224"/>
      <c r="K121" s="47"/>
      <c r="L121" s="224"/>
      <c r="M121" s="224"/>
      <c r="N121" s="47"/>
      <c r="O121" s="47"/>
      <c r="P121" s="224"/>
      <c r="Q121" s="224"/>
      <c r="R121" s="47"/>
      <c r="S121" s="224"/>
      <c r="T121" s="224"/>
      <c r="U121" s="224"/>
      <c r="V121" s="252"/>
      <c r="W121" s="252"/>
      <c r="Y121" s="214"/>
    </row>
    <row r="122" spans="2:25" ht="9" customHeight="1" x14ac:dyDescent="0.25">
      <c r="B122" s="243"/>
      <c r="C122" s="228"/>
      <c r="D122" s="229"/>
      <c r="E122" s="229"/>
      <c r="F122" s="229"/>
      <c r="G122" s="229"/>
      <c r="H122" s="230"/>
      <c r="I122" s="224"/>
      <c r="J122" s="224"/>
      <c r="K122" s="48"/>
      <c r="L122" s="49"/>
      <c r="M122" s="49"/>
      <c r="N122" s="50"/>
      <c r="O122" s="48"/>
      <c r="P122" s="49"/>
      <c r="Q122" s="49"/>
      <c r="R122" s="50"/>
      <c r="S122" s="224"/>
      <c r="T122" s="224"/>
      <c r="U122" s="224"/>
      <c r="V122" s="252"/>
      <c r="W122" s="252"/>
      <c r="Y122" s="214"/>
    </row>
    <row r="123" spans="2:25" ht="7.5" customHeight="1" x14ac:dyDescent="0.25">
      <c r="B123" s="241">
        <f t="shared" si="18"/>
        <v>20</v>
      </c>
      <c r="C123" s="244" t="str">
        <f>IF(AND('Data Dan'!$I$25="1 Dan",'Data Dan'!$N$25="LULUS"),VLOOKUP(B123,'Data Dan'!$A$6:$I$475,3,0),"")</f>
        <v>XX.X.XX.XX.XX.020</v>
      </c>
      <c r="D123" s="245"/>
      <c r="E123" s="245"/>
      <c r="F123" s="248"/>
      <c r="G123" s="249"/>
      <c r="H123" s="250" t="str">
        <f>_xlfn.IFNA(INDEX('Data Dan'!$I$6:$I$495,MATCH(C123,'Data Dan'!$C$6:$C$495,0)),"")</f>
        <v>1 DAN</v>
      </c>
      <c r="I123" s="224" t="str">
        <f t="shared" ref="I123" si="26">IF(AND(S123&lt;&gt;"",V123&lt;&gt;""),IF(V123&gt;=90,"Excellent",IF(V123&gt;=80,"Very Good",IF(V123&gt;=70,"Good",IF(V123&gt;=60,"Fair","Poor")))),"")</f>
        <v/>
      </c>
      <c r="J123" s="224"/>
      <c r="K123" s="44"/>
      <c r="L123" s="45"/>
      <c r="M123" s="45"/>
      <c r="N123" s="46"/>
      <c r="O123" s="44"/>
      <c r="P123" s="45"/>
      <c r="Q123" s="45"/>
      <c r="R123" s="46"/>
      <c r="S123" s="224"/>
      <c r="T123" s="224"/>
      <c r="U123" s="224"/>
      <c r="V123" s="252"/>
      <c r="W123" s="252"/>
      <c r="Y123" s="214" t="str">
        <f>_xlfn.IFNA(VLOOKUP(C123,'Data Dan'!$C$6:$N$995,12,0),"No Data")</f>
        <v>LULUS</v>
      </c>
    </row>
    <row r="124" spans="2:25" ht="12" customHeight="1" x14ac:dyDescent="0.25">
      <c r="B124" s="242"/>
      <c r="C124" s="246"/>
      <c r="D124" s="247"/>
      <c r="E124" s="247"/>
      <c r="F124" s="248"/>
      <c r="G124" s="249"/>
      <c r="H124" s="251"/>
      <c r="I124" s="224"/>
      <c r="J124" s="224"/>
      <c r="K124" s="47"/>
      <c r="L124" s="224" t="str">
        <f>IF(C123&lt;&gt;"","V","")</f>
        <v>V</v>
      </c>
      <c r="M124" s="224"/>
      <c r="N124" s="47"/>
      <c r="O124" s="47"/>
      <c r="P124" s="224" t="str">
        <f>IF(C123&lt;&gt;"","V","")</f>
        <v>V</v>
      </c>
      <c r="Q124" s="224"/>
      <c r="R124" s="47"/>
      <c r="S124" s="224"/>
      <c r="T124" s="224"/>
      <c r="U124" s="224"/>
      <c r="V124" s="252"/>
      <c r="W124" s="252"/>
      <c r="Y124" s="214"/>
    </row>
    <row r="125" spans="2:25" ht="9" customHeight="1" x14ac:dyDescent="0.25">
      <c r="B125" s="242"/>
      <c r="C125" s="225" t="str">
        <f>_xlfn.IFNA(INDEX('Data Dan'!$B$6:$B$501,MATCH(C123,'Data Dan'!$C$6:$C$501,0)),"")</f>
        <v>Kenshi 20</v>
      </c>
      <c r="D125" s="226"/>
      <c r="E125" s="226"/>
      <c r="F125" s="226"/>
      <c r="G125" s="226"/>
      <c r="H125" s="227"/>
      <c r="I125" s="224"/>
      <c r="J125" s="224"/>
      <c r="K125" s="47"/>
      <c r="L125" s="224"/>
      <c r="M125" s="224"/>
      <c r="N125" s="47"/>
      <c r="O125" s="47"/>
      <c r="P125" s="224"/>
      <c r="Q125" s="224"/>
      <c r="R125" s="47"/>
      <c r="S125" s="224"/>
      <c r="T125" s="224"/>
      <c r="U125" s="224"/>
      <c r="V125" s="252"/>
      <c r="W125" s="252"/>
      <c r="Y125" s="214"/>
    </row>
    <row r="126" spans="2:25" ht="9" customHeight="1" x14ac:dyDescent="0.25">
      <c r="B126" s="243"/>
      <c r="C126" s="228"/>
      <c r="D126" s="229"/>
      <c r="E126" s="229"/>
      <c r="F126" s="229"/>
      <c r="G126" s="229"/>
      <c r="H126" s="230"/>
      <c r="I126" s="224"/>
      <c r="J126" s="224"/>
      <c r="K126" s="48"/>
      <c r="L126" s="49"/>
      <c r="M126" s="49"/>
      <c r="N126" s="50"/>
      <c r="O126" s="48"/>
      <c r="P126" s="49"/>
      <c r="Q126" s="49"/>
      <c r="R126" s="50"/>
      <c r="S126" s="224"/>
      <c r="T126" s="224"/>
      <c r="U126" s="224"/>
      <c r="V126" s="252"/>
      <c r="W126" s="252"/>
      <c r="Y126" s="214"/>
    </row>
    <row r="127" spans="2:25" ht="7.5" customHeight="1" x14ac:dyDescent="0.25"/>
    <row r="128" spans="2:25" s="34" customFormat="1" x14ac:dyDescent="0.25">
      <c r="C128" s="35" t="s">
        <v>60</v>
      </c>
      <c r="I128" s="262" t="s">
        <v>28</v>
      </c>
      <c r="J128" s="262"/>
    </row>
    <row r="129" spans="2:25" x14ac:dyDescent="0.25">
      <c r="C129" s="33" t="s">
        <v>31</v>
      </c>
      <c r="D129" s="149"/>
      <c r="E129" s="149"/>
      <c r="F129" s="149"/>
      <c r="G129" s="149"/>
      <c r="H129" s="149"/>
      <c r="I129" s="263" t="s">
        <v>29</v>
      </c>
      <c r="J129" s="263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</row>
    <row r="130" spans="2:25" ht="6.75" customHeight="1" x14ac:dyDescent="0.25">
      <c r="D130" s="34"/>
      <c r="E130" s="34"/>
      <c r="F130" s="34"/>
      <c r="G130" s="34"/>
      <c r="H130" s="34"/>
    </row>
    <row r="131" spans="2:25" s="34" customFormat="1" x14ac:dyDescent="0.25">
      <c r="C131" s="35" t="s">
        <v>61</v>
      </c>
      <c r="I131" s="262" t="s">
        <v>36</v>
      </c>
      <c r="J131" s="262"/>
    </row>
    <row r="132" spans="2:25" x14ac:dyDescent="0.25">
      <c r="C132" s="33" t="s">
        <v>33</v>
      </c>
      <c r="D132" s="149"/>
      <c r="E132" s="149"/>
      <c r="F132" s="149"/>
      <c r="G132" s="149"/>
      <c r="H132" s="149"/>
      <c r="I132" s="263" t="s">
        <v>29</v>
      </c>
      <c r="J132" s="263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</row>
    <row r="133" spans="2:25" ht="6.75" customHeight="1" x14ac:dyDescent="0.25">
      <c r="D133" s="34"/>
      <c r="E133" s="34"/>
      <c r="F133" s="34"/>
      <c r="G133" s="34"/>
      <c r="H133" s="34"/>
    </row>
    <row r="134" spans="2:25" s="34" customFormat="1" ht="13.8" x14ac:dyDescent="0.25">
      <c r="C134" s="35" t="s">
        <v>62</v>
      </c>
      <c r="D134" s="177" t="s">
        <v>195</v>
      </c>
      <c r="E134" s="177"/>
      <c r="F134" s="177"/>
      <c r="G134" s="177"/>
      <c r="H134" s="177"/>
      <c r="I134" s="262" t="s">
        <v>28</v>
      </c>
      <c r="J134" s="262"/>
      <c r="Y134" s="70" t="s">
        <v>106</v>
      </c>
    </row>
    <row r="135" spans="2:25" ht="13.8" x14ac:dyDescent="0.25">
      <c r="C135" s="33" t="s">
        <v>35</v>
      </c>
      <c r="D135" s="178"/>
      <c r="E135" s="178"/>
      <c r="F135" s="178"/>
      <c r="G135" s="178"/>
      <c r="H135" s="178"/>
      <c r="I135" s="263" t="s">
        <v>29</v>
      </c>
      <c r="J135" s="263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Y135" s="70" t="s">
        <v>105</v>
      </c>
    </row>
    <row r="136" spans="2:25" ht="12.75" customHeight="1" thickBot="1" x14ac:dyDescent="0.3"/>
    <row r="137" spans="2:25" ht="13.8" thickTop="1" x14ac:dyDescent="0.25">
      <c r="B137" s="34" t="s">
        <v>37</v>
      </c>
      <c r="F137" s="150" t="s">
        <v>40</v>
      </c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</row>
    <row r="138" spans="2:25" x14ac:dyDescent="0.25">
      <c r="B138" s="34" t="s">
        <v>38</v>
      </c>
      <c r="F138" s="152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</row>
    <row r="139" spans="2:25" ht="11.25" customHeight="1" x14ac:dyDescent="0.25">
      <c r="B139" s="163" t="s">
        <v>39</v>
      </c>
      <c r="C139" s="163"/>
      <c r="D139" s="163"/>
      <c r="F139" s="37" t="s">
        <v>41</v>
      </c>
    </row>
    <row r="140" spans="2:25" ht="15" customHeight="1" x14ac:dyDescent="0.25">
      <c r="B140" s="163"/>
      <c r="C140" s="163"/>
      <c r="D140" s="163"/>
      <c r="F140" s="38" t="s">
        <v>42</v>
      </c>
    </row>
    <row r="141" spans="2:25" ht="11.25" customHeight="1" x14ac:dyDescent="0.25">
      <c r="B141" s="163"/>
      <c r="C141" s="163"/>
      <c r="D141" s="163"/>
      <c r="F141" s="36"/>
    </row>
    <row r="142" spans="2:25" x14ac:dyDescent="0.25">
      <c r="B142" s="163"/>
      <c r="C142" s="163"/>
      <c r="D142" s="163"/>
      <c r="F142" s="36"/>
    </row>
    <row r="143" spans="2:25" x14ac:dyDescent="0.25">
      <c r="F143" s="36"/>
    </row>
    <row r="144" spans="2:25" x14ac:dyDescent="0.25">
      <c r="F144" s="36"/>
    </row>
    <row r="145" spans="2:26" x14ac:dyDescent="0.25">
      <c r="F145" s="36"/>
    </row>
    <row r="146" spans="2:26" x14ac:dyDescent="0.25">
      <c r="F146" s="36"/>
    </row>
    <row r="147" spans="2:26" ht="13.8" x14ac:dyDescent="0.25">
      <c r="F147" s="157" t="s">
        <v>201</v>
      </c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</row>
    <row r="148" spans="2:26" x14ac:dyDescent="0.25">
      <c r="F148" s="36"/>
    </row>
    <row r="149" spans="2:26" ht="28.5" customHeight="1" x14ac:dyDescent="0.3">
      <c r="B149" s="193" t="s">
        <v>46</v>
      </c>
      <c r="C149" s="194"/>
      <c r="D149" s="194"/>
      <c r="E149" s="194"/>
      <c r="F149" s="194"/>
      <c r="G149" s="2"/>
      <c r="H149" s="2"/>
      <c r="I149" s="13" t="s">
        <v>47</v>
      </c>
      <c r="J149" s="195" t="s">
        <v>14</v>
      </c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7"/>
      <c r="Y149" s="1"/>
    </row>
    <row r="150" spans="2:26" ht="26.25" customHeight="1" x14ac:dyDescent="0.4">
      <c r="B150" s="39" t="s">
        <v>48</v>
      </c>
      <c r="C150" s="2"/>
      <c r="D150" s="2"/>
      <c r="E150" s="2"/>
      <c r="F150" s="2"/>
      <c r="G150" s="2"/>
      <c r="H150" s="2"/>
      <c r="I150" s="29" t="s">
        <v>13</v>
      </c>
      <c r="J150" s="15">
        <v>4</v>
      </c>
      <c r="K150" s="215">
        <v>1</v>
      </c>
      <c r="L150" s="216"/>
      <c r="M150" s="15">
        <v>0</v>
      </c>
      <c r="N150" s="198">
        <v>0</v>
      </c>
      <c r="O150" s="199"/>
      <c r="P150" s="217">
        <v>0</v>
      </c>
      <c r="Q150" s="218"/>
      <c r="R150" s="219">
        <v>1</v>
      </c>
      <c r="S150" s="220"/>
      <c r="U150" s="6"/>
      <c r="V150" s="6"/>
      <c r="W150" s="7"/>
      <c r="Y150" s="1"/>
    </row>
    <row r="151" spans="2:26" ht="21" customHeight="1" x14ac:dyDescent="0.25">
      <c r="B151" s="26" t="s">
        <v>237</v>
      </c>
      <c r="C151" s="25"/>
      <c r="D151" s="25"/>
      <c r="E151" s="25"/>
      <c r="F151" s="25"/>
      <c r="G151" s="25"/>
      <c r="H151" s="25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Y151" s="1"/>
    </row>
    <row r="152" spans="2:26" ht="13.5" customHeight="1" x14ac:dyDescent="0.25">
      <c r="B152" s="40" t="s">
        <v>24</v>
      </c>
      <c r="C152" s="25"/>
      <c r="D152" s="25"/>
      <c r="E152" s="25"/>
      <c r="F152" s="25"/>
      <c r="G152" s="25"/>
      <c r="H152" s="25"/>
      <c r="I152" s="28" t="s">
        <v>6</v>
      </c>
      <c r="J152" s="231">
        <f>$J$4</f>
        <v>2026</v>
      </c>
      <c r="K152" s="232"/>
      <c r="L152" s="28"/>
      <c r="M152" s="204" t="s">
        <v>15</v>
      </c>
      <c r="N152" s="204"/>
      <c r="O152" s="204"/>
      <c r="P152" s="239">
        <f>$P$4</f>
        <v>2</v>
      </c>
      <c r="Q152" s="240"/>
      <c r="R152" s="86"/>
      <c r="S152" s="233" t="s">
        <v>16</v>
      </c>
      <c r="T152" s="233"/>
      <c r="U152" s="239">
        <f>$U$4</f>
        <v>10</v>
      </c>
      <c r="V152" s="240"/>
      <c r="X152" s="1"/>
    </row>
    <row r="153" spans="2:26" ht="9.75" customHeight="1" x14ac:dyDescent="0.25"/>
    <row r="154" spans="2:26" ht="11.25" customHeight="1" x14ac:dyDescent="0.25">
      <c r="B154" s="24" t="s">
        <v>49</v>
      </c>
    </row>
    <row r="155" spans="2:26" ht="11.25" customHeight="1" x14ac:dyDescent="0.25">
      <c r="B155" s="8" t="s">
        <v>50</v>
      </c>
    </row>
    <row r="156" spans="2:26" x14ac:dyDescent="0.25">
      <c r="B156" s="8"/>
    </row>
    <row r="157" spans="2:26" ht="15.75" customHeight="1" x14ac:dyDescent="0.25">
      <c r="B157" s="234" t="s">
        <v>51</v>
      </c>
      <c r="C157" s="234"/>
      <c r="D157" s="234"/>
      <c r="E157" s="234"/>
      <c r="F157" s="18" t="s">
        <v>6</v>
      </c>
      <c r="G157" s="120">
        <f>$G$9</f>
        <v>2026</v>
      </c>
      <c r="H157" s="9" t="s">
        <v>15</v>
      </c>
      <c r="I157" s="121">
        <f>$I$9</f>
        <v>2</v>
      </c>
      <c r="J157" s="235" t="s">
        <v>16</v>
      </c>
      <c r="K157" s="236"/>
      <c r="L157" s="237">
        <f>$L$9</f>
        <v>8</v>
      </c>
      <c r="M157" s="238"/>
      <c r="N157" s="84"/>
      <c r="O157" s="85"/>
      <c r="P157" s="43"/>
      <c r="Q157" s="43"/>
      <c r="Y157" s="32"/>
    </row>
    <row r="158" spans="2:26" ht="17.25" customHeight="1" x14ac:dyDescent="0.25">
      <c r="C158" s="8"/>
      <c r="Z158" s="32"/>
    </row>
    <row r="159" spans="2:26" ht="18.75" customHeight="1" x14ac:dyDescent="0.25">
      <c r="B159" s="255" t="s">
        <v>52</v>
      </c>
      <c r="C159" s="257" t="s">
        <v>53</v>
      </c>
      <c r="D159" s="258"/>
      <c r="E159" s="258"/>
      <c r="F159" s="221" t="s">
        <v>54</v>
      </c>
      <c r="G159" s="223"/>
      <c r="H159" s="223"/>
      <c r="I159" s="259" t="s">
        <v>55</v>
      </c>
      <c r="J159" s="221"/>
      <c r="K159" s="221" t="s">
        <v>56</v>
      </c>
      <c r="L159" s="221"/>
      <c r="M159" s="221"/>
      <c r="N159" s="221"/>
      <c r="O159" s="222" t="s">
        <v>231</v>
      </c>
      <c r="P159" s="222"/>
      <c r="Q159" s="222"/>
      <c r="R159" s="223"/>
      <c r="S159" s="221" t="s">
        <v>57</v>
      </c>
      <c r="T159" s="223"/>
      <c r="U159" s="223"/>
      <c r="V159" s="221" t="s">
        <v>58</v>
      </c>
      <c r="W159" s="223"/>
    </row>
    <row r="160" spans="2:26" ht="26.25" customHeight="1" x14ac:dyDescent="0.25">
      <c r="B160" s="256"/>
      <c r="C160" s="253" t="s">
        <v>59</v>
      </c>
      <c r="D160" s="254"/>
      <c r="E160" s="254"/>
      <c r="F160" s="254"/>
      <c r="G160" s="254"/>
      <c r="H160" s="254"/>
      <c r="I160" s="221"/>
      <c r="J160" s="221"/>
      <c r="K160" s="221"/>
      <c r="L160" s="221"/>
      <c r="M160" s="221"/>
      <c r="N160" s="221"/>
      <c r="O160" s="223"/>
      <c r="P160" s="223"/>
      <c r="Q160" s="223"/>
      <c r="R160" s="223"/>
      <c r="S160" s="223"/>
      <c r="T160" s="223"/>
      <c r="U160" s="223"/>
      <c r="V160" s="223"/>
      <c r="W160" s="223"/>
      <c r="Y160" s="122" t="s">
        <v>242</v>
      </c>
    </row>
    <row r="161" spans="1:25" ht="7.5" customHeight="1" x14ac:dyDescent="0.25">
      <c r="A161" s="260"/>
      <c r="B161" s="241">
        <f>B123+1</f>
        <v>21</v>
      </c>
      <c r="C161" s="244" t="str">
        <f>IF(AND('Data Dan'!$I$26="1 Dan",'Data Dan'!$N$26="LULUS"),VLOOKUP(B161,'Data Dan'!$A$6:$I$475,3,0),"")</f>
        <v>XX.X.XX.XX.XX.021</v>
      </c>
      <c r="D161" s="245"/>
      <c r="E161" s="245"/>
      <c r="F161" s="248"/>
      <c r="G161" s="249"/>
      <c r="H161" s="250" t="str">
        <f>_xlfn.IFNA(INDEX('Data Dan'!$I$6:$I$495,MATCH(C161,'Data Dan'!$C$6:$C$495,0)),"")</f>
        <v>1 DAN</v>
      </c>
      <c r="I161" s="224" t="str">
        <f>IF(AND(S161&lt;&gt;"",V161&lt;&gt;""),IF(V161&gt;=90,"Excellent",IF(V161&gt;=80,"Very Good",IF(V161&gt;=70,"Good",IF(V161&gt;=60,"Fair","Poor")))),"")</f>
        <v/>
      </c>
      <c r="J161" s="224"/>
      <c r="K161" s="44"/>
      <c r="L161" s="45"/>
      <c r="M161" s="45"/>
      <c r="N161" s="46"/>
      <c r="O161" s="44"/>
      <c r="P161" s="45"/>
      <c r="Q161" s="45"/>
      <c r="R161" s="46"/>
      <c r="S161" s="224"/>
      <c r="T161" s="224"/>
      <c r="U161" s="224"/>
      <c r="V161" s="252"/>
      <c r="W161" s="252"/>
      <c r="Y161" s="214" t="str">
        <f>_xlfn.IFNA(VLOOKUP(C161,'Data Dan'!$C$6:$N$995,12,0),"No Data")</f>
        <v>LULUS</v>
      </c>
    </row>
    <row r="162" spans="1:25" ht="12" customHeight="1" x14ac:dyDescent="0.25">
      <c r="A162" s="261"/>
      <c r="B162" s="242"/>
      <c r="C162" s="246"/>
      <c r="D162" s="247"/>
      <c r="E162" s="247"/>
      <c r="F162" s="248"/>
      <c r="G162" s="249"/>
      <c r="H162" s="251"/>
      <c r="I162" s="224"/>
      <c r="J162" s="224"/>
      <c r="K162" s="47"/>
      <c r="L162" s="224" t="str">
        <f>IF(C161&lt;&gt;"","V","")</f>
        <v>V</v>
      </c>
      <c r="M162" s="224"/>
      <c r="N162" s="47"/>
      <c r="O162" s="47"/>
      <c r="P162" s="224" t="str">
        <f>IF(C161&lt;&gt;"","V","")</f>
        <v>V</v>
      </c>
      <c r="Q162" s="224"/>
      <c r="R162" s="47"/>
      <c r="S162" s="224"/>
      <c r="T162" s="224"/>
      <c r="U162" s="224"/>
      <c r="V162" s="252"/>
      <c r="W162" s="252"/>
      <c r="Y162" s="214"/>
    </row>
    <row r="163" spans="1:25" ht="9" customHeight="1" x14ac:dyDescent="0.25">
      <c r="A163" s="261"/>
      <c r="B163" s="242"/>
      <c r="C163" s="225" t="str">
        <f>_xlfn.IFNA(INDEX('Data Dan'!$B$6:$B$501,MATCH(C161,'Data Dan'!$C$6:$C$501,0)),"")</f>
        <v>Kenshi 21</v>
      </c>
      <c r="D163" s="226"/>
      <c r="E163" s="226"/>
      <c r="F163" s="226"/>
      <c r="G163" s="226"/>
      <c r="H163" s="227"/>
      <c r="I163" s="224"/>
      <c r="J163" s="224"/>
      <c r="K163" s="47"/>
      <c r="L163" s="224"/>
      <c r="M163" s="224"/>
      <c r="N163" s="47"/>
      <c r="O163" s="47"/>
      <c r="P163" s="224"/>
      <c r="Q163" s="224"/>
      <c r="R163" s="47"/>
      <c r="S163" s="224"/>
      <c r="T163" s="224"/>
      <c r="U163" s="224"/>
      <c r="V163" s="252"/>
      <c r="W163" s="252"/>
      <c r="Y163" s="214"/>
    </row>
    <row r="164" spans="1:25" ht="9" customHeight="1" x14ac:dyDescent="0.25">
      <c r="A164" s="261"/>
      <c r="B164" s="243"/>
      <c r="C164" s="228"/>
      <c r="D164" s="229"/>
      <c r="E164" s="229"/>
      <c r="F164" s="229"/>
      <c r="G164" s="229"/>
      <c r="H164" s="230"/>
      <c r="I164" s="224"/>
      <c r="J164" s="224"/>
      <c r="K164" s="48"/>
      <c r="L164" s="49"/>
      <c r="M164" s="49"/>
      <c r="N164" s="50"/>
      <c r="O164" s="48"/>
      <c r="P164" s="49"/>
      <c r="Q164" s="49"/>
      <c r="R164" s="50"/>
      <c r="S164" s="224"/>
      <c r="T164" s="224"/>
      <c r="U164" s="224"/>
      <c r="V164" s="252"/>
      <c r="W164" s="252"/>
      <c r="Y164" s="214"/>
    </row>
    <row r="165" spans="1:25" ht="7.5" customHeight="1" x14ac:dyDescent="0.25">
      <c r="B165" s="241">
        <f t="shared" ref="B165:B197" si="27">B161+1</f>
        <v>22</v>
      </c>
      <c r="C165" s="244" t="str">
        <f>IF(AND('Data Dan'!$I$27="1 Dan",'Data Dan'!$N$27="LULUS"),VLOOKUP(B165,'Data Dan'!$A$6:$I$475,3,0),"")</f>
        <v>XX.X.XX.XX.XX.022</v>
      </c>
      <c r="D165" s="245"/>
      <c r="E165" s="245"/>
      <c r="F165" s="248"/>
      <c r="G165" s="249"/>
      <c r="H165" s="250" t="str">
        <f>_xlfn.IFNA(INDEX('Data Dan'!$I$6:$I$495,MATCH(C165,'Data Dan'!$C$6:$C$495,0)),"")</f>
        <v>1 DAN</v>
      </c>
      <c r="I165" s="224" t="str">
        <f>IF(AND(S165&lt;&gt;"",V165&lt;&gt;""),IF(V165&gt;=90,"Excellent",IF(V165&gt;=80,"Very Good",IF(V165&gt;=70,"Good",IF(V165&gt;=60,"Fair","Poor")))),"")</f>
        <v/>
      </c>
      <c r="J165" s="224"/>
      <c r="K165" s="44"/>
      <c r="L165" s="45"/>
      <c r="M165" s="45"/>
      <c r="N165" s="46"/>
      <c r="O165" s="44"/>
      <c r="P165" s="45"/>
      <c r="Q165" s="45"/>
      <c r="R165" s="46"/>
      <c r="S165" s="224"/>
      <c r="T165" s="224"/>
      <c r="U165" s="224"/>
      <c r="V165" s="252"/>
      <c r="W165" s="252"/>
      <c r="Y165" s="214" t="str">
        <f>_xlfn.IFNA(VLOOKUP(C165,'Data Dan'!$C$6:$N$995,12,0),"No Data")</f>
        <v>LULUS</v>
      </c>
    </row>
    <row r="166" spans="1:25" ht="12" customHeight="1" x14ac:dyDescent="0.25">
      <c r="B166" s="242"/>
      <c r="C166" s="246"/>
      <c r="D166" s="247"/>
      <c r="E166" s="247"/>
      <c r="F166" s="248"/>
      <c r="G166" s="249"/>
      <c r="H166" s="251"/>
      <c r="I166" s="224"/>
      <c r="J166" s="224"/>
      <c r="K166" s="47"/>
      <c r="L166" s="224" t="str">
        <f>IF(C165&lt;&gt;"","V","")</f>
        <v>V</v>
      </c>
      <c r="M166" s="224"/>
      <c r="N166" s="47"/>
      <c r="O166" s="47"/>
      <c r="P166" s="224" t="str">
        <f>IF(C165&lt;&gt;"","V","")</f>
        <v>V</v>
      </c>
      <c r="Q166" s="224"/>
      <c r="R166" s="47"/>
      <c r="S166" s="224"/>
      <c r="T166" s="224"/>
      <c r="U166" s="224"/>
      <c r="V166" s="252"/>
      <c r="W166" s="252"/>
      <c r="Y166" s="214"/>
    </row>
    <row r="167" spans="1:25" ht="9" customHeight="1" x14ac:dyDescent="0.25">
      <c r="B167" s="242"/>
      <c r="C167" s="225" t="str">
        <f>_xlfn.IFNA(INDEX('Data Dan'!$B$6:$B$501,MATCH(C165,'Data Dan'!$C$6:$C$501,0)),"")</f>
        <v>Kenshi 22</v>
      </c>
      <c r="D167" s="226"/>
      <c r="E167" s="226"/>
      <c r="F167" s="226"/>
      <c r="G167" s="226"/>
      <c r="H167" s="227"/>
      <c r="I167" s="224"/>
      <c r="J167" s="224"/>
      <c r="K167" s="47"/>
      <c r="L167" s="224"/>
      <c r="M167" s="224"/>
      <c r="N167" s="47"/>
      <c r="O167" s="47"/>
      <c r="P167" s="224"/>
      <c r="Q167" s="224"/>
      <c r="R167" s="47"/>
      <c r="S167" s="224"/>
      <c r="T167" s="224"/>
      <c r="U167" s="224"/>
      <c r="V167" s="252"/>
      <c r="W167" s="252"/>
      <c r="Y167" s="214"/>
    </row>
    <row r="168" spans="1:25" ht="9" customHeight="1" x14ac:dyDescent="0.25">
      <c r="B168" s="243"/>
      <c r="C168" s="228"/>
      <c r="D168" s="229"/>
      <c r="E168" s="229"/>
      <c r="F168" s="229"/>
      <c r="G168" s="229"/>
      <c r="H168" s="230"/>
      <c r="I168" s="224"/>
      <c r="J168" s="224"/>
      <c r="K168" s="48"/>
      <c r="L168" s="49"/>
      <c r="M168" s="49"/>
      <c r="N168" s="50"/>
      <c r="O168" s="48"/>
      <c r="P168" s="49"/>
      <c r="Q168" s="49"/>
      <c r="R168" s="50"/>
      <c r="S168" s="224"/>
      <c r="T168" s="224"/>
      <c r="U168" s="224"/>
      <c r="V168" s="252"/>
      <c r="W168" s="252"/>
      <c r="Y168" s="214"/>
    </row>
    <row r="169" spans="1:25" ht="7.5" customHeight="1" x14ac:dyDescent="0.25">
      <c r="B169" s="241">
        <f t="shared" si="27"/>
        <v>23</v>
      </c>
      <c r="C169" s="244" t="str">
        <f>IF(AND('Data Dan'!$I$28="1 Dan",'Data Dan'!$N$28="LULUS"),VLOOKUP(B169,'Data Dan'!$A$6:$I$475,3,0),"")</f>
        <v>XX.X.XX.XX.XX.023</v>
      </c>
      <c r="D169" s="245"/>
      <c r="E169" s="245"/>
      <c r="F169" s="248"/>
      <c r="G169" s="249"/>
      <c r="H169" s="250" t="str">
        <f>_xlfn.IFNA(INDEX('Data Dan'!$I$6:$I$495,MATCH(C169,'Data Dan'!$C$6:$C$495,0)),"")</f>
        <v>1 DAN</v>
      </c>
      <c r="I169" s="224" t="str">
        <f t="shared" ref="I169" si="28">IF(AND(S169&lt;&gt;"",V169&lt;&gt;""),IF(V169&gt;=90,"Excellent",IF(V169&gt;=80,"Very Good",IF(V169&gt;=70,"Good",IF(V169&gt;=60,"Fair","Poor")))),"")</f>
        <v/>
      </c>
      <c r="J169" s="224"/>
      <c r="K169" s="44"/>
      <c r="L169" s="45"/>
      <c r="M169" s="45"/>
      <c r="N169" s="46"/>
      <c r="O169" s="44"/>
      <c r="P169" s="45"/>
      <c r="Q169" s="45"/>
      <c r="R169" s="46"/>
      <c r="S169" s="224"/>
      <c r="T169" s="224"/>
      <c r="U169" s="224"/>
      <c r="V169" s="252"/>
      <c r="W169" s="252"/>
      <c r="Y169" s="214" t="str">
        <f>_xlfn.IFNA(VLOOKUP(C169,'Data Dan'!$C$6:$N$995,12,0),"No Data")</f>
        <v>LULUS</v>
      </c>
    </row>
    <row r="170" spans="1:25" ht="12" customHeight="1" x14ac:dyDescent="0.25">
      <c r="B170" s="242"/>
      <c r="C170" s="246"/>
      <c r="D170" s="247"/>
      <c r="E170" s="247"/>
      <c r="F170" s="248"/>
      <c r="G170" s="249"/>
      <c r="H170" s="251"/>
      <c r="I170" s="224"/>
      <c r="J170" s="224"/>
      <c r="K170" s="47"/>
      <c r="L170" s="224" t="str">
        <f>IF(C169&lt;&gt;"","V","")</f>
        <v>V</v>
      </c>
      <c r="M170" s="224"/>
      <c r="N170" s="47"/>
      <c r="O170" s="47"/>
      <c r="P170" s="224" t="str">
        <f>IF(C169&lt;&gt;"","V","")</f>
        <v>V</v>
      </c>
      <c r="Q170" s="224"/>
      <c r="R170" s="47"/>
      <c r="S170" s="224"/>
      <c r="T170" s="224"/>
      <c r="U170" s="224"/>
      <c r="V170" s="252"/>
      <c r="W170" s="252"/>
      <c r="Y170" s="214"/>
    </row>
    <row r="171" spans="1:25" ht="9" customHeight="1" x14ac:dyDescent="0.25">
      <c r="B171" s="242"/>
      <c r="C171" s="225" t="str">
        <f>_xlfn.IFNA(INDEX('Data Dan'!$B$6:$B$501,MATCH(C169,'Data Dan'!$C$6:$C$501,0)),"")</f>
        <v>Kenshi 23</v>
      </c>
      <c r="D171" s="226"/>
      <c r="E171" s="226"/>
      <c r="F171" s="226"/>
      <c r="G171" s="226"/>
      <c r="H171" s="227"/>
      <c r="I171" s="224"/>
      <c r="J171" s="224"/>
      <c r="K171" s="47"/>
      <c r="L171" s="224"/>
      <c r="M171" s="224"/>
      <c r="N171" s="47"/>
      <c r="O171" s="47"/>
      <c r="P171" s="224"/>
      <c r="Q171" s="224"/>
      <c r="R171" s="47"/>
      <c r="S171" s="224"/>
      <c r="T171" s="224"/>
      <c r="U171" s="224"/>
      <c r="V171" s="252"/>
      <c r="W171" s="252"/>
      <c r="Y171" s="214"/>
    </row>
    <row r="172" spans="1:25" ht="9" customHeight="1" x14ac:dyDescent="0.25">
      <c r="B172" s="243"/>
      <c r="C172" s="228"/>
      <c r="D172" s="229"/>
      <c r="E172" s="229"/>
      <c r="F172" s="229"/>
      <c r="G172" s="229"/>
      <c r="H172" s="230"/>
      <c r="I172" s="224"/>
      <c r="J172" s="224"/>
      <c r="K172" s="48"/>
      <c r="L172" s="49"/>
      <c r="M172" s="49"/>
      <c r="N172" s="50"/>
      <c r="O172" s="48"/>
      <c r="P172" s="49"/>
      <c r="Q172" s="49"/>
      <c r="R172" s="50"/>
      <c r="S172" s="224"/>
      <c r="T172" s="224"/>
      <c r="U172" s="224"/>
      <c r="V172" s="252"/>
      <c r="W172" s="252"/>
      <c r="Y172" s="214"/>
    </row>
    <row r="173" spans="1:25" ht="7.5" customHeight="1" x14ac:dyDescent="0.25">
      <c r="B173" s="241">
        <f t="shared" si="27"/>
        <v>24</v>
      </c>
      <c r="C173" s="244" t="str">
        <f>IF(AND('Data Dan'!$I$29="1 Dan",'Data Dan'!$N$29="LULUS"),VLOOKUP(B173,'Data Dan'!$A$6:$I$475,3,0),"")</f>
        <v>XX.X.XX.XX.XX.024</v>
      </c>
      <c r="D173" s="245"/>
      <c r="E173" s="245"/>
      <c r="F173" s="248"/>
      <c r="G173" s="249"/>
      <c r="H173" s="250" t="str">
        <f>_xlfn.IFNA(INDEX('Data Dan'!$I$6:$I$495,MATCH(C173,'Data Dan'!$C$6:$C$495,0)),"")</f>
        <v>1 DAN</v>
      </c>
      <c r="I173" s="224" t="str">
        <f t="shared" ref="I173" si="29">IF(AND(S173&lt;&gt;"",V173&lt;&gt;""),IF(V173&gt;=90,"Excellent",IF(V173&gt;=80,"Very Good",IF(V173&gt;=70,"Good",IF(V173&gt;=60,"Fair","Poor")))),"")</f>
        <v/>
      </c>
      <c r="J173" s="224"/>
      <c r="K173" s="44"/>
      <c r="L173" s="45"/>
      <c r="M173" s="45"/>
      <c r="N173" s="46"/>
      <c r="O173" s="44"/>
      <c r="P173" s="45"/>
      <c r="Q173" s="45"/>
      <c r="R173" s="46"/>
      <c r="S173" s="224"/>
      <c r="T173" s="224"/>
      <c r="U173" s="224"/>
      <c r="V173" s="252"/>
      <c r="W173" s="252"/>
      <c r="Y173" s="214" t="str">
        <f>_xlfn.IFNA(VLOOKUP(C173,'Data Dan'!$C$6:$N$995,12,0),"No Data")</f>
        <v>LULUS</v>
      </c>
    </row>
    <row r="174" spans="1:25" ht="12" customHeight="1" x14ac:dyDescent="0.25">
      <c r="B174" s="242"/>
      <c r="C174" s="246"/>
      <c r="D174" s="247"/>
      <c r="E174" s="247"/>
      <c r="F174" s="248"/>
      <c r="G174" s="249"/>
      <c r="H174" s="251"/>
      <c r="I174" s="224"/>
      <c r="J174" s="224"/>
      <c r="K174" s="47"/>
      <c r="L174" s="224" t="str">
        <f>IF(C173&lt;&gt;"","V","")</f>
        <v>V</v>
      </c>
      <c r="M174" s="224"/>
      <c r="N174" s="47"/>
      <c r="O174" s="47"/>
      <c r="P174" s="224" t="str">
        <f>IF(C173&lt;&gt;"","V","")</f>
        <v>V</v>
      </c>
      <c r="Q174" s="224"/>
      <c r="R174" s="47"/>
      <c r="S174" s="224"/>
      <c r="T174" s="224"/>
      <c r="U174" s="224"/>
      <c r="V174" s="252"/>
      <c r="W174" s="252"/>
      <c r="Y174" s="214"/>
    </row>
    <row r="175" spans="1:25" ht="9" customHeight="1" x14ac:dyDescent="0.25">
      <c r="B175" s="242"/>
      <c r="C175" s="225" t="str">
        <f>_xlfn.IFNA(INDEX('Data Dan'!$B$6:$B$501,MATCH(C173,'Data Dan'!$C$6:$C$501,0)),"")</f>
        <v>Kenshi 24</v>
      </c>
      <c r="D175" s="226"/>
      <c r="E175" s="226"/>
      <c r="F175" s="226"/>
      <c r="G175" s="226"/>
      <c r="H175" s="227"/>
      <c r="I175" s="224"/>
      <c r="J175" s="224"/>
      <c r="K175" s="47"/>
      <c r="L175" s="224"/>
      <c r="M175" s="224"/>
      <c r="N175" s="47"/>
      <c r="O175" s="47"/>
      <c r="P175" s="224"/>
      <c r="Q175" s="224"/>
      <c r="R175" s="47"/>
      <c r="S175" s="224"/>
      <c r="T175" s="224"/>
      <c r="U175" s="224"/>
      <c r="V175" s="252"/>
      <c r="W175" s="252"/>
      <c r="Y175" s="214"/>
    </row>
    <row r="176" spans="1:25" ht="9" customHeight="1" x14ac:dyDescent="0.25">
      <c r="B176" s="243"/>
      <c r="C176" s="228"/>
      <c r="D176" s="229"/>
      <c r="E176" s="229"/>
      <c r="F176" s="229"/>
      <c r="G176" s="229"/>
      <c r="H176" s="230"/>
      <c r="I176" s="224"/>
      <c r="J176" s="224"/>
      <c r="K176" s="48"/>
      <c r="L176" s="49"/>
      <c r="M176" s="49"/>
      <c r="N176" s="50"/>
      <c r="O176" s="48"/>
      <c r="P176" s="49"/>
      <c r="Q176" s="49"/>
      <c r="R176" s="50"/>
      <c r="S176" s="224"/>
      <c r="T176" s="224"/>
      <c r="U176" s="224"/>
      <c r="V176" s="252"/>
      <c r="W176" s="252"/>
      <c r="Y176" s="214"/>
    </row>
    <row r="177" spans="2:25" ht="7.5" customHeight="1" x14ac:dyDescent="0.25">
      <c r="B177" s="241">
        <f t="shared" si="27"/>
        <v>25</v>
      </c>
      <c r="C177" s="244" t="str">
        <f>IF(AND('Data Dan'!$I$30="1 Dan",'Data Dan'!$N$30="LULUS"),VLOOKUP(B177,'Data Dan'!$A$6:$I$475,3,0),"")</f>
        <v>XX.X.XX.XX.XX.025</v>
      </c>
      <c r="D177" s="245"/>
      <c r="E177" s="245"/>
      <c r="F177" s="248"/>
      <c r="G177" s="249"/>
      <c r="H177" s="250" t="str">
        <f>_xlfn.IFNA(INDEX('Data Dan'!$I$6:$I$495,MATCH(C177,'Data Dan'!$C$6:$C$495,0)),"")</f>
        <v>1 DAN</v>
      </c>
      <c r="I177" s="224" t="str">
        <f t="shared" ref="I177" si="30">IF(AND(S177&lt;&gt;"",V177&lt;&gt;""),IF(V177&gt;=90,"Excellent",IF(V177&gt;=80,"Very Good",IF(V177&gt;=70,"Good",IF(V177&gt;=60,"Fair","Poor")))),"")</f>
        <v/>
      </c>
      <c r="J177" s="224"/>
      <c r="K177" s="44"/>
      <c r="L177" s="45"/>
      <c r="M177" s="45"/>
      <c r="N177" s="46"/>
      <c r="O177" s="44"/>
      <c r="P177" s="45"/>
      <c r="Q177" s="45"/>
      <c r="R177" s="46"/>
      <c r="S177" s="224"/>
      <c r="T177" s="224"/>
      <c r="U177" s="224"/>
      <c r="V177" s="252"/>
      <c r="W177" s="252"/>
      <c r="Y177" s="214" t="str">
        <f>_xlfn.IFNA(VLOOKUP(C177,'Data Dan'!$C$6:$N$995,12,0),"No Data")</f>
        <v>LULUS</v>
      </c>
    </row>
    <row r="178" spans="2:25" ht="12" customHeight="1" x14ac:dyDescent="0.25">
      <c r="B178" s="242"/>
      <c r="C178" s="246"/>
      <c r="D178" s="247"/>
      <c r="E178" s="247"/>
      <c r="F178" s="248"/>
      <c r="G178" s="249"/>
      <c r="H178" s="251"/>
      <c r="I178" s="224"/>
      <c r="J178" s="224"/>
      <c r="K178" s="47"/>
      <c r="L178" s="224" t="str">
        <f>IF(C177&lt;&gt;"","V","")</f>
        <v>V</v>
      </c>
      <c r="M178" s="224"/>
      <c r="N178" s="47"/>
      <c r="O178" s="47"/>
      <c r="P178" s="224" t="str">
        <f>IF(C177&lt;&gt;"","V","")</f>
        <v>V</v>
      </c>
      <c r="Q178" s="224"/>
      <c r="R178" s="47"/>
      <c r="S178" s="224"/>
      <c r="T178" s="224"/>
      <c r="U178" s="224"/>
      <c r="V178" s="252"/>
      <c r="W178" s="252"/>
      <c r="Y178" s="214"/>
    </row>
    <row r="179" spans="2:25" ht="9" customHeight="1" x14ac:dyDescent="0.25">
      <c r="B179" s="242"/>
      <c r="C179" s="225" t="str">
        <f>_xlfn.IFNA(INDEX('Data Dan'!$B$6:$B$501,MATCH(C177,'Data Dan'!$C$6:$C$501,0)),"")</f>
        <v>Kenshi 25</v>
      </c>
      <c r="D179" s="226"/>
      <c r="E179" s="226"/>
      <c r="F179" s="226"/>
      <c r="G179" s="226"/>
      <c r="H179" s="227"/>
      <c r="I179" s="224"/>
      <c r="J179" s="224"/>
      <c r="K179" s="47"/>
      <c r="L179" s="224"/>
      <c r="M179" s="224"/>
      <c r="N179" s="47"/>
      <c r="O179" s="47"/>
      <c r="P179" s="224"/>
      <c r="Q179" s="224"/>
      <c r="R179" s="47"/>
      <c r="S179" s="224"/>
      <c r="T179" s="224"/>
      <c r="U179" s="224"/>
      <c r="V179" s="252"/>
      <c r="W179" s="252"/>
      <c r="Y179" s="214"/>
    </row>
    <row r="180" spans="2:25" ht="9" customHeight="1" x14ac:dyDescent="0.25">
      <c r="B180" s="243"/>
      <c r="C180" s="228"/>
      <c r="D180" s="229"/>
      <c r="E180" s="229"/>
      <c r="F180" s="229"/>
      <c r="G180" s="229"/>
      <c r="H180" s="230"/>
      <c r="I180" s="224"/>
      <c r="J180" s="224"/>
      <c r="K180" s="48"/>
      <c r="L180" s="49"/>
      <c r="M180" s="49"/>
      <c r="N180" s="50"/>
      <c r="O180" s="48"/>
      <c r="P180" s="49"/>
      <c r="Q180" s="49"/>
      <c r="R180" s="50"/>
      <c r="S180" s="224"/>
      <c r="T180" s="224"/>
      <c r="U180" s="224"/>
      <c r="V180" s="252"/>
      <c r="W180" s="252"/>
      <c r="Y180" s="214"/>
    </row>
    <row r="181" spans="2:25" ht="7.5" customHeight="1" x14ac:dyDescent="0.25">
      <c r="B181" s="241">
        <f t="shared" si="27"/>
        <v>26</v>
      </c>
      <c r="C181" s="244" t="str">
        <f>IF(AND('Data Dan'!$I$31="1 Dan",'Data Dan'!$N$31="LULUS"),VLOOKUP(B181,'Data Dan'!$A$6:$I$475,3,0),"")</f>
        <v>XX.X.XX.XX.XX.026</v>
      </c>
      <c r="D181" s="245"/>
      <c r="E181" s="245"/>
      <c r="F181" s="248"/>
      <c r="G181" s="249"/>
      <c r="H181" s="250" t="str">
        <f>_xlfn.IFNA(INDEX('Data Dan'!$I$6:$I$495,MATCH(C181,'Data Dan'!$C$6:$C$495,0)),"")</f>
        <v>1 DAN</v>
      </c>
      <c r="I181" s="224" t="str">
        <f t="shared" ref="I181" si="31">IF(AND(S181&lt;&gt;"",V181&lt;&gt;""),IF(V181&gt;=90,"Excellent",IF(V181&gt;=80,"Very Good",IF(V181&gt;=70,"Good",IF(V181&gt;=60,"Fair","Poor")))),"")</f>
        <v/>
      </c>
      <c r="J181" s="224"/>
      <c r="K181" s="44"/>
      <c r="L181" s="45"/>
      <c r="M181" s="45"/>
      <c r="N181" s="46"/>
      <c r="O181" s="44"/>
      <c r="P181" s="45"/>
      <c r="Q181" s="45"/>
      <c r="R181" s="46"/>
      <c r="S181" s="224"/>
      <c r="T181" s="224"/>
      <c r="U181" s="224"/>
      <c r="V181" s="252"/>
      <c r="W181" s="252"/>
      <c r="Y181" s="214" t="str">
        <f>_xlfn.IFNA(VLOOKUP(C181,'Data Dan'!$C$6:$N$995,12,0),"No Data")</f>
        <v>LULUS</v>
      </c>
    </row>
    <row r="182" spans="2:25" ht="12" customHeight="1" x14ac:dyDescent="0.25">
      <c r="B182" s="242"/>
      <c r="C182" s="246"/>
      <c r="D182" s="247"/>
      <c r="E182" s="247"/>
      <c r="F182" s="248"/>
      <c r="G182" s="249"/>
      <c r="H182" s="251"/>
      <c r="I182" s="224"/>
      <c r="J182" s="224"/>
      <c r="K182" s="47"/>
      <c r="L182" s="224" t="str">
        <f>IF(C181&lt;&gt;"","V","")</f>
        <v>V</v>
      </c>
      <c r="M182" s="224"/>
      <c r="N182" s="47"/>
      <c r="O182" s="47"/>
      <c r="P182" s="224" t="str">
        <f>IF(C181&lt;&gt;"","V","")</f>
        <v>V</v>
      </c>
      <c r="Q182" s="224"/>
      <c r="R182" s="47"/>
      <c r="S182" s="224"/>
      <c r="T182" s="224"/>
      <c r="U182" s="224"/>
      <c r="V182" s="252"/>
      <c r="W182" s="252"/>
      <c r="Y182" s="214"/>
    </row>
    <row r="183" spans="2:25" ht="9" customHeight="1" x14ac:dyDescent="0.25">
      <c r="B183" s="242"/>
      <c r="C183" s="225" t="str">
        <f>_xlfn.IFNA(INDEX('Data Dan'!$B$6:$B$501,MATCH(C181,'Data Dan'!$C$6:$C$501,0)),"")</f>
        <v>Kenshi 26</v>
      </c>
      <c r="D183" s="226"/>
      <c r="E183" s="226"/>
      <c r="F183" s="226"/>
      <c r="G183" s="226"/>
      <c r="H183" s="227"/>
      <c r="I183" s="224"/>
      <c r="J183" s="224"/>
      <c r="K183" s="47"/>
      <c r="L183" s="224"/>
      <c r="M183" s="224"/>
      <c r="N183" s="47"/>
      <c r="O183" s="47"/>
      <c r="P183" s="224"/>
      <c r="Q183" s="224"/>
      <c r="R183" s="47"/>
      <c r="S183" s="224"/>
      <c r="T183" s="224"/>
      <c r="U183" s="224"/>
      <c r="V183" s="252"/>
      <c r="W183" s="252"/>
      <c r="Y183" s="214"/>
    </row>
    <row r="184" spans="2:25" ht="9" customHeight="1" x14ac:dyDescent="0.25">
      <c r="B184" s="243"/>
      <c r="C184" s="228"/>
      <c r="D184" s="229"/>
      <c r="E184" s="229"/>
      <c r="F184" s="229"/>
      <c r="G184" s="229"/>
      <c r="H184" s="230"/>
      <c r="I184" s="224"/>
      <c r="J184" s="224"/>
      <c r="K184" s="48"/>
      <c r="L184" s="49"/>
      <c r="M184" s="49"/>
      <c r="N184" s="50"/>
      <c r="O184" s="48"/>
      <c r="P184" s="49"/>
      <c r="Q184" s="49"/>
      <c r="R184" s="50"/>
      <c r="S184" s="224"/>
      <c r="T184" s="224"/>
      <c r="U184" s="224"/>
      <c r="V184" s="252"/>
      <c r="W184" s="252"/>
      <c r="Y184" s="214"/>
    </row>
    <row r="185" spans="2:25" ht="7.5" customHeight="1" x14ac:dyDescent="0.25">
      <c r="B185" s="241">
        <f t="shared" si="27"/>
        <v>27</v>
      </c>
      <c r="C185" s="244" t="str">
        <f>IF(AND('Data Dan'!$I$32="1 Dan",'Data Dan'!$N$32="LULUS"),VLOOKUP(B185,'Data Dan'!$A$6:$I$475,3,0),"")</f>
        <v>XX.X.XX.XX.XX.027</v>
      </c>
      <c r="D185" s="245"/>
      <c r="E185" s="245"/>
      <c r="F185" s="248"/>
      <c r="G185" s="249"/>
      <c r="H185" s="250" t="str">
        <f>_xlfn.IFNA(INDEX('Data Dan'!$I$6:$I$495,MATCH(C185,'Data Dan'!$C$6:$C$495,0)),"")</f>
        <v>1 DAN</v>
      </c>
      <c r="I185" s="224" t="str">
        <f t="shared" ref="I185" si="32">IF(AND(S185&lt;&gt;"",V185&lt;&gt;""),IF(V185&gt;=90,"Excellent",IF(V185&gt;=80,"Very Good",IF(V185&gt;=70,"Good",IF(V185&gt;=60,"Fair","Poor")))),"")</f>
        <v/>
      </c>
      <c r="J185" s="224"/>
      <c r="K185" s="44"/>
      <c r="L185" s="45"/>
      <c r="M185" s="45"/>
      <c r="N185" s="46"/>
      <c r="O185" s="44"/>
      <c r="P185" s="45"/>
      <c r="Q185" s="45"/>
      <c r="R185" s="46"/>
      <c r="S185" s="224"/>
      <c r="T185" s="224"/>
      <c r="U185" s="224"/>
      <c r="V185" s="252"/>
      <c r="W185" s="252"/>
      <c r="Y185" s="214" t="str">
        <f>_xlfn.IFNA(VLOOKUP(C185,'Data Dan'!$C$6:$N$995,12,0),"No Data")</f>
        <v>LULUS</v>
      </c>
    </row>
    <row r="186" spans="2:25" ht="12" customHeight="1" x14ac:dyDescent="0.25">
      <c r="B186" s="242"/>
      <c r="C186" s="246"/>
      <c r="D186" s="247"/>
      <c r="E186" s="247"/>
      <c r="F186" s="248"/>
      <c r="G186" s="249"/>
      <c r="H186" s="251"/>
      <c r="I186" s="224"/>
      <c r="J186" s="224"/>
      <c r="K186" s="47"/>
      <c r="L186" s="224" t="str">
        <f>IF(C185&lt;&gt;"","V","")</f>
        <v>V</v>
      </c>
      <c r="M186" s="224"/>
      <c r="N186" s="47"/>
      <c r="O186" s="47"/>
      <c r="P186" s="224" t="str">
        <f>IF(C185&lt;&gt;"","V","")</f>
        <v>V</v>
      </c>
      <c r="Q186" s="224"/>
      <c r="R186" s="47"/>
      <c r="S186" s="224"/>
      <c r="T186" s="224"/>
      <c r="U186" s="224"/>
      <c r="V186" s="252"/>
      <c r="W186" s="252"/>
      <c r="Y186" s="214"/>
    </row>
    <row r="187" spans="2:25" ht="9" customHeight="1" x14ac:dyDescent="0.25">
      <c r="B187" s="242"/>
      <c r="C187" s="225" t="str">
        <f>_xlfn.IFNA(INDEX('Data Dan'!$B$6:$B$501,MATCH(C185,'Data Dan'!$C$6:$C$501,0)),"")</f>
        <v>Kenshi 27</v>
      </c>
      <c r="D187" s="226"/>
      <c r="E187" s="226"/>
      <c r="F187" s="226"/>
      <c r="G187" s="226"/>
      <c r="H187" s="227"/>
      <c r="I187" s="224"/>
      <c r="J187" s="224"/>
      <c r="K187" s="47"/>
      <c r="L187" s="224"/>
      <c r="M187" s="224"/>
      <c r="N187" s="47"/>
      <c r="O187" s="47"/>
      <c r="P187" s="224"/>
      <c r="Q187" s="224"/>
      <c r="R187" s="47"/>
      <c r="S187" s="224"/>
      <c r="T187" s="224"/>
      <c r="U187" s="224"/>
      <c r="V187" s="252"/>
      <c r="W187" s="252"/>
      <c r="Y187" s="214"/>
    </row>
    <row r="188" spans="2:25" ht="9" customHeight="1" x14ac:dyDescent="0.25">
      <c r="B188" s="243"/>
      <c r="C188" s="228"/>
      <c r="D188" s="229"/>
      <c r="E188" s="229"/>
      <c r="F188" s="229"/>
      <c r="G188" s="229"/>
      <c r="H188" s="230"/>
      <c r="I188" s="224"/>
      <c r="J188" s="224"/>
      <c r="K188" s="48"/>
      <c r="L188" s="49"/>
      <c r="M188" s="49"/>
      <c r="N188" s="50"/>
      <c r="O188" s="48"/>
      <c r="P188" s="49"/>
      <c r="Q188" s="49"/>
      <c r="R188" s="50"/>
      <c r="S188" s="224"/>
      <c r="T188" s="224"/>
      <c r="U188" s="224"/>
      <c r="V188" s="252"/>
      <c r="W188" s="252"/>
      <c r="Y188" s="214"/>
    </row>
    <row r="189" spans="2:25" ht="7.5" customHeight="1" x14ac:dyDescent="0.25">
      <c r="B189" s="241">
        <f t="shared" si="27"/>
        <v>28</v>
      </c>
      <c r="C189" s="244" t="str">
        <f>IF(AND('Data Dan'!$I$33="1 Dan",'Data Dan'!$N$33="LULUS"),VLOOKUP(B189,'Data Dan'!$A$6:$I$475,3,0),"")</f>
        <v>XX.X.XX.XX.XX.028</v>
      </c>
      <c r="D189" s="245"/>
      <c r="E189" s="245"/>
      <c r="F189" s="248"/>
      <c r="G189" s="249"/>
      <c r="H189" s="250" t="str">
        <f>_xlfn.IFNA(INDEX('Data Dan'!$I$6:$I$495,MATCH(C189,'Data Dan'!$C$6:$C$495,0)),"")</f>
        <v>1 DAN</v>
      </c>
      <c r="I189" s="224" t="str">
        <f t="shared" ref="I189" si="33">IF(AND(S189&lt;&gt;"",V189&lt;&gt;""),IF(V189&gt;=90,"Excellent",IF(V189&gt;=80,"Very Good",IF(V189&gt;=70,"Good",IF(V189&gt;=60,"Fair","Poor")))),"")</f>
        <v/>
      </c>
      <c r="J189" s="224"/>
      <c r="K189" s="44"/>
      <c r="L189" s="45"/>
      <c r="M189" s="45"/>
      <c r="N189" s="46"/>
      <c r="O189" s="44"/>
      <c r="P189" s="45"/>
      <c r="Q189" s="45"/>
      <c r="R189" s="46"/>
      <c r="S189" s="224"/>
      <c r="T189" s="224"/>
      <c r="U189" s="224"/>
      <c r="V189" s="252"/>
      <c r="W189" s="252"/>
      <c r="Y189" s="214" t="str">
        <f>_xlfn.IFNA(VLOOKUP(C189,'Data Dan'!$C$6:$N$995,12,0),"No Data")</f>
        <v>LULUS</v>
      </c>
    </row>
    <row r="190" spans="2:25" ht="12" customHeight="1" x14ac:dyDescent="0.25">
      <c r="B190" s="242"/>
      <c r="C190" s="246"/>
      <c r="D190" s="247"/>
      <c r="E190" s="247"/>
      <c r="F190" s="248"/>
      <c r="G190" s="249"/>
      <c r="H190" s="251"/>
      <c r="I190" s="224"/>
      <c r="J190" s="224"/>
      <c r="K190" s="47"/>
      <c r="L190" s="224" t="str">
        <f>IF(C189&lt;&gt;"","V","")</f>
        <v>V</v>
      </c>
      <c r="M190" s="224"/>
      <c r="N190" s="47"/>
      <c r="O190" s="47"/>
      <c r="P190" s="224" t="str">
        <f>IF(C189&lt;&gt;"","V","")</f>
        <v>V</v>
      </c>
      <c r="Q190" s="224"/>
      <c r="R190" s="47"/>
      <c r="S190" s="224"/>
      <c r="T190" s="224"/>
      <c r="U190" s="224"/>
      <c r="V190" s="252"/>
      <c r="W190" s="252"/>
      <c r="Y190" s="214"/>
    </row>
    <row r="191" spans="2:25" ht="9" customHeight="1" x14ac:dyDescent="0.25">
      <c r="B191" s="242"/>
      <c r="C191" s="225" t="str">
        <f>_xlfn.IFNA(INDEX('Data Dan'!$B$6:$B$501,MATCH(C189,'Data Dan'!$C$6:$C$501,0)),"")</f>
        <v>Kenshi 28</v>
      </c>
      <c r="D191" s="226"/>
      <c r="E191" s="226"/>
      <c r="F191" s="226"/>
      <c r="G191" s="226"/>
      <c r="H191" s="227"/>
      <c r="I191" s="224"/>
      <c r="J191" s="224"/>
      <c r="K191" s="47"/>
      <c r="L191" s="224"/>
      <c r="M191" s="224"/>
      <c r="N191" s="47"/>
      <c r="O191" s="47"/>
      <c r="P191" s="224"/>
      <c r="Q191" s="224"/>
      <c r="R191" s="47"/>
      <c r="S191" s="224"/>
      <c r="T191" s="224"/>
      <c r="U191" s="224"/>
      <c r="V191" s="252"/>
      <c r="W191" s="252"/>
      <c r="Y191" s="214"/>
    </row>
    <row r="192" spans="2:25" ht="9" customHeight="1" x14ac:dyDescent="0.25">
      <c r="B192" s="243"/>
      <c r="C192" s="228"/>
      <c r="D192" s="229"/>
      <c r="E192" s="229"/>
      <c r="F192" s="229"/>
      <c r="G192" s="229"/>
      <c r="H192" s="230"/>
      <c r="I192" s="224"/>
      <c r="J192" s="224"/>
      <c r="K192" s="48"/>
      <c r="L192" s="49"/>
      <c r="M192" s="49"/>
      <c r="N192" s="50"/>
      <c r="O192" s="48"/>
      <c r="P192" s="49"/>
      <c r="Q192" s="49"/>
      <c r="R192" s="50"/>
      <c r="S192" s="224"/>
      <c r="T192" s="224"/>
      <c r="U192" s="224"/>
      <c r="V192" s="252"/>
      <c r="W192" s="252"/>
      <c r="Y192" s="214"/>
    </row>
    <row r="193" spans="2:25" ht="7.5" customHeight="1" x14ac:dyDescent="0.25">
      <c r="B193" s="241">
        <f t="shared" si="27"/>
        <v>29</v>
      </c>
      <c r="C193" s="244" t="str">
        <f>IF(AND('Data Dan'!$I$34="1 Dan",'Data Dan'!$N$34="LULUS"),VLOOKUP(B193,'Data Dan'!$A$6:$I$475,3,0),"")</f>
        <v>XX.X.XX.XX.XX.029</v>
      </c>
      <c r="D193" s="245"/>
      <c r="E193" s="245"/>
      <c r="F193" s="248"/>
      <c r="G193" s="249"/>
      <c r="H193" s="250" t="str">
        <f>_xlfn.IFNA(INDEX('Data Dan'!$I$6:$I$495,MATCH(C193,'Data Dan'!$C$6:$C$495,0)),"")</f>
        <v>1 DAN</v>
      </c>
      <c r="I193" s="224" t="str">
        <f t="shared" ref="I193" si="34">IF(AND(S193&lt;&gt;"",V193&lt;&gt;""),IF(V193&gt;=90,"Excellent",IF(V193&gt;=80,"Very Good",IF(V193&gt;=70,"Good",IF(V193&gt;=60,"Fair","Poor")))),"")</f>
        <v/>
      </c>
      <c r="J193" s="224"/>
      <c r="K193" s="44"/>
      <c r="L193" s="45"/>
      <c r="M193" s="45"/>
      <c r="N193" s="46"/>
      <c r="O193" s="44"/>
      <c r="P193" s="45"/>
      <c r="Q193" s="45"/>
      <c r="R193" s="46"/>
      <c r="S193" s="224"/>
      <c r="T193" s="224"/>
      <c r="U193" s="224"/>
      <c r="V193" s="252"/>
      <c r="W193" s="252"/>
      <c r="Y193" s="214" t="str">
        <f>_xlfn.IFNA(VLOOKUP(C193,'Data Dan'!$C$6:$N$995,12,0),"No Data")</f>
        <v>LULUS</v>
      </c>
    </row>
    <row r="194" spans="2:25" ht="12" customHeight="1" x14ac:dyDescent="0.25">
      <c r="B194" s="242"/>
      <c r="C194" s="246"/>
      <c r="D194" s="247"/>
      <c r="E194" s="247"/>
      <c r="F194" s="248"/>
      <c r="G194" s="249"/>
      <c r="H194" s="251"/>
      <c r="I194" s="224"/>
      <c r="J194" s="224"/>
      <c r="K194" s="47"/>
      <c r="L194" s="224" t="str">
        <f>IF(C193&lt;&gt;"","V","")</f>
        <v>V</v>
      </c>
      <c r="M194" s="224"/>
      <c r="N194" s="47"/>
      <c r="O194" s="47"/>
      <c r="P194" s="224" t="str">
        <f>IF(C193&lt;&gt;"","V","")</f>
        <v>V</v>
      </c>
      <c r="Q194" s="224"/>
      <c r="R194" s="47"/>
      <c r="S194" s="224"/>
      <c r="T194" s="224"/>
      <c r="U194" s="224"/>
      <c r="V194" s="252"/>
      <c r="W194" s="252"/>
      <c r="Y194" s="214"/>
    </row>
    <row r="195" spans="2:25" ht="9" customHeight="1" x14ac:dyDescent="0.25">
      <c r="B195" s="242"/>
      <c r="C195" s="225" t="str">
        <f>_xlfn.IFNA(INDEX('Data Dan'!$B$6:$B$501,MATCH(C193,'Data Dan'!$C$6:$C$501,0)),"")</f>
        <v>Kenshi 29</v>
      </c>
      <c r="D195" s="226"/>
      <c r="E195" s="226"/>
      <c r="F195" s="226"/>
      <c r="G195" s="226"/>
      <c r="H195" s="227"/>
      <c r="I195" s="224"/>
      <c r="J195" s="224"/>
      <c r="K195" s="47"/>
      <c r="L195" s="224"/>
      <c r="M195" s="224"/>
      <c r="N195" s="47"/>
      <c r="O195" s="47"/>
      <c r="P195" s="224"/>
      <c r="Q195" s="224"/>
      <c r="R195" s="47"/>
      <c r="S195" s="224"/>
      <c r="T195" s="224"/>
      <c r="U195" s="224"/>
      <c r="V195" s="252"/>
      <c r="W195" s="252"/>
      <c r="Y195" s="214"/>
    </row>
    <row r="196" spans="2:25" ht="9" customHeight="1" x14ac:dyDescent="0.25">
      <c r="B196" s="243"/>
      <c r="C196" s="228"/>
      <c r="D196" s="229"/>
      <c r="E196" s="229"/>
      <c r="F196" s="229"/>
      <c r="G196" s="229"/>
      <c r="H196" s="230"/>
      <c r="I196" s="224"/>
      <c r="J196" s="224"/>
      <c r="K196" s="48"/>
      <c r="L196" s="49"/>
      <c r="M196" s="49"/>
      <c r="N196" s="50"/>
      <c r="O196" s="48"/>
      <c r="P196" s="49"/>
      <c r="Q196" s="49"/>
      <c r="R196" s="50"/>
      <c r="S196" s="224"/>
      <c r="T196" s="224"/>
      <c r="U196" s="224"/>
      <c r="V196" s="252"/>
      <c r="W196" s="252"/>
      <c r="Y196" s="214"/>
    </row>
    <row r="197" spans="2:25" ht="7.5" customHeight="1" x14ac:dyDescent="0.25">
      <c r="B197" s="241">
        <f t="shared" si="27"/>
        <v>30</v>
      </c>
      <c r="C197" s="244" t="str">
        <f>IF(AND('Data Dan'!$I$35="1 Dan",'Data Dan'!$N$35="LULUS"),VLOOKUP(B197,'Data Dan'!$A$6:$I$475,3,0),"")</f>
        <v>XX.X.XX.XX.XX.030</v>
      </c>
      <c r="D197" s="245"/>
      <c r="E197" s="245"/>
      <c r="F197" s="248"/>
      <c r="G197" s="249"/>
      <c r="H197" s="250" t="str">
        <f>_xlfn.IFNA(INDEX('Data Dan'!$I$6:$I$495,MATCH(C197,'Data Dan'!$C$6:$C$495,0)),"")</f>
        <v>1 DAN</v>
      </c>
      <c r="I197" s="224" t="str">
        <f t="shared" ref="I197" si="35">IF(AND(S197&lt;&gt;"",V197&lt;&gt;""),IF(V197&gt;=90,"Excellent",IF(V197&gt;=80,"Very Good",IF(V197&gt;=70,"Good",IF(V197&gt;=60,"Fair","Poor")))),"")</f>
        <v/>
      </c>
      <c r="J197" s="224"/>
      <c r="K197" s="44"/>
      <c r="L197" s="45"/>
      <c r="M197" s="45"/>
      <c r="N197" s="46"/>
      <c r="O197" s="44"/>
      <c r="P197" s="45"/>
      <c r="Q197" s="45"/>
      <c r="R197" s="46"/>
      <c r="S197" s="224"/>
      <c r="T197" s="224"/>
      <c r="U197" s="224"/>
      <c r="V197" s="252"/>
      <c r="W197" s="252"/>
      <c r="Y197" s="214" t="str">
        <f>_xlfn.IFNA(VLOOKUP(C197,'Data Dan'!$C$6:$N$995,12,0),"No Data")</f>
        <v>LULUS</v>
      </c>
    </row>
    <row r="198" spans="2:25" ht="12" customHeight="1" x14ac:dyDescent="0.25">
      <c r="B198" s="242"/>
      <c r="C198" s="246"/>
      <c r="D198" s="247"/>
      <c r="E198" s="247"/>
      <c r="F198" s="248"/>
      <c r="G198" s="249"/>
      <c r="H198" s="251"/>
      <c r="I198" s="224"/>
      <c r="J198" s="224"/>
      <c r="K198" s="47"/>
      <c r="L198" s="224" t="str">
        <f>IF(C197&lt;&gt;"","V","")</f>
        <v>V</v>
      </c>
      <c r="M198" s="224"/>
      <c r="N198" s="47"/>
      <c r="O198" s="47"/>
      <c r="P198" s="224" t="str">
        <f>IF(C197&lt;&gt;"","V","")</f>
        <v>V</v>
      </c>
      <c r="Q198" s="224"/>
      <c r="R198" s="47"/>
      <c r="S198" s="224"/>
      <c r="T198" s="224"/>
      <c r="U198" s="224"/>
      <c r="V198" s="252"/>
      <c r="W198" s="252"/>
      <c r="Y198" s="214"/>
    </row>
    <row r="199" spans="2:25" ht="9" customHeight="1" x14ac:dyDescent="0.25">
      <c r="B199" s="242"/>
      <c r="C199" s="225" t="str">
        <f>_xlfn.IFNA(INDEX('Data Dan'!$B$6:$B$501,MATCH(C197,'Data Dan'!$C$6:$C$501,0)),"")</f>
        <v>Kenshi 30</v>
      </c>
      <c r="D199" s="226"/>
      <c r="E199" s="226"/>
      <c r="F199" s="226"/>
      <c r="G199" s="226"/>
      <c r="H199" s="227"/>
      <c r="I199" s="224"/>
      <c r="J199" s="224"/>
      <c r="K199" s="47"/>
      <c r="L199" s="224"/>
      <c r="M199" s="224"/>
      <c r="N199" s="47"/>
      <c r="O199" s="47"/>
      <c r="P199" s="224"/>
      <c r="Q199" s="224"/>
      <c r="R199" s="47"/>
      <c r="S199" s="224"/>
      <c r="T199" s="224"/>
      <c r="U199" s="224"/>
      <c r="V199" s="252"/>
      <c r="W199" s="252"/>
      <c r="Y199" s="214"/>
    </row>
    <row r="200" spans="2:25" ht="9" customHeight="1" x14ac:dyDescent="0.25">
      <c r="B200" s="243"/>
      <c r="C200" s="228"/>
      <c r="D200" s="229"/>
      <c r="E200" s="229"/>
      <c r="F200" s="229"/>
      <c r="G200" s="229"/>
      <c r="H200" s="230"/>
      <c r="I200" s="224"/>
      <c r="J200" s="224"/>
      <c r="K200" s="48"/>
      <c r="L200" s="49"/>
      <c r="M200" s="49"/>
      <c r="N200" s="50"/>
      <c r="O200" s="48"/>
      <c r="P200" s="49"/>
      <c r="Q200" s="49"/>
      <c r="R200" s="50"/>
      <c r="S200" s="224"/>
      <c r="T200" s="224"/>
      <c r="U200" s="224"/>
      <c r="V200" s="252"/>
      <c r="W200" s="252"/>
      <c r="Y200" s="214"/>
    </row>
    <row r="201" spans="2:25" ht="7.5" customHeight="1" x14ac:dyDescent="0.25"/>
    <row r="202" spans="2:25" s="34" customFormat="1" x14ac:dyDescent="0.25">
      <c r="C202" s="35" t="s">
        <v>60</v>
      </c>
      <c r="I202" s="262" t="s">
        <v>28</v>
      </c>
      <c r="J202" s="262"/>
    </row>
    <row r="203" spans="2:25" x14ac:dyDescent="0.25">
      <c r="C203" s="33" t="s">
        <v>31</v>
      </c>
      <c r="D203" s="149"/>
      <c r="E203" s="149"/>
      <c r="F203" s="149"/>
      <c r="G203" s="149"/>
      <c r="H203" s="149"/>
      <c r="I203" s="263" t="s">
        <v>29</v>
      </c>
      <c r="J203" s="263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</row>
    <row r="204" spans="2:25" ht="6.75" customHeight="1" x14ac:dyDescent="0.25">
      <c r="D204" s="34"/>
      <c r="E204" s="34"/>
      <c r="F204" s="34"/>
      <c r="G204" s="34"/>
      <c r="H204" s="34"/>
    </row>
    <row r="205" spans="2:25" s="34" customFormat="1" x14ac:dyDescent="0.25">
      <c r="C205" s="35" t="s">
        <v>61</v>
      </c>
      <c r="I205" s="262" t="s">
        <v>36</v>
      </c>
      <c r="J205" s="262"/>
    </row>
    <row r="206" spans="2:25" x14ac:dyDescent="0.25">
      <c r="C206" s="33" t="s">
        <v>33</v>
      </c>
      <c r="D206" s="149"/>
      <c r="E206" s="149"/>
      <c r="F206" s="149"/>
      <c r="G206" s="149"/>
      <c r="H206" s="149"/>
      <c r="I206" s="263" t="s">
        <v>29</v>
      </c>
      <c r="J206" s="263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</row>
    <row r="207" spans="2:25" ht="6.75" customHeight="1" x14ac:dyDescent="0.25">
      <c r="D207" s="34"/>
      <c r="E207" s="34"/>
      <c r="F207" s="34"/>
      <c r="G207" s="34"/>
      <c r="H207" s="34"/>
    </row>
    <row r="208" spans="2:25" s="34" customFormat="1" ht="13.8" x14ac:dyDescent="0.25">
      <c r="C208" s="35" t="s">
        <v>62</v>
      </c>
      <c r="D208" s="177" t="s">
        <v>195</v>
      </c>
      <c r="E208" s="177"/>
      <c r="F208" s="177"/>
      <c r="G208" s="177"/>
      <c r="H208" s="177"/>
      <c r="I208" s="262" t="s">
        <v>28</v>
      </c>
      <c r="J208" s="262"/>
      <c r="Y208" s="70" t="s">
        <v>106</v>
      </c>
    </row>
    <row r="209" spans="2:25" ht="13.8" x14ac:dyDescent="0.25">
      <c r="C209" s="33" t="s">
        <v>35</v>
      </c>
      <c r="D209" s="178"/>
      <c r="E209" s="178"/>
      <c r="F209" s="178"/>
      <c r="G209" s="178"/>
      <c r="H209" s="178"/>
      <c r="I209" s="263" t="s">
        <v>29</v>
      </c>
      <c r="J209" s="263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Y209" s="70" t="s">
        <v>105</v>
      </c>
    </row>
    <row r="210" spans="2:25" ht="12.75" customHeight="1" thickBot="1" x14ac:dyDescent="0.3"/>
    <row r="211" spans="2:25" ht="13.8" thickTop="1" x14ac:dyDescent="0.25">
      <c r="B211" s="34" t="s">
        <v>37</v>
      </c>
      <c r="F211" s="150" t="s">
        <v>40</v>
      </c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</row>
    <row r="212" spans="2:25" x14ac:dyDescent="0.25">
      <c r="B212" s="34" t="s">
        <v>38</v>
      </c>
      <c r="F212" s="152"/>
      <c r="G212" s="153"/>
      <c r="H212" s="153"/>
      <c r="I212" s="153"/>
      <c r="J212" s="153"/>
      <c r="K212" s="153"/>
      <c r="L212" s="153"/>
      <c r="M212" s="153"/>
      <c r="N212" s="153"/>
      <c r="O212" s="153"/>
      <c r="P212" s="153"/>
      <c r="Q212" s="153"/>
      <c r="R212" s="153"/>
      <c r="S212" s="153"/>
      <c r="T212" s="153"/>
      <c r="U212" s="153"/>
      <c r="V212" s="153"/>
      <c r="W212" s="153"/>
    </row>
    <row r="213" spans="2:25" ht="11.25" customHeight="1" x14ac:dyDescent="0.25">
      <c r="B213" s="163" t="s">
        <v>39</v>
      </c>
      <c r="C213" s="163"/>
      <c r="D213" s="163"/>
      <c r="F213" s="37" t="s">
        <v>41</v>
      </c>
    </row>
    <row r="214" spans="2:25" ht="15" customHeight="1" x14ac:dyDescent="0.25">
      <c r="B214" s="163"/>
      <c r="C214" s="163"/>
      <c r="D214" s="163"/>
      <c r="F214" s="38" t="s">
        <v>42</v>
      </c>
    </row>
    <row r="215" spans="2:25" ht="11.25" customHeight="1" x14ac:dyDescent="0.25">
      <c r="B215" s="163"/>
      <c r="C215" s="163"/>
      <c r="D215" s="163"/>
      <c r="F215" s="36"/>
    </row>
    <row r="216" spans="2:25" x14ac:dyDescent="0.25">
      <c r="B216" s="163"/>
      <c r="C216" s="163"/>
      <c r="D216" s="163"/>
      <c r="F216" s="36"/>
    </row>
    <row r="217" spans="2:25" x14ac:dyDescent="0.25">
      <c r="F217" s="36"/>
    </row>
    <row r="218" spans="2:25" x14ac:dyDescent="0.25">
      <c r="F218" s="36"/>
    </row>
    <row r="219" spans="2:25" x14ac:dyDescent="0.25">
      <c r="F219" s="36"/>
    </row>
    <row r="220" spans="2:25" x14ac:dyDescent="0.25">
      <c r="F220" s="36"/>
    </row>
    <row r="221" spans="2:25" ht="13.8" x14ac:dyDescent="0.25">
      <c r="F221" s="157" t="s">
        <v>201</v>
      </c>
      <c r="G221" s="158"/>
      <c r="H221" s="158"/>
      <c r="I221" s="158"/>
      <c r="J221" s="158"/>
      <c r="K221" s="158"/>
      <c r="L221" s="15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</row>
    <row r="222" spans="2:25" x14ac:dyDescent="0.25">
      <c r="F222" s="36"/>
    </row>
    <row r="223" spans="2:25" ht="28.5" customHeight="1" x14ac:dyDescent="0.3">
      <c r="B223" s="193" t="s">
        <v>46</v>
      </c>
      <c r="C223" s="194"/>
      <c r="D223" s="194"/>
      <c r="E223" s="194"/>
      <c r="F223" s="194"/>
      <c r="G223" s="2"/>
      <c r="H223" s="2"/>
      <c r="I223" s="13" t="s">
        <v>47</v>
      </c>
      <c r="J223" s="195" t="s">
        <v>14</v>
      </c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7"/>
      <c r="Y223" s="1"/>
    </row>
    <row r="224" spans="2:25" ht="26.25" customHeight="1" x14ac:dyDescent="0.4">
      <c r="B224" s="39" t="s">
        <v>48</v>
      </c>
      <c r="C224" s="2"/>
      <c r="D224" s="2"/>
      <c r="E224" s="2"/>
      <c r="F224" s="2"/>
      <c r="G224" s="2"/>
      <c r="H224" s="2"/>
      <c r="I224" s="29" t="s">
        <v>13</v>
      </c>
      <c r="J224" s="15">
        <v>4</v>
      </c>
      <c r="K224" s="215">
        <v>1</v>
      </c>
      <c r="L224" s="216"/>
      <c r="M224" s="15">
        <v>0</v>
      </c>
      <c r="N224" s="198">
        <v>0</v>
      </c>
      <c r="O224" s="199"/>
      <c r="P224" s="217">
        <v>0</v>
      </c>
      <c r="Q224" s="218"/>
      <c r="R224" s="219">
        <v>1</v>
      </c>
      <c r="S224" s="220"/>
      <c r="U224" s="6"/>
      <c r="V224" s="6"/>
      <c r="W224" s="7"/>
      <c r="Y224" s="1"/>
    </row>
    <row r="225" spans="1:26" ht="21" customHeight="1" x14ac:dyDescent="0.25">
      <c r="B225" s="26" t="s">
        <v>237</v>
      </c>
      <c r="C225" s="25"/>
      <c r="D225" s="25"/>
      <c r="E225" s="25"/>
      <c r="F225" s="25"/>
      <c r="G225" s="25"/>
      <c r="H225" s="25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Y225" s="1"/>
    </row>
    <row r="226" spans="1:26" ht="13.5" customHeight="1" x14ac:dyDescent="0.25">
      <c r="B226" s="40" t="s">
        <v>24</v>
      </c>
      <c r="C226" s="25"/>
      <c r="D226" s="25"/>
      <c r="E226" s="25"/>
      <c r="F226" s="25"/>
      <c r="G226" s="25"/>
      <c r="H226" s="25"/>
      <c r="I226" s="28" t="s">
        <v>6</v>
      </c>
      <c r="J226" s="231">
        <f>$J$4</f>
        <v>2026</v>
      </c>
      <c r="K226" s="232"/>
      <c r="L226" s="28"/>
      <c r="M226" s="204" t="s">
        <v>15</v>
      </c>
      <c r="N226" s="204"/>
      <c r="O226" s="204"/>
      <c r="P226" s="239">
        <f>$P$4</f>
        <v>2</v>
      </c>
      <c r="Q226" s="240"/>
      <c r="R226" s="86"/>
      <c r="S226" s="233" t="s">
        <v>16</v>
      </c>
      <c r="T226" s="233"/>
      <c r="U226" s="239">
        <f>$U$4</f>
        <v>10</v>
      </c>
      <c r="V226" s="240"/>
      <c r="X226" s="1"/>
    </row>
    <row r="227" spans="1:26" ht="9.75" customHeight="1" x14ac:dyDescent="0.25"/>
    <row r="228" spans="1:26" ht="11.25" customHeight="1" x14ac:dyDescent="0.25">
      <c r="B228" s="24" t="s">
        <v>49</v>
      </c>
    </row>
    <row r="229" spans="1:26" ht="11.25" customHeight="1" x14ac:dyDescent="0.25">
      <c r="B229" s="8" t="s">
        <v>50</v>
      </c>
    </row>
    <row r="230" spans="1:26" x14ac:dyDescent="0.25">
      <c r="B230" s="8"/>
    </row>
    <row r="231" spans="1:26" ht="15.75" customHeight="1" x14ac:dyDescent="0.25">
      <c r="B231" s="234" t="s">
        <v>51</v>
      </c>
      <c r="C231" s="234"/>
      <c r="D231" s="234"/>
      <c r="E231" s="234"/>
      <c r="F231" s="18" t="s">
        <v>6</v>
      </c>
      <c r="G231" s="120">
        <f>$G$9</f>
        <v>2026</v>
      </c>
      <c r="H231" s="9" t="s">
        <v>15</v>
      </c>
      <c r="I231" s="121">
        <f>$I$9</f>
        <v>2</v>
      </c>
      <c r="J231" s="235" t="s">
        <v>16</v>
      </c>
      <c r="K231" s="236"/>
      <c r="L231" s="237">
        <f>$L$9</f>
        <v>8</v>
      </c>
      <c r="M231" s="238"/>
      <c r="N231" s="84"/>
      <c r="O231" s="85"/>
      <c r="P231" s="43"/>
      <c r="Q231" s="43"/>
      <c r="Y231" s="32"/>
    </row>
    <row r="232" spans="1:26" ht="17.25" customHeight="1" x14ac:dyDescent="0.25">
      <c r="C232" s="8"/>
      <c r="Z232" s="32"/>
    </row>
    <row r="233" spans="1:26" ht="18.75" customHeight="1" x14ac:dyDescent="0.25">
      <c r="B233" s="255" t="s">
        <v>52</v>
      </c>
      <c r="C233" s="257" t="s">
        <v>53</v>
      </c>
      <c r="D233" s="258"/>
      <c r="E233" s="258"/>
      <c r="F233" s="221" t="s">
        <v>54</v>
      </c>
      <c r="G233" s="223"/>
      <c r="H233" s="223"/>
      <c r="I233" s="259" t="s">
        <v>55</v>
      </c>
      <c r="J233" s="221"/>
      <c r="K233" s="221" t="s">
        <v>56</v>
      </c>
      <c r="L233" s="221"/>
      <c r="M233" s="221"/>
      <c r="N233" s="221"/>
      <c r="O233" s="222" t="s">
        <v>231</v>
      </c>
      <c r="P233" s="222"/>
      <c r="Q233" s="222"/>
      <c r="R233" s="223"/>
      <c r="S233" s="221" t="s">
        <v>57</v>
      </c>
      <c r="T233" s="223"/>
      <c r="U233" s="223"/>
      <c r="V233" s="221" t="s">
        <v>58</v>
      </c>
      <c r="W233" s="223"/>
    </row>
    <row r="234" spans="1:26" ht="26.25" customHeight="1" x14ac:dyDescent="0.25">
      <c r="B234" s="256"/>
      <c r="C234" s="253" t="s">
        <v>59</v>
      </c>
      <c r="D234" s="254"/>
      <c r="E234" s="254"/>
      <c r="F234" s="254"/>
      <c r="G234" s="254"/>
      <c r="H234" s="254"/>
      <c r="I234" s="221"/>
      <c r="J234" s="221"/>
      <c r="K234" s="221"/>
      <c r="L234" s="221"/>
      <c r="M234" s="221"/>
      <c r="N234" s="221"/>
      <c r="O234" s="223"/>
      <c r="P234" s="223"/>
      <c r="Q234" s="223"/>
      <c r="R234" s="223"/>
      <c r="S234" s="223"/>
      <c r="T234" s="223"/>
      <c r="U234" s="223"/>
      <c r="V234" s="223"/>
      <c r="W234" s="223"/>
      <c r="Y234" s="122" t="s">
        <v>242</v>
      </c>
    </row>
    <row r="235" spans="1:26" ht="7.5" customHeight="1" x14ac:dyDescent="0.25">
      <c r="A235" s="260"/>
      <c r="B235" s="241">
        <f>B197+1</f>
        <v>31</v>
      </c>
      <c r="C235" s="244" t="str">
        <f>IF(AND('Data Dan'!$I$36="1 Dan",'Data Dan'!$N$36="LULUS"),VLOOKUP(B235,'Data Dan'!$A$6:$I$475,3,0),"")</f>
        <v>XX.X.XX.XX.XX.031</v>
      </c>
      <c r="D235" s="245"/>
      <c r="E235" s="245"/>
      <c r="F235" s="248"/>
      <c r="G235" s="249"/>
      <c r="H235" s="250" t="str">
        <f>_xlfn.IFNA(INDEX('Data Dan'!$I$6:$I$495,MATCH(C235,'Data Dan'!$C$6:$C$495,0)),"")</f>
        <v>1 DAN</v>
      </c>
      <c r="I235" s="224" t="str">
        <f>IF(AND(S235&lt;&gt;"",V235&lt;&gt;""),IF(V235&gt;=90,"Excellent",IF(V235&gt;=80,"Very Good",IF(V235&gt;=70,"Good",IF(V235&gt;=60,"Fair","Poor")))),"")</f>
        <v/>
      </c>
      <c r="J235" s="224"/>
      <c r="K235" s="44"/>
      <c r="L235" s="45"/>
      <c r="M235" s="45"/>
      <c r="N235" s="46"/>
      <c r="O235" s="44"/>
      <c r="P235" s="45"/>
      <c r="Q235" s="45"/>
      <c r="R235" s="46"/>
      <c r="S235" s="224"/>
      <c r="T235" s="224"/>
      <c r="U235" s="224"/>
      <c r="V235" s="252"/>
      <c r="W235" s="252"/>
      <c r="Y235" s="214" t="str">
        <f>_xlfn.IFNA(VLOOKUP(C235,'Data Dan'!$C$6:$N$995,12,0),"No Data")</f>
        <v>LULUS</v>
      </c>
    </row>
    <row r="236" spans="1:26" ht="12" customHeight="1" x14ac:dyDescent="0.25">
      <c r="A236" s="261"/>
      <c r="B236" s="242"/>
      <c r="C236" s="246"/>
      <c r="D236" s="247"/>
      <c r="E236" s="247"/>
      <c r="F236" s="248"/>
      <c r="G236" s="249"/>
      <c r="H236" s="251"/>
      <c r="I236" s="224"/>
      <c r="J236" s="224"/>
      <c r="K236" s="47"/>
      <c r="L236" s="224" t="str">
        <f>IF(C235&lt;&gt;"","V","")</f>
        <v>V</v>
      </c>
      <c r="M236" s="224"/>
      <c r="N236" s="47"/>
      <c r="O236" s="47"/>
      <c r="P236" s="224" t="str">
        <f>IF(C235&lt;&gt;"","V","")</f>
        <v>V</v>
      </c>
      <c r="Q236" s="224"/>
      <c r="R236" s="47"/>
      <c r="S236" s="224"/>
      <c r="T236" s="224"/>
      <c r="U236" s="224"/>
      <c r="V236" s="252"/>
      <c r="W236" s="252"/>
      <c r="Y236" s="214"/>
    </row>
    <row r="237" spans="1:26" ht="9" customHeight="1" x14ac:dyDescent="0.25">
      <c r="A237" s="261"/>
      <c r="B237" s="242"/>
      <c r="C237" s="225" t="str">
        <f>_xlfn.IFNA(INDEX('Data Dan'!$B$6:$B$501,MATCH(C235,'Data Dan'!$C$6:$C$501,0)),"")</f>
        <v>Kenshi 31</v>
      </c>
      <c r="D237" s="226"/>
      <c r="E237" s="226"/>
      <c r="F237" s="226"/>
      <c r="G237" s="226"/>
      <c r="H237" s="227"/>
      <c r="I237" s="224"/>
      <c r="J237" s="224"/>
      <c r="K237" s="47"/>
      <c r="L237" s="224"/>
      <c r="M237" s="224"/>
      <c r="N237" s="47"/>
      <c r="O237" s="47"/>
      <c r="P237" s="224"/>
      <c r="Q237" s="224"/>
      <c r="R237" s="47"/>
      <c r="S237" s="224"/>
      <c r="T237" s="224"/>
      <c r="U237" s="224"/>
      <c r="V237" s="252"/>
      <c r="W237" s="252"/>
      <c r="Y237" s="214"/>
    </row>
    <row r="238" spans="1:26" ht="9" customHeight="1" x14ac:dyDescent="0.25">
      <c r="A238" s="261"/>
      <c r="B238" s="243"/>
      <c r="C238" s="228"/>
      <c r="D238" s="229"/>
      <c r="E238" s="229"/>
      <c r="F238" s="229"/>
      <c r="G238" s="229"/>
      <c r="H238" s="230"/>
      <c r="I238" s="224"/>
      <c r="J238" s="224"/>
      <c r="K238" s="48"/>
      <c r="L238" s="49"/>
      <c r="M238" s="49"/>
      <c r="N238" s="50"/>
      <c r="O238" s="48"/>
      <c r="P238" s="49"/>
      <c r="Q238" s="49"/>
      <c r="R238" s="50"/>
      <c r="S238" s="224"/>
      <c r="T238" s="224"/>
      <c r="U238" s="224"/>
      <c r="V238" s="252"/>
      <c r="W238" s="252"/>
      <c r="Y238" s="214"/>
    </row>
    <row r="239" spans="1:26" ht="7.5" customHeight="1" x14ac:dyDescent="0.25">
      <c r="B239" s="241">
        <f t="shared" ref="B239:B271" si="36">B235+1</f>
        <v>32</v>
      </c>
      <c r="C239" s="244" t="str">
        <f>IF(AND('Data Dan'!$I$37="1 Dan",'Data Dan'!$N$37="LULUS"),VLOOKUP(B239,'Data Dan'!$A$6:$I$475,3,0),"")</f>
        <v>XX.X.XX.XX.XX.032</v>
      </c>
      <c r="D239" s="245"/>
      <c r="E239" s="245"/>
      <c r="F239" s="248"/>
      <c r="G239" s="249"/>
      <c r="H239" s="250" t="str">
        <f>_xlfn.IFNA(INDEX('Data Dan'!$I$6:$I$495,MATCH(C239,'Data Dan'!$C$6:$C$495,0)),"")</f>
        <v>1 DAN</v>
      </c>
      <c r="I239" s="224" t="str">
        <f>IF(AND(S239&lt;&gt;"",V239&lt;&gt;""),IF(V239&gt;=90,"Excellent",IF(V239&gt;=80,"Very Good",IF(V239&gt;=70,"Good",IF(V239&gt;=60,"Fair","Poor")))),"")</f>
        <v/>
      </c>
      <c r="J239" s="224"/>
      <c r="K239" s="44"/>
      <c r="L239" s="45"/>
      <c r="M239" s="45"/>
      <c r="N239" s="46"/>
      <c r="O239" s="44"/>
      <c r="P239" s="45"/>
      <c r="Q239" s="45"/>
      <c r="R239" s="46"/>
      <c r="S239" s="224"/>
      <c r="T239" s="224"/>
      <c r="U239" s="224"/>
      <c r="V239" s="252"/>
      <c r="W239" s="252"/>
      <c r="Y239" s="214" t="str">
        <f>_xlfn.IFNA(VLOOKUP(C239,'Data Dan'!$C$6:$N$995,12,0),"No Data")</f>
        <v>LULUS</v>
      </c>
    </row>
    <row r="240" spans="1:26" ht="12" customHeight="1" x14ac:dyDescent="0.25">
      <c r="B240" s="242"/>
      <c r="C240" s="246"/>
      <c r="D240" s="247"/>
      <c r="E240" s="247"/>
      <c r="F240" s="248"/>
      <c r="G240" s="249"/>
      <c r="H240" s="251"/>
      <c r="I240" s="224"/>
      <c r="J240" s="224"/>
      <c r="K240" s="47"/>
      <c r="L240" s="224" t="str">
        <f>IF(C239&lt;&gt;"","V","")</f>
        <v>V</v>
      </c>
      <c r="M240" s="224"/>
      <c r="N240" s="47"/>
      <c r="O240" s="47"/>
      <c r="P240" s="224" t="str">
        <f>IF(C239&lt;&gt;"","V","")</f>
        <v>V</v>
      </c>
      <c r="Q240" s="224"/>
      <c r="R240" s="47"/>
      <c r="S240" s="224"/>
      <c r="T240" s="224"/>
      <c r="U240" s="224"/>
      <c r="V240" s="252"/>
      <c r="W240" s="252"/>
      <c r="Y240" s="214"/>
    </row>
    <row r="241" spans="2:25" ht="9" customHeight="1" x14ac:dyDescent="0.25">
      <c r="B241" s="242"/>
      <c r="C241" s="225" t="str">
        <f>_xlfn.IFNA(INDEX('Data Dan'!$B$6:$B$501,MATCH(C239,'Data Dan'!$C$6:$C$501,0)),"")</f>
        <v>Kenshi 32</v>
      </c>
      <c r="D241" s="226"/>
      <c r="E241" s="226"/>
      <c r="F241" s="226"/>
      <c r="G241" s="226"/>
      <c r="H241" s="227"/>
      <c r="I241" s="224"/>
      <c r="J241" s="224"/>
      <c r="K241" s="47"/>
      <c r="L241" s="224"/>
      <c r="M241" s="224"/>
      <c r="N241" s="47"/>
      <c r="O241" s="47"/>
      <c r="P241" s="224"/>
      <c r="Q241" s="224"/>
      <c r="R241" s="47"/>
      <c r="S241" s="224"/>
      <c r="T241" s="224"/>
      <c r="U241" s="224"/>
      <c r="V241" s="252"/>
      <c r="W241" s="252"/>
      <c r="Y241" s="214"/>
    </row>
    <row r="242" spans="2:25" ht="9" customHeight="1" x14ac:dyDescent="0.25">
      <c r="B242" s="243"/>
      <c r="C242" s="228"/>
      <c r="D242" s="229"/>
      <c r="E242" s="229"/>
      <c r="F242" s="229"/>
      <c r="G242" s="229"/>
      <c r="H242" s="230"/>
      <c r="I242" s="224"/>
      <c r="J242" s="224"/>
      <c r="K242" s="48"/>
      <c r="L242" s="49"/>
      <c r="M242" s="49"/>
      <c r="N242" s="50"/>
      <c r="O242" s="48"/>
      <c r="P242" s="49"/>
      <c r="Q242" s="49"/>
      <c r="R242" s="50"/>
      <c r="S242" s="224"/>
      <c r="T242" s="224"/>
      <c r="U242" s="224"/>
      <c r="V242" s="252"/>
      <c r="W242" s="252"/>
      <c r="Y242" s="214"/>
    </row>
    <row r="243" spans="2:25" ht="7.5" customHeight="1" x14ac:dyDescent="0.25">
      <c r="B243" s="241">
        <f t="shared" si="36"/>
        <v>33</v>
      </c>
      <c r="C243" s="244" t="str">
        <f>IF(AND('Data Dan'!$I$38="1 Dan",'Data Dan'!$N$38="LULUS"),VLOOKUP(B243,'Data Dan'!$A$6:$I$475,3,0),"")</f>
        <v>XX.X.XX.XX.XX.033</v>
      </c>
      <c r="D243" s="245"/>
      <c r="E243" s="245"/>
      <c r="F243" s="248"/>
      <c r="G243" s="249"/>
      <c r="H243" s="250" t="str">
        <f>_xlfn.IFNA(INDEX('Data Dan'!$I$6:$I$495,MATCH(C243,'Data Dan'!$C$6:$C$495,0)),"")</f>
        <v>1 DAN</v>
      </c>
      <c r="I243" s="224" t="str">
        <f t="shared" ref="I243" si="37">IF(AND(S243&lt;&gt;"",V243&lt;&gt;""),IF(V243&gt;=90,"Excellent",IF(V243&gt;=80,"Very Good",IF(V243&gt;=70,"Good",IF(V243&gt;=60,"Fair","Poor")))),"")</f>
        <v/>
      </c>
      <c r="J243" s="224"/>
      <c r="K243" s="44"/>
      <c r="L243" s="45"/>
      <c r="M243" s="45"/>
      <c r="N243" s="46"/>
      <c r="O243" s="44"/>
      <c r="P243" s="45"/>
      <c r="Q243" s="45"/>
      <c r="R243" s="46"/>
      <c r="S243" s="224"/>
      <c r="T243" s="224"/>
      <c r="U243" s="224"/>
      <c r="V243" s="252"/>
      <c r="W243" s="252"/>
      <c r="Y243" s="214" t="str">
        <f>_xlfn.IFNA(VLOOKUP(C243,'Data Dan'!$C$6:$N$995,12,0),"No Data")</f>
        <v>LULUS</v>
      </c>
    </row>
    <row r="244" spans="2:25" ht="12" customHeight="1" x14ac:dyDescent="0.25">
      <c r="B244" s="242"/>
      <c r="C244" s="246"/>
      <c r="D244" s="247"/>
      <c r="E244" s="247"/>
      <c r="F244" s="248"/>
      <c r="G244" s="249"/>
      <c r="H244" s="251"/>
      <c r="I244" s="224"/>
      <c r="J244" s="224"/>
      <c r="K244" s="47"/>
      <c r="L244" s="224" t="str">
        <f>IF(C243&lt;&gt;"","V","")</f>
        <v>V</v>
      </c>
      <c r="M244" s="224"/>
      <c r="N244" s="47"/>
      <c r="O244" s="47"/>
      <c r="P244" s="224" t="str">
        <f>IF(C243&lt;&gt;"","V","")</f>
        <v>V</v>
      </c>
      <c r="Q244" s="224"/>
      <c r="R244" s="47"/>
      <c r="S244" s="224"/>
      <c r="T244" s="224"/>
      <c r="U244" s="224"/>
      <c r="V244" s="252"/>
      <c r="W244" s="252"/>
      <c r="Y244" s="214"/>
    </row>
    <row r="245" spans="2:25" ht="9" customHeight="1" x14ac:dyDescent="0.25">
      <c r="B245" s="242"/>
      <c r="C245" s="225" t="str">
        <f>_xlfn.IFNA(INDEX('Data Dan'!$B$6:$B$501,MATCH(C243,'Data Dan'!$C$6:$C$501,0)),"")</f>
        <v>Kenshi 33</v>
      </c>
      <c r="D245" s="226"/>
      <c r="E245" s="226"/>
      <c r="F245" s="226"/>
      <c r="G245" s="226"/>
      <c r="H245" s="227"/>
      <c r="I245" s="224"/>
      <c r="J245" s="224"/>
      <c r="K245" s="47"/>
      <c r="L245" s="224"/>
      <c r="M245" s="224"/>
      <c r="N245" s="47"/>
      <c r="O245" s="47"/>
      <c r="P245" s="224"/>
      <c r="Q245" s="224"/>
      <c r="R245" s="47"/>
      <c r="S245" s="224"/>
      <c r="T245" s="224"/>
      <c r="U245" s="224"/>
      <c r="V245" s="252"/>
      <c r="W245" s="252"/>
      <c r="Y245" s="214"/>
    </row>
    <row r="246" spans="2:25" ht="9" customHeight="1" x14ac:dyDescent="0.25">
      <c r="B246" s="243"/>
      <c r="C246" s="228"/>
      <c r="D246" s="229"/>
      <c r="E246" s="229"/>
      <c r="F246" s="229"/>
      <c r="G246" s="229"/>
      <c r="H246" s="230"/>
      <c r="I246" s="224"/>
      <c r="J246" s="224"/>
      <c r="K246" s="48"/>
      <c r="L246" s="49"/>
      <c r="M246" s="49"/>
      <c r="N246" s="50"/>
      <c r="O246" s="48"/>
      <c r="P246" s="49"/>
      <c r="Q246" s="49"/>
      <c r="R246" s="50"/>
      <c r="S246" s="224"/>
      <c r="T246" s="224"/>
      <c r="U246" s="224"/>
      <c r="V246" s="252"/>
      <c r="W246" s="252"/>
      <c r="Y246" s="214"/>
    </row>
    <row r="247" spans="2:25" ht="7.5" customHeight="1" x14ac:dyDescent="0.25">
      <c r="B247" s="241">
        <f t="shared" si="36"/>
        <v>34</v>
      </c>
      <c r="C247" s="244" t="str">
        <f>IF(AND('Data Dan'!$I$39="1 Dan",'Data Dan'!$N$39="LULUS"),VLOOKUP(B247,'Data Dan'!$A$6:$I$475,3,0),"")</f>
        <v/>
      </c>
      <c r="D247" s="245"/>
      <c r="E247" s="245"/>
      <c r="F247" s="248"/>
      <c r="G247" s="249"/>
      <c r="H247" s="250" t="str">
        <f>_xlfn.IFNA(INDEX('Data Dan'!$I$6:$I$495,MATCH(C247,'Data Dan'!$C$6:$C$495,0)),"")</f>
        <v/>
      </c>
      <c r="I247" s="224" t="str">
        <f t="shared" ref="I247" si="38">IF(AND(S247&lt;&gt;"",V247&lt;&gt;""),IF(V247&gt;=90,"Excellent",IF(V247&gt;=80,"Very Good",IF(V247&gt;=70,"Good",IF(V247&gt;=60,"Fair","Poor")))),"")</f>
        <v/>
      </c>
      <c r="J247" s="224"/>
      <c r="K247" s="44"/>
      <c r="L247" s="45"/>
      <c r="M247" s="45"/>
      <c r="N247" s="46"/>
      <c r="O247" s="44"/>
      <c r="P247" s="45"/>
      <c r="Q247" s="45"/>
      <c r="R247" s="46"/>
      <c r="S247" s="224"/>
      <c r="T247" s="224"/>
      <c r="U247" s="224"/>
      <c r="V247" s="252"/>
      <c r="W247" s="252"/>
      <c r="Y247" s="214" t="str">
        <f>_xlfn.IFNA(VLOOKUP(C247,'Data Dan'!$C$6:$N$995,12,0),"No Data")</f>
        <v>No Data</v>
      </c>
    </row>
    <row r="248" spans="2:25" ht="12" customHeight="1" x14ac:dyDescent="0.25">
      <c r="B248" s="242"/>
      <c r="C248" s="246"/>
      <c r="D248" s="247"/>
      <c r="E248" s="247"/>
      <c r="F248" s="248"/>
      <c r="G248" s="249"/>
      <c r="H248" s="251"/>
      <c r="I248" s="224"/>
      <c r="J248" s="224"/>
      <c r="K248" s="47"/>
      <c r="L248" s="224" t="str">
        <f>IF(C247&lt;&gt;"","V","")</f>
        <v/>
      </c>
      <c r="M248" s="224"/>
      <c r="N248" s="47"/>
      <c r="O248" s="47"/>
      <c r="P248" s="224" t="str">
        <f>IF(C247&lt;&gt;"","V","")</f>
        <v/>
      </c>
      <c r="Q248" s="224"/>
      <c r="R248" s="47"/>
      <c r="S248" s="224"/>
      <c r="T248" s="224"/>
      <c r="U248" s="224"/>
      <c r="V248" s="252"/>
      <c r="W248" s="252"/>
      <c r="Y248" s="214"/>
    </row>
    <row r="249" spans="2:25" ht="9" customHeight="1" x14ac:dyDescent="0.25">
      <c r="B249" s="242"/>
      <c r="C249" s="225" t="str">
        <f>_xlfn.IFNA(INDEX('Data Dan'!$B$6:$B$501,MATCH(C247,'Data Dan'!$C$6:$C$501,0)),"")</f>
        <v/>
      </c>
      <c r="D249" s="226"/>
      <c r="E249" s="226"/>
      <c r="F249" s="226"/>
      <c r="G249" s="226"/>
      <c r="H249" s="227"/>
      <c r="I249" s="224"/>
      <c r="J249" s="224"/>
      <c r="K249" s="47"/>
      <c r="L249" s="224"/>
      <c r="M249" s="224"/>
      <c r="N249" s="47"/>
      <c r="O249" s="47"/>
      <c r="P249" s="224"/>
      <c r="Q249" s="224"/>
      <c r="R249" s="47"/>
      <c r="S249" s="224"/>
      <c r="T249" s="224"/>
      <c r="U249" s="224"/>
      <c r="V249" s="252"/>
      <c r="W249" s="252"/>
      <c r="Y249" s="214"/>
    </row>
    <row r="250" spans="2:25" ht="9" customHeight="1" x14ac:dyDescent="0.25">
      <c r="B250" s="243"/>
      <c r="C250" s="228"/>
      <c r="D250" s="229"/>
      <c r="E250" s="229"/>
      <c r="F250" s="229"/>
      <c r="G250" s="229"/>
      <c r="H250" s="230"/>
      <c r="I250" s="224"/>
      <c r="J250" s="224"/>
      <c r="K250" s="48"/>
      <c r="L250" s="49"/>
      <c r="M250" s="49"/>
      <c r="N250" s="50"/>
      <c r="O250" s="48"/>
      <c r="P250" s="49"/>
      <c r="Q250" s="49"/>
      <c r="R250" s="50"/>
      <c r="S250" s="224"/>
      <c r="T250" s="224"/>
      <c r="U250" s="224"/>
      <c r="V250" s="252"/>
      <c r="W250" s="252"/>
      <c r="Y250" s="214"/>
    </row>
    <row r="251" spans="2:25" ht="7.5" customHeight="1" x14ac:dyDescent="0.25">
      <c r="B251" s="241">
        <f t="shared" si="36"/>
        <v>35</v>
      </c>
      <c r="C251" s="244" t="str">
        <f>IF(AND('Data Dan'!$I$40="1 Dan",'Data Dan'!$N$40="LULUS"),VLOOKUP(B251,'Data Dan'!$A$6:$I$475,3,0),"")</f>
        <v/>
      </c>
      <c r="D251" s="245"/>
      <c r="E251" s="245"/>
      <c r="F251" s="248"/>
      <c r="G251" s="249"/>
      <c r="H251" s="250" t="str">
        <f>_xlfn.IFNA(INDEX('Data Dan'!$I$6:$I$495,MATCH(C251,'Data Dan'!$C$6:$C$495,0)),"")</f>
        <v/>
      </c>
      <c r="I251" s="224" t="str">
        <f t="shared" ref="I251" si="39">IF(AND(S251&lt;&gt;"",V251&lt;&gt;""),IF(V251&gt;=90,"Excellent",IF(V251&gt;=80,"Very Good",IF(V251&gt;=70,"Good",IF(V251&gt;=60,"Fair","Poor")))),"")</f>
        <v/>
      </c>
      <c r="J251" s="224"/>
      <c r="K251" s="44"/>
      <c r="L251" s="45"/>
      <c r="M251" s="45"/>
      <c r="N251" s="46"/>
      <c r="O251" s="44"/>
      <c r="P251" s="45"/>
      <c r="Q251" s="45"/>
      <c r="R251" s="46"/>
      <c r="S251" s="224"/>
      <c r="T251" s="224"/>
      <c r="U251" s="224"/>
      <c r="V251" s="252"/>
      <c r="W251" s="252"/>
      <c r="Y251" s="214" t="str">
        <f>_xlfn.IFNA(VLOOKUP(C251,'Data Dan'!$C$6:$N$995,12,0),"No Data")</f>
        <v>No Data</v>
      </c>
    </row>
    <row r="252" spans="2:25" ht="12" customHeight="1" x14ac:dyDescent="0.25">
      <c r="B252" s="242"/>
      <c r="C252" s="246"/>
      <c r="D252" s="247"/>
      <c r="E252" s="247"/>
      <c r="F252" s="248"/>
      <c r="G252" s="249"/>
      <c r="H252" s="251"/>
      <c r="I252" s="224"/>
      <c r="J252" s="224"/>
      <c r="K252" s="47"/>
      <c r="L252" s="224" t="str">
        <f>IF(C251&lt;&gt;"","V","")</f>
        <v/>
      </c>
      <c r="M252" s="224"/>
      <c r="N252" s="47"/>
      <c r="O252" s="47"/>
      <c r="P252" s="224" t="str">
        <f>IF(C251&lt;&gt;"","V","")</f>
        <v/>
      </c>
      <c r="Q252" s="224"/>
      <c r="R252" s="47"/>
      <c r="S252" s="224"/>
      <c r="T252" s="224"/>
      <c r="U252" s="224"/>
      <c r="V252" s="252"/>
      <c r="W252" s="252"/>
      <c r="Y252" s="214"/>
    </row>
    <row r="253" spans="2:25" ht="9" customHeight="1" x14ac:dyDescent="0.25">
      <c r="B253" s="242"/>
      <c r="C253" s="225" t="str">
        <f>_xlfn.IFNA(INDEX('Data Dan'!$B$6:$B$501,MATCH(C251,'Data Dan'!$C$6:$C$501,0)),"")</f>
        <v/>
      </c>
      <c r="D253" s="226"/>
      <c r="E253" s="226"/>
      <c r="F253" s="226"/>
      <c r="G253" s="226"/>
      <c r="H253" s="227"/>
      <c r="I253" s="224"/>
      <c r="J253" s="224"/>
      <c r="K253" s="47"/>
      <c r="L253" s="224"/>
      <c r="M253" s="224"/>
      <c r="N253" s="47"/>
      <c r="O253" s="47"/>
      <c r="P253" s="224"/>
      <c r="Q253" s="224"/>
      <c r="R253" s="47"/>
      <c r="S253" s="224"/>
      <c r="T253" s="224"/>
      <c r="U253" s="224"/>
      <c r="V253" s="252"/>
      <c r="W253" s="252"/>
      <c r="Y253" s="214"/>
    </row>
    <row r="254" spans="2:25" ht="9" customHeight="1" x14ac:dyDescent="0.25">
      <c r="B254" s="243"/>
      <c r="C254" s="228"/>
      <c r="D254" s="229"/>
      <c r="E254" s="229"/>
      <c r="F254" s="229"/>
      <c r="G254" s="229"/>
      <c r="H254" s="230"/>
      <c r="I254" s="224"/>
      <c r="J254" s="224"/>
      <c r="K254" s="48"/>
      <c r="L254" s="49"/>
      <c r="M254" s="49"/>
      <c r="N254" s="50"/>
      <c r="O254" s="48"/>
      <c r="P254" s="49"/>
      <c r="Q254" s="49"/>
      <c r="R254" s="50"/>
      <c r="S254" s="224"/>
      <c r="T254" s="224"/>
      <c r="U254" s="224"/>
      <c r="V254" s="252"/>
      <c r="W254" s="252"/>
      <c r="Y254" s="214"/>
    </row>
    <row r="255" spans="2:25" ht="7.5" customHeight="1" x14ac:dyDescent="0.25">
      <c r="B255" s="241">
        <f t="shared" si="36"/>
        <v>36</v>
      </c>
      <c r="C255" s="244" t="str">
        <f>IF(AND('Data Dan'!$I$41="1 Dan",'Data Dan'!$N$41="LULUS"),VLOOKUP(B255,'Data Dan'!$A$6:$I$475,3,0),"")</f>
        <v/>
      </c>
      <c r="D255" s="245"/>
      <c r="E255" s="245"/>
      <c r="F255" s="248"/>
      <c r="G255" s="249"/>
      <c r="H255" s="250" t="str">
        <f>_xlfn.IFNA(INDEX('Data Dan'!$I$6:$I$495,MATCH(C255,'Data Dan'!$C$6:$C$495,0)),"")</f>
        <v/>
      </c>
      <c r="I255" s="224" t="str">
        <f t="shared" ref="I255" si="40">IF(AND(S255&lt;&gt;"",V255&lt;&gt;""),IF(V255&gt;=90,"Excellent",IF(V255&gt;=80,"Very Good",IF(V255&gt;=70,"Good",IF(V255&gt;=60,"Fair","Poor")))),"")</f>
        <v/>
      </c>
      <c r="J255" s="224"/>
      <c r="K255" s="44"/>
      <c r="L255" s="45"/>
      <c r="M255" s="45"/>
      <c r="N255" s="46"/>
      <c r="O255" s="44"/>
      <c r="P255" s="45"/>
      <c r="Q255" s="45"/>
      <c r="R255" s="46"/>
      <c r="S255" s="224"/>
      <c r="T255" s="224"/>
      <c r="U255" s="224"/>
      <c r="V255" s="252"/>
      <c r="W255" s="252"/>
      <c r="Y255" s="214" t="str">
        <f>_xlfn.IFNA(VLOOKUP(C255,'Data Dan'!$C$6:$N$995,12,0),"No Data")</f>
        <v>No Data</v>
      </c>
    </row>
    <row r="256" spans="2:25" ht="12" customHeight="1" x14ac:dyDescent="0.25">
      <c r="B256" s="242"/>
      <c r="C256" s="246"/>
      <c r="D256" s="247"/>
      <c r="E256" s="247"/>
      <c r="F256" s="248"/>
      <c r="G256" s="249"/>
      <c r="H256" s="251"/>
      <c r="I256" s="224"/>
      <c r="J256" s="224"/>
      <c r="K256" s="47"/>
      <c r="L256" s="224" t="str">
        <f>IF(C255&lt;&gt;"","V","")</f>
        <v/>
      </c>
      <c r="M256" s="224"/>
      <c r="N256" s="47"/>
      <c r="O256" s="47"/>
      <c r="P256" s="224" t="str">
        <f>IF(C255&lt;&gt;"","V","")</f>
        <v/>
      </c>
      <c r="Q256" s="224"/>
      <c r="R256" s="47"/>
      <c r="S256" s="224"/>
      <c r="T256" s="224"/>
      <c r="U256" s="224"/>
      <c r="V256" s="252"/>
      <c r="W256" s="252"/>
      <c r="Y256" s="214"/>
    </row>
    <row r="257" spans="2:25" ht="9" customHeight="1" x14ac:dyDescent="0.25">
      <c r="B257" s="242"/>
      <c r="C257" s="225" t="str">
        <f>_xlfn.IFNA(INDEX('Data Dan'!$B$6:$B$501,MATCH(C255,'Data Dan'!$C$6:$C$501,0)),"")</f>
        <v/>
      </c>
      <c r="D257" s="226"/>
      <c r="E257" s="226"/>
      <c r="F257" s="226"/>
      <c r="G257" s="226"/>
      <c r="H257" s="227"/>
      <c r="I257" s="224"/>
      <c r="J257" s="224"/>
      <c r="K257" s="47"/>
      <c r="L257" s="224"/>
      <c r="M257" s="224"/>
      <c r="N257" s="47"/>
      <c r="O257" s="47"/>
      <c r="P257" s="224"/>
      <c r="Q257" s="224"/>
      <c r="R257" s="47"/>
      <c r="S257" s="224"/>
      <c r="T257" s="224"/>
      <c r="U257" s="224"/>
      <c r="V257" s="252"/>
      <c r="W257" s="252"/>
      <c r="Y257" s="214"/>
    </row>
    <row r="258" spans="2:25" ht="9" customHeight="1" x14ac:dyDescent="0.25">
      <c r="B258" s="243"/>
      <c r="C258" s="228"/>
      <c r="D258" s="229"/>
      <c r="E258" s="229"/>
      <c r="F258" s="229"/>
      <c r="G258" s="229"/>
      <c r="H258" s="230"/>
      <c r="I258" s="224"/>
      <c r="J258" s="224"/>
      <c r="K258" s="48"/>
      <c r="L258" s="49"/>
      <c r="M258" s="49"/>
      <c r="N258" s="50"/>
      <c r="O258" s="48"/>
      <c r="P258" s="49"/>
      <c r="Q258" s="49"/>
      <c r="R258" s="50"/>
      <c r="S258" s="224"/>
      <c r="T258" s="224"/>
      <c r="U258" s="224"/>
      <c r="V258" s="252"/>
      <c r="W258" s="252"/>
      <c r="Y258" s="214"/>
    </row>
    <row r="259" spans="2:25" ht="7.5" customHeight="1" x14ac:dyDescent="0.25">
      <c r="B259" s="241">
        <f t="shared" si="36"/>
        <v>37</v>
      </c>
      <c r="C259" s="244" t="str">
        <f>IF(AND('Data Dan'!$I$42="1 Dan",'Data Dan'!$N$42="LULUS"),VLOOKUP(B259,'Data Dan'!$A$6:$I$475,3,0),"")</f>
        <v/>
      </c>
      <c r="D259" s="245"/>
      <c r="E259" s="245"/>
      <c r="F259" s="248"/>
      <c r="G259" s="249"/>
      <c r="H259" s="250" t="str">
        <f>_xlfn.IFNA(INDEX('Data Dan'!$I$6:$I$495,MATCH(C259,'Data Dan'!$C$6:$C$495,0)),"")</f>
        <v/>
      </c>
      <c r="I259" s="224" t="str">
        <f t="shared" ref="I259" si="41">IF(AND(S259&lt;&gt;"",V259&lt;&gt;""),IF(V259&gt;=90,"Excellent",IF(V259&gt;=80,"Very Good",IF(V259&gt;=70,"Good",IF(V259&gt;=60,"Fair","Poor")))),"")</f>
        <v/>
      </c>
      <c r="J259" s="224"/>
      <c r="K259" s="44"/>
      <c r="L259" s="45"/>
      <c r="M259" s="45"/>
      <c r="N259" s="46"/>
      <c r="O259" s="44"/>
      <c r="P259" s="45"/>
      <c r="Q259" s="45"/>
      <c r="R259" s="46"/>
      <c r="S259" s="224"/>
      <c r="T259" s="224"/>
      <c r="U259" s="224"/>
      <c r="V259" s="252"/>
      <c r="W259" s="252"/>
      <c r="Y259" s="214" t="str">
        <f>_xlfn.IFNA(VLOOKUP(C259,'Data Dan'!$C$6:$N$995,12,0),"No Data")</f>
        <v>No Data</v>
      </c>
    </row>
    <row r="260" spans="2:25" ht="12" customHeight="1" x14ac:dyDescent="0.25">
      <c r="B260" s="242"/>
      <c r="C260" s="246"/>
      <c r="D260" s="247"/>
      <c r="E260" s="247"/>
      <c r="F260" s="248"/>
      <c r="G260" s="249"/>
      <c r="H260" s="251"/>
      <c r="I260" s="224"/>
      <c r="J260" s="224"/>
      <c r="K260" s="47"/>
      <c r="L260" s="224" t="str">
        <f>IF(C259&lt;&gt;"","V","")</f>
        <v/>
      </c>
      <c r="M260" s="224"/>
      <c r="N260" s="47"/>
      <c r="O260" s="47"/>
      <c r="P260" s="224" t="str">
        <f>IF(C259&lt;&gt;"","V","")</f>
        <v/>
      </c>
      <c r="Q260" s="224"/>
      <c r="R260" s="47"/>
      <c r="S260" s="224"/>
      <c r="T260" s="224"/>
      <c r="U260" s="224"/>
      <c r="V260" s="252"/>
      <c r="W260" s="252"/>
      <c r="Y260" s="214"/>
    </row>
    <row r="261" spans="2:25" ht="9" customHeight="1" x14ac:dyDescent="0.25">
      <c r="B261" s="242"/>
      <c r="C261" s="225" t="str">
        <f>_xlfn.IFNA(INDEX('Data Dan'!$B$6:$B$501,MATCH(C259,'Data Dan'!$C$6:$C$501,0)),"")</f>
        <v/>
      </c>
      <c r="D261" s="226"/>
      <c r="E261" s="226"/>
      <c r="F261" s="226"/>
      <c r="G261" s="226"/>
      <c r="H261" s="227"/>
      <c r="I261" s="224"/>
      <c r="J261" s="224"/>
      <c r="K261" s="47"/>
      <c r="L261" s="224"/>
      <c r="M261" s="224"/>
      <c r="N261" s="47"/>
      <c r="O261" s="47"/>
      <c r="P261" s="224"/>
      <c r="Q261" s="224"/>
      <c r="R261" s="47"/>
      <c r="S261" s="224"/>
      <c r="T261" s="224"/>
      <c r="U261" s="224"/>
      <c r="V261" s="252"/>
      <c r="W261" s="252"/>
      <c r="Y261" s="214"/>
    </row>
    <row r="262" spans="2:25" ht="9" customHeight="1" x14ac:dyDescent="0.25">
      <c r="B262" s="243"/>
      <c r="C262" s="228"/>
      <c r="D262" s="229"/>
      <c r="E262" s="229"/>
      <c r="F262" s="229"/>
      <c r="G262" s="229"/>
      <c r="H262" s="230"/>
      <c r="I262" s="224"/>
      <c r="J262" s="224"/>
      <c r="K262" s="48"/>
      <c r="L262" s="49"/>
      <c r="M262" s="49"/>
      <c r="N262" s="50"/>
      <c r="O262" s="48"/>
      <c r="P262" s="49"/>
      <c r="Q262" s="49"/>
      <c r="R262" s="50"/>
      <c r="S262" s="224"/>
      <c r="T262" s="224"/>
      <c r="U262" s="224"/>
      <c r="V262" s="252"/>
      <c r="W262" s="252"/>
      <c r="Y262" s="214"/>
    </row>
    <row r="263" spans="2:25" ht="7.5" customHeight="1" x14ac:dyDescent="0.25">
      <c r="B263" s="241">
        <f t="shared" si="36"/>
        <v>38</v>
      </c>
      <c r="C263" s="244" t="str">
        <f>IF(AND('Data Dan'!$I$43="1 Dan",'Data Dan'!$N$43="LULUS"),VLOOKUP(B263,'Data Dan'!$A$6:$I$475,3,0),"")</f>
        <v/>
      </c>
      <c r="D263" s="245"/>
      <c r="E263" s="245"/>
      <c r="F263" s="248"/>
      <c r="G263" s="249"/>
      <c r="H263" s="250" t="str">
        <f>_xlfn.IFNA(INDEX('Data Dan'!$I$6:$I$495,MATCH(C263,'Data Dan'!$C$6:$C$495,0)),"")</f>
        <v/>
      </c>
      <c r="I263" s="224" t="str">
        <f t="shared" ref="I263" si="42">IF(AND(S263&lt;&gt;"",V263&lt;&gt;""),IF(V263&gt;=90,"Excellent",IF(V263&gt;=80,"Very Good",IF(V263&gt;=70,"Good",IF(V263&gt;=60,"Fair","Poor")))),"")</f>
        <v/>
      </c>
      <c r="J263" s="224"/>
      <c r="K263" s="44"/>
      <c r="L263" s="45"/>
      <c r="M263" s="45"/>
      <c r="N263" s="46"/>
      <c r="O263" s="44"/>
      <c r="P263" s="45"/>
      <c r="Q263" s="45"/>
      <c r="R263" s="46"/>
      <c r="S263" s="224"/>
      <c r="T263" s="224"/>
      <c r="U263" s="224"/>
      <c r="V263" s="252"/>
      <c r="W263" s="252"/>
      <c r="Y263" s="214" t="str">
        <f>_xlfn.IFNA(VLOOKUP(C263,'Data Dan'!$C$6:$N$995,12,0),"No Data")</f>
        <v>No Data</v>
      </c>
    </row>
    <row r="264" spans="2:25" ht="12" customHeight="1" x14ac:dyDescent="0.25">
      <c r="B264" s="242"/>
      <c r="C264" s="246"/>
      <c r="D264" s="247"/>
      <c r="E264" s="247"/>
      <c r="F264" s="248"/>
      <c r="G264" s="249"/>
      <c r="H264" s="251"/>
      <c r="I264" s="224"/>
      <c r="J264" s="224"/>
      <c r="K264" s="47"/>
      <c r="L264" s="224" t="str">
        <f>IF(C263&lt;&gt;"","V","")</f>
        <v/>
      </c>
      <c r="M264" s="224"/>
      <c r="N264" s="47"/>
      <c r="O264" s="47"/>
      <c r="P264" s="224" t="str">
        <f>IF(C263&lt;&gt;"","V","")</f>
        <v/>
      </c>
      <c r="Q264" s="224"/>
      <c r="R264" s="47"/>
      <c r="S264" s="224"/>
      <c r="T264" s="224"/>
      <c r="U264" s="224"/>
      <c r="V264" s="252"/>
      <c r="W264" s="252"/>
      <c r="Y264" s="214"/>
    </row>
    <row r="265" spans="2:25" ht="9" customHeight="1" x14ac:dyDescent="0.25">
      <c r="B265" s="242"/>
      <c r="C265" s="225" t="str">
        <f>_xlfn.IFNA(INDEX('Data Dan'!$B$6:$B$501,MATCH(C263,'Data Dan'!$C$6:$C$501,0)),"")</f>
        <v/>
      </c>
      <c r="D265" s="226"/>
      <c r="E265" s="226"/>
      <c r="F265" s="226"/>
      <c r="G265" s="226"/>
      <c r="H265" s="227"/>
      <c r="I265" s="224"/>
      <c r="J265" s="224"/>
      <c r="K265" s="47"/>
      <c r="L265" s="224"/>
      <c r="M265" s="224"/>
      <c r="N265" s="47"/>
      <c r="O265" s="47"/>
      <c r="P265" s="224"/>
      <c r="Q265" s="224"/>
      <c r="R265" s="47"/>
      <c r="S265" s="224"/>
      <c r="T265" s="224"/>
      <c r="U265" s="224"/>
      <c r="V265" s="252"/>
      <c r="W265" s="252"/>
      <c r="Y265" s="214"/>
    </row>
    <row r="266" spans="2:25" ht="9" customHeight="1" x14ac:dyDescent="0.25">
      <c r="B266" s="243"/>
      <c r="C266" s="228"/>
      <c r="D266" s="229"/>
      <c r="E266" s="229"/>
      <c r="F266" s="229"/>
      <c r="G266" s="229"/>
      <c r="H266" s="230"/>
      <c r="I266" s="224"/>
      <c r="J266" s="224"/>
      <c r="K266" s="48"/>
      <c r="L266" s="49"/>
      <c r="M266" s="49"/>
      <c r="N266" s="50"/>
      <c r="O266" s="48"/>
      <c r="P266" s="49"/>
      <c r="Q266" s="49"/>
      <c r="R266" s="50"/>
      <c r="S266" s="224"/>
      <c r="T266" s="224"/>
      <c r="U266" s="224"/>
      <c r="V266" s="252"/>
      <c r="W266" s="252"/>
      <c r="Y266" s="214"/>
    </row>
    <row r="267" spans="2:25" ht="7.5" customHeight="1" x14ac:dyDescent="0.25">
      <c r="B267" s="241">
        <f t="shared" si="36"/>
        <v>39</v>
      </c>
      <c r="C267" s="244" t="str">
        <f>IF(AND('Data Dan'!$I$44="1 Dan",'Data Dan'!$N$44="LULUS"),VLOOKUP(B267,'Data Dan'!$A$6:$I$475,3,0),"")</f>
        <v/>
      </c>
      <c r="D267" s="245"/>
      <c r="E267" s="245"/>
      <c r="F267" s="248"/>
      <c r="G267" s="249"/>
      <c r="H267" s="250" t="str">
        <f>_xlfn.IFNA(INDEX('Data Dan'!$I$6:$I$495,MATCH(C267,'Data Dan'!$C$6:$C$495,0)),"")</f>
        <v/>
      </c>
      <c r="I267" s="224" t="str">
        <f t="shared" ref="I267" si="43">IF(AND(S267&lt;&gt;"",V267&lt;&gt;""),IF(V267&gt;=90,"Excellent",IF(V267&gt;=80,"Very Good",IF(V267&gt;=70,"Good",IF(V267&gt;=60,"Fair","Poor")))),"")</f>
        <v/>
      </c>
      <c r="J267" s="224"/>
      <c r="K267" s="44"/>
      <c r="L267" s="45"/>
      <c r="M267" s="45"/>
      <c r="N267" s="46"/>
      <c r="O267" s="44"/>
      <c r="P267" s="45"/>
      <c r="Q267" s="45"/>
      <c r="R267" s="46"/>
      <c r="S267" s="224"/>
      <c r="T267" s="224"/>
      <c r="U267" s="224"/>
      <c r="V267" s="252"/>
      <c r="W267" s="252"/>
      <c r="Y267" s="214" t="str">
        <f>_xlfn.IFNA(VLOOKUP(C267,'Data Dan'!$C$6:$N$995,12,0),"No Data")</f>
        <v>No Data</v>
      </c>
    </row>
    <row r="268" spans="2:25" ht="12" customHeight="1" x14ac:dyDescent="0.25">
      <c r="B268" s="242"/>
      <c r="C268" s="246"/>
      <c r="D268" s="247"/>
      <c r="E268" s="247"/>
      <c r="F268" s="248"/>
      <c r="G268" s="249"/>
      <c r="H268" s="251"/>
      <c r="I268" s="224"/>
      <c r="J268" s="224"/>
      <c r="K268" s="47"/>
      <c r="L268" s="224" t="str">
        <f>IF(C267&lt;&gt;"","V","")</f>
        <v/>
      </c>
      <c r="M268" s="224"/>
      <c r="N268" s="47"/>
      <c r="O268" s="47"/>
      <c r="P268" s="224" t="str">
        <f>IF(C267&lt;&gt;"","V","")</f>
        <v/>
      </c>
      <c r="Q268" s="224"/>
      <c r="R268" s="47"/>
      <c r="S268" s="224"/>
      <c r="T268" s="224"/>
      <c r="U268" s="224"/>
      <c r="V268" s="252"/>
      <c r="W268" s="252"/>
      <c r="Y268" s="214"/>
    </row>
    <row r="269" spans="2:25" ht="9" customHeight="1" x14ac:dyDescent="0.25">
      <c r="B269" s="242"/>
      <c r="C269" s="225" t="str">
        <f>_xlfn.IFNA(INDEX('Data Dan'!$B$6:$B$501,MATCH(C267,'Data Dan'!$C$6:$C$501,0)),"")</f>
        <v/>
      </c>
      <c r="D269" s="226"/>
      <c r="E269" s="226"/>
      <c r="F269" s="226"/>
      <c r="G269" s="226"/>
      <c r="H269" s="227"/>
      <c r="I269" s="224"/>
      <c r="J269" s="224"/>
      <c r="K269" s="47"/>
      <c r="L269" s="224"/>
      <c r="M269" s="224"/>
      <c r="N269" s="47"/>
      <c r="O269" s="47"/>
      <c r="P269" s="224"/>
      <c r="Q269" s="224"/>
      <c r="R269" s="47"/>
      <c r="S269" s="224"/>
      <c r="T269" s="224"/>
      <c r="U269" s="224"/>
      <c r="V269" s="252"/>
      <c r="W269" s="252"/>
      <c r="Y269" s="214"/>
    </row>
    <row r="270" spans="2:25" ht="9" customHeight="1" x14ac:dyDescent="0.25">
      <c r="B270" s="243"/>
      <c r="C270" s="228"/>
      <c r="D270" s="229"/>
      <c r="E270" s="229"/>
      <c r="F270" s="229"/>
      <c r="G270" s="229"/>
      <c r="H270" s="230"/>
      <c r="I270" s="224"/>
      <c r="J270" s="224"/>
      <c r="K270" s="48"/>
      <c r="L270" s="49"/>
      <c r="M270" s="49"/>
      <c r="N270" s="50"/>
      <c r="O270" s="48"/>
      <c r="P270" s="49"/>
      <c r="Q270" s="49"/>
      <c r="R270" s="50"/>
      <c r="S270" s="224"/>
      <c r="T270" s="224"/>
      <c r="U270" s="224"/>
      <c r="V270" s="252"/>
      <c r="W270" s="252"/>
      <c r="Y270" s="214"/>
    </row>
    <row r="271" spans="2:25" ht="7.5" customHeight="1" x14ac:dyDescent="0.25">
      <c r="B271" s="241">
        <f t="shared" si="36"/>
        <v>40</v>
      </c>
      <c r="C271" s="244" t="e">
        <f>IF(AND('Data Dan'!#REF!="1 Dan",'Data Dan'!#REF!="LULUS"),VLOOKUP(B271,'Data Dan'!$A$6:$I$475,3,0),"")</f>
        <v>#REF!</v>
      </c>
      <c r="D271" s="245"/>
      <c r="E271" s="245"/>
      <c r="F271" s="248"/>
      <c r="G271" s="249"/>
      <c r="H271" s="250" t="e">
        <f>_xlfn.IFNA(INDEX('Data Dan'!$I$6:$I$495,MATCH(C271,'Data Dan'!$C$6:$C$495,0)),"")</f>
        <v>#REF!</v>
      </c>
      <c r="I271" s="224" t="str">
        <f t="shared" ref="I271" si="44">IF(AND(S271&lt;&gt;"",V271&lt;&gt;""),IF(V271&gt;=90,"Excellent",IF(V271&gt;=80,"Very Good",IF(V271&gt;=70,"Good",IF(V271&gt;=60,"Fair","Poor")))),"")</f>
        <v/>
      </c>
      <c r="J271" s="224"/>
      <c r="K271" s="44"/>
      <c r="L271" s="45"/>
      <c r="M271" s="45"/>
      <c r="N271" s="46"/>
      <c r="O271" s="44"/>
      <c r="P271" s="45"/>
      <c r="Q271" s="45"/>
      <c r="R271" s="46"/>
      <c r="S271" s="224"/>
      <c r="T271" s="224"/>
      <c r="U271" s="224"/>
      <c r="V271" s="252"/>
      <c r="W271" s="252"/>
      <c r="Y271" s="214" t="e">
        <f>_xlfn.IFNA(VLOOKUP(C271,'Data Dan'!$C$6:$N$995,12,0),"No Data")</f>
        <v>#REF!</v>
      </c>
    </row>
    <row r="272" spans="2:25" ht="12" customHeight="1" x14ac:dyDescent="0.25">
      <c r="B272" s="242"/>
      <c r="C272" s="246"/>
      <c r="D272" s="247"/>
      <c r="E272" s="247"/>
      <c r="F272" s="248"/>
      <c r="G272" s="249"/>
      <c r="H272" s="251"/>
      <c r="I272" s="224"/>
      <c r="J272" s="224"/>
      <c r="K272" s="47"/>
      <c r="L272" s="224" t="e">
        <f>IF(C271&lt;&gt;"","V","")</f>
        <v>#REF!</v>
      </c>
      <c r="M272" s="224"/>
      <c r="N272" s="47"/>
      <c r="O272" s="47"/>
      <c r="P272" s="224" t="e">
        <f>IF(C271&lt;&gt;"","V","")</f>
        <v>#REF!</v>
      </c>
      <c r="Q272" s="224"/>
      <c r="R272" s="47"/>
      <c r="S272" s="224"/>
      <c r="T272" s="224"/>
      <c r="U272" s="224"/>
      <c r="V272" s="252"/>
      <c r="W272" s="252"/>
      <c r="Y272" s="214"/>
    </row>
    <row r="273" spans="2:25" ht="9" customHeight="1" x14ac:dyDescent="0.25">
      <c r="B273" s="242"/>
      <c r="C273" s="225" t="e">
        <f>_xlfn.IFNA(INDEX('Data Dan'!$B$6:$B$501,MATCH(C271,'Data Dan'!$C$6:$C$501,0)),"")</f>
        <v>#REF!</v>
      </c>
      <c r="D273" s="226"/>
      <c r="E273" s="226"/>
      <c r="F273" s="226"/>
      <c r="G273" s="226"/>
      <c r="H273" s="227"/>
      <c r="I273" s="224"/>
      <c r="J273" s="224"/>
      <c r="K273" s="47"/>
      <c r="L273" s="224"/>
      <c r="M273" s="224"/>
      <c r="N273" s="47"/>
      <c r="O273" s="47"/>
      <c r="P273" s="224"/>
      <c r="Q273" s="224"/>
      <c r="R273" s="47"/>
      <c r="S273" s="224"/>
      <c r="T273" s="224"/>
      <c r="U273" s="224"/>
      <c r="V273" s="252"/>
      <c r="W273" s="252"/>
      <c r="Y273" s="214"/>
    </row>
    <row r="274" spans="2:25" ht="9" customHeight="1" x14ac:dyDescent="0.25">
      <c r="B274" s="243"/>
      <c r="C274" s="228"/>
      <c r="D274" s="229"/>
      <c r="E274" s="229"/>
      <c r="F274" s="229"/>
      <c r="G274" s="229"/>
      <c r="H274" s="230"/>
      <c r="I274" s="224"/>
      <c r="J274" s="224"/>
      <c r="K274" s="48"/>
      <c r="L274" s="49"/>
      <c r="M274" s="49"/>
      <c r="N274" s="50"/>
      <c r="O274" s="48"/>
      <c r="P274" s="49"/>
      <c r="Q274" s="49"/>
      <c r="R274" s="50"/>
      <c r="S274" s="224"/>
      <c r="T274" s="224"/>
      <c r="U274" s="224"/>
      <c r="V274" s="252"/>
      <c r="W274" s="252"/>
      <c r="Y274" s="214"/>
    </row>
    <row r="275" spans="2:25" ht="7.5" customHeight="1" x14ac:dyDescent="0.25"/>
    <row r="276" spans="2:25" s="34" customFormat="1" x14ac:dyDescent="0.25">
      <c r="C276" s="35" t="s">
        <v>60</v>
      </c>
      <c r="I276" s="262" t="s">
        <v>28</v>
      </c>
      <c r="J276" s="262"/>
    </row>
    <row r="277" spans="2:25" x14ac:dyDescent="0.25">
      <c r="C277" s="33" t="s">
        <v>31</v>
      </c>
      <c r="D277" s="149"/>
      <c r="E277" s="149"/>
      <c r="F277" s="149"/>
      <c r="G277" s="149"/>
      <c r="H277" s="149"/>
      <c r="I277" s="263" t="s">
        <v>29</v>
      </c>
      <c r="J277" s="263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</row>
    <row r="278" spans="2:25" ht="6.75" customHeight="1" x14ac:dyDescent="0.25">
      <c r="D278" s="34"/>
      <c r="E278" s="34"/>
      <c r="F278" s="34"/>
      <c r="G278" s="34"/>
      <c r="H278" s="34"/>
    </row>
    <row r="279" spans="2:25" s="34" customFormat="1" x14ac:dyDescent="0.25">
      <c r="C279" s="35" t="s">
        <v>61</v>
      </c>
      <c r="I279" s="262" t="s">
        <v>36</v>
      </c>
      <c r="J279" s="262"/>
    </row>
    <row r="280" spans="2:25" x14ac:dyDescent="0.25">
      <c r="C280" s="33" t="s">
        <v>33</v>
      </c>
      <c r="D280" s="149"/>
      <c r="E280" s="149"/>
      <c r="F280" s="149"/>
      <c r="G280" s="149"/>
      <c r="H280" s="149"/>
      <c r="I280" s="263" t="s">
        <v>29</v>
      </c>
      <c r="J280" s="263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</row>
    <row r="281" spans="2:25" ht="6.75" customHeight="1" x14ac:dyDescent="0.25">
      <c r="D281" s="34"/>
      <c r="E281" s="34"/>
      <c r="F281" s="34"/>
      <c r="G281" s="34"/>
      <c r="H281" s="34"/>
    </row>
    <row r="282" spans="2:25" s="34" customFormat="1" ht="13.8" x14ac:dyDescent="0.25">
      <c r="C282" s="35" t="s">
        <v>62</v>
      </c>
      <c r="D282" s="177" t="s">
        <v>195</v>
      </c>
      <c r="E282" s="177"/>
      <c r="F282" s="177"/>
      <c r="G282" s="177"/>
      <c r="H282" s="177"/>
      <c r="I282" s="262" t="s">
        <v>28</v>
      </c>
      <c r="J282" s="262"/>
      <c r="Y282" s="70" t="s">
        <v>106</v>
      </c>
    </row>
    <row r="283" spans="2:25" ht="13.8" x14ac:dyDescent="0.25">
      <c r="C283" s="33" t="s">
        <v>35</v>
      </c>
      <c r="D283" s="178"/>
      <c r="E283" s="178"/>
      <c r="F283" s="178"/>
      <c r="G283" s="178"/>
      <c r="H283" s="178"/>
      <c r="I283" s="263" t="s">
        <v>29</v>
      </c>
      <c r="J283" s="263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Y283" s="70" t="s">
        <v>105</v>
      </c>
    </row>
    <row r="284" spans="2:25" ht="12.75" customHeight="1" thickBot="1" x14ac:dyDescent="0.3"/>
    <row r="285" spans="2:25" ht="13.8" thickTop="1" x14ac:dyDescent="0.25">
      <c r="B285" s="34" t="s">
        <v>37</v>
      </c>
      <c r="F285" s="150" t="s">
        <v>40</v>
      </c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</row>
    <row r="286" spans="2:25" x14ac:dyDescent="0.25">
      <c r="B286" s="34" t="s">
        <v>38</v>
      </c>
      <c r="F286" s="152"/>
      <c r="G286" s="153"/>
      <c r="H286" s="153"/>
      <c r="I286" s="153"/>
      <c r="J286" s="153"/>
      <c r="K286" s="153"/>
      <c r="L286" s="153"/>
      <c r="M286" s="153"/>
      <c r="N286" s="153"/>
      <c r="O286" s="153"/>
      <c r="P286" s="153"/>
      <c r="Q286" s="153"/>
      <c r="R286" s="153"/>
      <c r="S286" s="153"/>
      <c r="T286" s="153"/>
      <c r="U286" s="153"/>
      <c r="V286" s="153"/>
      <c r="W286" s="153"/>
    </row>
    <row r="287" spans="2:25" ht="11.25" customHeight="1" x14ac:dyDescent="0.25">
      <c r="B287" s="163" t="s">
        <v>39</v>
      </c>
      <c r="C287" s="163"/>
      <c r="D287" s="163"/>
      <c r="F287" s="37" t="s">
        <v>41</v>
      </c>
    </row>
    <row r="288" spans="2:25" ht="15" customHeight="1" x14ac:dyDescent="0.25">
      <c r="B288" s="163"/>
      <c r="C288" s="163"/>
      <c r="D288" s="163"/>
      <c r="F288" s="38" t="s">
        <v>42</v>
      </c>
    </row>
    <row r="289" spans="2:25" ht="11.25" customHeight="1" x14ac:dyDescent="0.25">
      <c r="B289" s="163"/>
      <c r="C289" s="163"/>
      <c r="D289" s="163"/>
      <c r="F289" s="36"/>
    </row>
    <row r="290" spans="2:25" x14ac:dyDescent="0.25">
      <c r="B290" s="163"/>
      <c r="C290" s="163"/>
      <c r="D290" s="163"/>
      <c r="F290" s="36"/>
    </row>
    <row r="291" spans="2:25" x14ac:dyDescent="0.25">
      <c r="F291" s="36"/>
    </row>
    <row r="292" spans="2:25" x14ac:dyDescent="0.25">
      <c r="F292" s="36"/>
    </row>
    <row r="293" spans="2:25" x14ac:dyDescent="0.25">
      <c r="F293" s="36"/>
    </row>
    <row r="294" spans="2:25" x14ac:dyDescent="0.25">
      <c r="F294" s="36"/>
    </row>
    <row r="295" spans="2:25" ht="13.8" x14ac:dyDescent="0.25">
      <c r="F295" s="157" t="s">
        <v>201</v>
      </c>
      <c r="G295" s="158"/>
      <c r="H295" s="158"/>
      <c r="I295" s="158"/>
      <c r="J295" s="158"/>
      <c r="K295" s="158"/>
      <c r="L295" s="158"/>
      <c r="M295" s="158"/>
      <c r="N295" s="158"/>
      <c r="O295" s="158"/>
      <c r="P295" s="158"/>
      <c r="Q295" s="158"/>
      <c r="R295" s="158"/>
      <c r="S295" s="158"/>
      <c r="T295" s="158"/>
      <c r="U295" s="158"/>
      <c r="V295" s="158"/>
      <c r="W295" s="158"/>
    </row>
    <row r="296" spans="2:25" x14ac:dyDescent="0.25">
      <c r="F296" s="36"/>
    </row>
    <row r="297" spans="2:25" ht="28.5" customHeight="1" x14ac:dyDescent="0.3">
      <c r="B297" s="193" t="s">
        <v>46</v>
      </c>
      <c r="C297" s="194"/>
      <c r="D297" s="194"/>
      <c r="E297" s="194"/>
      <c r="F297" s="194"/>
      <c r="G297" s="2"/>
      <c r="H297" s="2"/>
      <c r="I297" s="13" t="s">
        <v>47</v>
      </c>
      <c r="J297" s="195" t="s">
        <v>14</v>
      </c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7"/>
      <c r="Y297" s="1"/>
    </row>
    <row r="298" spans="2:25" ht="26.25" customHeight="1" x14ac:dyDescent="0.4">
      <c r="B298" s="39" t="s">
        <v>48</v>
      </c>
      <c r="C298" s="2"/>
      <c r="D298" s="2"/>
      <c r="E298" s="2"/>
      <c r="F298" s="2"/>
      <c r="G298" s="2"/>
      <c r="H298" s="2"/>
      <c r="I298" s="29" t="s">
        <v>13</v>
      </c>
      <c r="J298" s="15">
        <v>4</v>
      </c>
      <c r="K298" s="215">
        <v>1</v>
      </c>
      <c r="L298" s="216"/>
      <c r="M298" s="15">
        <v>0</v>
      </c>
      <c r="N298" s="198">
        <v>0</v>
      </c>
      <c r="O298" s="199"/>
      <c r="P298" s="217">
        <v>0</v>
      </c>
      <c r="Q298" s="218"/>
      <c r="R298" s="219">
        <v>1</v>
      </c>
      <c r="S298" s="220"/>
      <c r="U298" s="6"/>
      <c r="V298" s="6"/>
      <c r="W298" s="7"/>
      <c r="Y298" s="1"/>
    </row>
    <row r="299" spans="2:25" ht="21" customHeight="1" x14ac:dyDescent="0.25">
      <c r="B299" s="26" t="s">
        <v>237</v>
      </c>
      <c r="C299" s="25"/>
      <c r="D299" s="25"/>
      <c r="E299" s="25"/>
      <c r="F299" s="25"/>
      <c r="G299" s="25"/>
      <c r="H299" s="25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Y299" s="1"/>
    </row>
    <row r="300" spans="2:25" ht="13.5" customHeight="1" x14ac:dyDescent="0.25">
      <c r="B300" s="40" t="s">
        <v>24</v>
      </c>
      <c r="C300" s="25"/>
      <c r="D300" s="25"/>
      <c r="E300" s="25"/>
      <c r="F300" s="25"/>
      <c r="G300" s="25"/>
      <c r="H300" s="25"/>
      <c r="I300" s="28" t="s">
        <v>6</v>
      </c>
      <c r="J300" s="231">
        <f>$J$4</f>
        <v>2026</v>
      </c>
      <c r="K300" s="232"/>
      <c r="L300" s="28"/>
      <c r="M300" s="204" t="s">
        <v>15</v>
      </c>
      <c r="N300" s="204"/>
      <c r="O300" s="204"/>
      <c r="P300" s="239">
        <f>$P$4</f>
        <v>2</v>
      </c>
      <c r="Q300" s="240"/>
      <c r="R300" s="86"/>
      <c r="S300" s="233" t="s">
        <v>16</v>
      </c>
      <c r="T300" s="233"/>
      <c r="U300" s="239">
        <f>$U$4</f>
        <v>10</v>
      </c>
      <c r="V300" s="240"/>
      <c r="X300" s="1"/>
    </row>
    <row r="301" spans="2:25" ht="9.75" customHeight="1" x14ac:dyDescent="0.25"/>
    <row r="302" spans="2:25" ht="11.25" customHeight="1" x14ac:dyDescent="0.25">
      <c r="B302" s="24" t="s">
        <v>49</v>
      </c>
    </row>
    <row r="303" spans="2:25" ht="11.25" customHeight="1" x14ac:dyDescent="0.25">
      <c r="B303" s="8" t="s">
        <v>50</v>
      </c>
    </row>
    <row r="304" spans="2:25" x14ac:dyDescent="0.25">
      <c r="B304" s="8"/>
    </row>
    <row r="305" spans="1:26" ht="15.75" customHeight="1" x14ac:dyDescent="0.25">
      <c r="B305" s="234" t="s">
        <v>51</v>
      </c>
      <c r="C305" s="234"/>
      <c r="D305" s="234"/>
      <c r="E305" s="234"/>
      <c r="F305" s="18" t="s">
        <v>6</v>
      </c>
      <c r="G305" s="120">
        <f>$G$9</f>
        <v>2026</v>
      </c>
      <c r="H305" s="9" t="s">
        <v>15</v>
      </c>
      <c r="I305" s="121">
        <f>$I$9</f>
        <v>2</v>
      </c>
      <c r="J305" s="235" t="s">
        <v>16</v>
      </c>
      <c r="K305" s="236"/>
      <c r="L305" s="237">
        <f>$L$9</f>
        <v>8</v>
      </c>
      <c r="M305" s="238"/>
      <c r="N305" s="84"/>
      <c r="O305" s="85"/>
      <c r="P305" s="43"/>
      <c r="Q305" s="43"/>
      <c r="Y305" s="32"/>
    </row>
    <row r="306" spans="1:26" ht="17.25" customHeight="1" x14ac:dyDescent="0.25">
      <c r="C306" s="8"/>
      <c r="Z306" s="32"/>
    </row>
    <row r="307" spans="1:26" ht="18.75" customHeight="1" x14ac:dyDescent="0.25">
      <c r="B307" s="255" t="s">
        <v>52</v>
      </c>
      <c r="C307" s="257" t="s">
        <v>53</v>
      </c>
      <c r="D307" s="258"/>
      <c r="E307" s="258"/>
      <c r="F307" s="221" t="s">
        <v>54</v>
      </c>
      <c r="G307" s="223"/>
      <c r="H307" s="223"/>
      <c r="I307" s="259" t="s">
        <v>55</v>
      </c>
      <c r="J307" s="221"/>
      <c r="K307" s="221" t="s">
        <v>56</v>
      </c>
      <c r="L307" s="221"/>
      <c r="M307" s="221"/>
      <c r="N307" s="221"/>
      <c r="O307" s="222" t="s">
        <v>231</v>
      </c>
      <c r="P307" s="222"/>
      <c r="Q307" s="222"/>
      <c r="R307" s="223"/>
      <c r="S307" s="221" t="s">
        <v>57</v>
      </c>
      <c r="T307" s="223"/>
      <c r="U307" s="223"/>
      <c r="V307" s="221" t="s">
        <v>58</v>
      </c>
      <c r="W307" s="223"/>
    </row>
    <row r="308" spans="1:26" ht="26.25" customHeight="1" x14ac:dyDescent="0.25">
      <c r="B308" s="256"/>
      <c r="C308" s="253" t="s">
        <v>59</v>
      </c>
      <c r="D308" s="254"/>
      <c r="E308" s="254"/>
      <c r="F308" s="254"/>
      <c r="G308" s="254"/>
      <c r="H308" s="254"/>
      <c r="I308" s="221"/>
      <c r="J308" s="221"/>
      <c r="K308" s="221"/>
      <c r="L308" s="221"/>
      <c r="M308" s="221"/>
      <c r="N308" s="221"/>
      <c r="O308" s="223"/>
      <c r="P308" s="223"/>
      <c r="Q308" s="223"/>
      <c r="R308" s="223"/>
      <c r="S308" s="223"/>
      <c r="T308" s="223"/>
      <c r="U308" s="223"/>
      <c r="V308" s="223"/>
      <c r="W308" s="223"/>
      <c r="Y308" s="122" t="s">
        <v>242</v>
      </c>
    </row>
    <row r="309" spans="1:26" ht="7.5" customHeight="1" x14ac:dyDescent="0.25">
      <c r="A309" s="260"/>
      <c r="B309" s="241">
        <f>B271+1</f>
        <v>41</v>
      </c>
      <c r="C309" s="244" t="e">
        <f>IF(AND('Data Dan'!#REF!="1 Dan",'Data Dan'!#REF!="LULUS"),VLOOKUP(B309,'Data Dan'!$A$6:$I$475,3,0),"")</f>
        <v>#REF!</v>
      </c>
      <c r="D309" s="245"/>
      <c r="E309" s="245"/>
      <c r="F309" s="248"/>
      <c r="G309" s="249"/>
      <c r="H309" s="250" t="e">
        <f>_xlfn.IFNA(INDEX('Data Dan'!$I$6:$I$495,MATCH(C309,'Data Dan'!$C$6:$C$495,0)),"")</f>
        <v>#REF!</v>
      </c>
      <c r="I309" s="224" t="str">
        <f>IF(AND(S309&lt;&gt;"",V309&lt;&gt;""),IF(V309&gt;=90,"Excellent",IF(V309&gt;=80,"Very Good",IF(V309&gt;=70,"Good",IF(V309&gt;=60,"Fair","Poor")))),"")</f>
        <v/>
      </c>
      <c r="J309" s="224"/>
      <c r="K309" s="44"/>
      <c r="L309" s="45"/>
      <c r="M309" s="45"/>
      <c r="N309" s="46"/>
      <c r="O309" s="44"/>
      <c r="P309" s="45"/>
      <c r="Q309" s="45"/>
      <c r="R309" s="46"/>
      <c r="S309" s="224"/>
      <c r="T309" s="224"/>
      <c r="U309" s="224"/>
      <c r="V309" s="252"/>
      <c r="W309" s="252"/>
      <c r="Y309" s="214" t="e">
        <f>_xlfn.IFNA(VLOOKUP(C309,'Data Dan'!$C$6:$N$995,12,0),"No Data")</f>
        <v>#REF!</v>
      </c>
    </row>
    <row r="310" spans="1:26" ht="12" customHeight="1" x14ac:dyDescent="0.25">
      <c r="A310" s="261"/>
      <c r="B310" s="242"/>
      <c r="C310" s="246"/>
      <c r="D310" s="247"/>
      <c r="E310" s="247"/>
      <c r="F310" s="248"/>
      <c r="G310" s="249"/>
      <c r="H310" s="251"/>
      <c r="I310" s="224"/>
      <c r="J310" s="224"/>
      <c r="K310" s="47"/>
      <c r="L310" s="224" t="e">
        <f>IF(C309&lt;&gt;"","V","")</f>
        <v>#REF!</v>
      </c>
      <c r="M310" s="224"/>
      <c r="N310" s="47"/>
      <c r="O310" s="47"/>
      <c r="P310" s="224" t="e">
        <f>IF(C309&lt;&gt;"","V","")</f>
        <v>#REF!</v>
      </c>
      <c r="Q310" s="224"/>
      <c r="R310" s="47"/>
      <c r="S310" s="224"/>
      <c r="T310" s="224"/>
      <c r="U310" s="224"/>
      <c r="V310" s="252"/>
      <c r="W310" s="252"/>
      <c r="Y310" s="214"/>
    </row>
    <row r="311" spans="1:26" ht="9" customHeight="1" x14ac:dyDescent="0.25">
      <c r="A311" s="261"/>
      <c r="B311" s="242"/>
      <c r="C311" s="225" t="e">
        <f>_xlfn.IFNA(INDEX('Data Dan'!$B$6:$B$501,MATCH(C309,'Data Dan'!$C$6:$C$501,0)),"")</f>
        <v>#REF!</v>
      </c>
      <c r="D311" s="226"/>
      <c r="E311" s="226"/>
      <c r="F311" s="226"/>
      <c r="G311" s="226"/>
      <c r="H311" s="227"/>
      <c r="I311" s="224"/>
      <c r="J311" s="224"/>
      <c r="K311" s="47"/>
      <c r="L311" s="224"/>
      <c r="M311" s="224"/>
      <c r="N311" s="47"/>
      <c r="O311" s="47"/>
      <c r="P311" s="224"/>
      <c r="Q311" s="224"/>
      <c r="R311" s="47"/>
      <c r="S311" s="224"/>
      <c r="T311" s="224"/>
      <c r="U311" s="224"/>
      <c r="V311" s="252"/>
      <c r="W311" s="252"/>
      <c r="Y311" s="214"/>
    </row>
    <row r="312" spans="1:26" ht="9" customHeight="1" x14ac:dyDescent="0.25">
      <c r="A312" s="261"/>
      <c r="B312" s="243"/>
      <c r="C312" s="228"/>
      <c r="D312" s="229"/>
      <c r="E312" s="229"/>
      <c r="F312" s="229"/>
      <c r="G312" s="229"/>
      <c r="H312" s="230"/>
      <c r="I312" s="224"/>
      <c r="J312" s="224"/>
      <c r="K312" s="48"/>
      <c r="L312" s="49"/>
      <c r="M312" s="49"/>
      <c r="N312" s="50"/>
      <c r="O312" s="48"/>
      <c r="P312" s="49"/>
      <c r="Q312" s="49"/>
      <c r="R312" s="50"/>
      <c r="S312" s="224"/>
      <c r="T312" s="224"/>
      <c r="U312" s="224"/>
      <c r="V312" s="252"/>
      <c r="W312" s="252"/>
      <c r="Y312" s="214"/>
    </row>
    <row r="313" spans="1:26" ht="7.5" customHeight="1" x14ac:dyDescent="0.25">
      <c r="B313" s="241">
        <f t="shared" ref="B313:B345" si="45">B309+1</f>
        <v>42</v>
      </c>
      <c r="C313" s="244" t="e">
        <f>IF(AND('Data Dan'!#REF!="1 Dan",'Data Dan'!#REF!="LULUS"),VLOOKUP(B313,'Data Dan'!$A$6:$I$475,3,0),"")</f>
        <v>#REF!</v>
      </c>
      <c r="D313" s="245"/>
      <c r="E313" s="245"/>
      <c r="F313" s="248"/>
      <c r="G313" s="249"/>
      <c r="H313" s="250" t="e">
        <f>_xlfn.IFNA(INDEX('Data Dan'!$I$6:$I$495,MATCH(C313,'Data Dan'!$C$6:$C$495,0)),"")</f>
        <v>#REF!</v>
      </c>
      <c r="I313" s="224" t="str">
        <f>IF(AND(S313&lt;&gt;"",V313&lt;&gt;""),IF(V313&gt;=90,"Excellent",IF(V313&gt;=80,"Very Good",IF(V313&gt;=70,"Good",IF(V313&gt;=60,"Fair","Poor")))),"")</f>
        <v/>
      </c>
      <c r="J313" s="224"/>
      <c r="K313" s="44"/>
      <c r="L313" s="45"/>
      <c r="M313" s="45"/>
      <c r="N313" s="46"/>
      <c r="O313" s="44"/>
      <c r="P313" s="45"/>
      <c r="Q313" s="45"/>
      <c r="R313" s="46"/>
      <c r="S313" s="224"/>
      <c r="T313" s="224"/>
      <c r="U313" s="224"/>
      <c r="V313" s="252"/>
      <c r="W313" s="252"/>
      <c r="Y313" s="214" t="e">
        <f>_xlfn.IFNA(VLOOKUP(C313,'Data Dan'!$C$6:$N$995,12,0),"No Data")</f>
        <v>#REF!</v>
      </c>
    </row>
    <row r="314" spans="1:26" ht="12" customHeight="1" x14ac:dyDescent="0.25">
      <c r="B314" s="242"/>
      <c r="C314" s="246"/>
      <c r="D314" s="247"/>
      <c r="E314" s="247"/>
      <c r="F314" s="248"/>
      <c r="G314" s="249"/>
      <c r="H314" s="251"/>
      <c r="I314" s="224"/>
      <c r="J314" s="224"/>
      <c r="K314" s="47"/>
      <c r="L314" s="224" t="e">
        <f>IF(C313&lt;&gt;"","V","")</f>
        <v>#REF!</v>
      </c>
      <c r="M314" s="224"/>
      <c r="N314" s="47"/>
      <c r="O314" s="47"/>
      <c r="P314" s="224" t="e">
        <f>IF(C313&lt;&gt;"","V","")</f>
        <v>#REF!</v>
      </c>
      <c r="Q314" s="224"/>
      <c r="R314" s="47"/>
      <c r="S314" s="224"/>
      <c r="T314" s="224"/>
      <c r="U314" s="224"/>
      <c r="V314" s="252"/>
      <c r="W314" s="252"/>
      <c r="Y314" s="214"/>
    </row>
    <row r="315" spans="1:26" ht="9" customHeight="1" x14ac:dyDescent="0.25">
      <c r="B315" s="242"/>
      <c r="C315" s="225" t="e">
        <f>_xlfn.IFNA(INDEX('Data Dan'!$B$6:$B$501,MATCH(C313,'Data Dan'!$C$6:$C$501,0)),"")</f>
        <v>#REF!</v>
      </c>
      <c r="D315" s="226"/>
      <c r="E315" s="226"/>
      <c r="F315" s="226"/>
      <c r="G315" s="226"/>
      <c r="H315" s="227"/>
      <c r="I315" s="224"/>
      <c r="J315" s="224"/>
      <c r="K315" s="47"/>
      <c r="L315" s="224"/>
      <c r="M315" s="224"/>
      <c r="N315" s="47"/>
      <c r="O315" s="47"/>
      <c r="P315" s="224"/>
      <c r="Q315" s="224"/>
      <c r="R315" s="47"/>
      <c r="S315" s="224"/>
      <c r="T315" s="224"/>
      <c r="U315" s="224"/>
      <c r="V315" s="252"/>
      <c r="W315" s="252"/>
      <c r="Y315" s="214"/>
    </row>
    <row r="316" spans="1:26" ht="9" customHeight="1" x14ac:dyDescent="0.25">
      <c r="B316" s="243"/>
      <c r="C316" s="228"/>
      <c r="D316" s="229"/>
      <c r="E316" s="229"/>
      <c r="F316" s="229"/>
      <c r="G316" s="229"/>
      <c r="H316" s="230"/>
      <c r="I316" s="224"/>
      <c r="J316" s="224"/>
      <c r="K316" s="48"/>
      <c r="L316" s="49"/>
      <c r="M316" s="49"/>
      <c r="N316" s="50"/>
      <c r="O316" s="48"/>
      <c r="P316" s="49"/>
      <c r="Q316" s="49"/>
      <c r="R316" s="50"/>
      <c r="S316" s="224"/>
      <c r="T316" s="224"/>
      <c r="U316" s="224"/>
      <c r="V316" s="252"/>
      <c r="W316" s="252"/>
      <c r="Y316" s="214"/>
    </row>
    <row r="317" spans="1:26" ht="7.5" customHeight="1" x14ac:dyDescent="0.25">
      <c r="B317" s="241">
        <f t="shared" si="45"/>
        <v>43</v>
      </c>
      <c r="C317" s="244" t="e">
        <f>IF(AND('Data Dan'!#REF!="1 Dan",'Data Dan'!#REF!="LULUS"),VLOOKUP(B317,'Data Dan'!$A$6:$I$475,3,0),"")</f>
        <v>#REF!</v>
      </c>
      <c r="D317" s="245"/>
      <c r="E317" s="245"/>
      <c r="F317" s="248"/>
      <c r="G317" s="249"/>
      <c r="H317" s="250" t="e">
        <f>_xlfn.IFNA(INDEX('Data Dan'!$I$6:$I$495,MATCH(C317,'Data Dan'!$C$6:$C$495,0)),"")</f>
        <v>#REF!</v>
      </c>
      <c r="I317" s="224" t="str">
        <f t="shared" ref="I317" si="46">IF(AND(S317&lt;&gt;"",V317&lt;&gt;""),IF(V317&gt;=90,"Excellent",IF(V317&gt;=80,"Very Good",IF(V317&gt;=70,"Good",IF(V317&gt;=60,"Fair","Poor")))),"")</f>
        <v/>
      </c>
      <c r="J317" s="224"/>
      <c r="K317" s="44"/>
      <c r="L317" s="45"/>
      <c r="M317" s="45"/>
      <c r="N317" s="46"/>
      <c r="O317" s="44"/>
      <c r="P317" s="45"/>
      <c r="Q317" s="45"/>
      <c r="R317" s="46"/>
      <c r="S317" s="224"/>
      <c r="T317" s="224"/>
      <c r="U317" s="224"/>
      <c r="V317" s="252"/>
      <c r="W317" s="252"/>
      <c r="Y317" s="214" t="e">
        <f>_xlfn.IFNA(VLOOKUP(C317,'Data Dan'!$C$6:$N$995,12,0),"No Data")</f>
        <v>#REF!</v>
      </c>
    </row>
    <row r="318" spans="1:26" ht="12" customHeight="1" x14ac:dyDescent="0.25">
      <c r="B318" s="242"/>
      <c r="C318" s="246"/>
      <c r="D318" s="247"/>
      <c r="E318" s="247"/>
      <c r="F318" s="248"/>
      <c r="G318" s="249"/>
      <c r="H318" s="251"/>
      <c r="I318" s="224"/>
      <c r="J318" s="224"/>
      <c r="K318" s="47"/>
      <c r="L318" s="224" t="e">
        <f>IF(C317&lt;&gt;"","V","")</f>
        <v>#REF!</v>
      </c>
      <c r="M318" s="224"/>
      <c r="N318" s="47"/>
      <c r="O318" s="47"/>
      <c r="P318" s="224" t="e">
        <f>IF(C317&lt;&gt;"","V","")</f>
        <v>#REF!</v>
      </c>
      <c r="Q318" s="224"/>
      <c r="R318" s="47"/>
      <c r="S318" s="224"/>
      <c r="T318" s="224"/>
      <c r="U318" s="224"/>
      <c r="V318" s="252"/>
      <c r="W318" s="252"/>
      <c r="Y318" s="214"/>
    </row>
    <row r="319" spans="1:26" ht="9" customHeight="1" x14ac:dyDescent="0.25">
      <c r="B319" s="242"/>
      <c r="C319" s="225" t="e">
        <f>_xlfn.IFNA(INDEX('Data Dan'!$B$6:$B$501,MATCH(C317,'Data Dan'!$C$6:$C$501,0)),"")</f>
        <v>#REF!</v>
      </c>
      <c r="D319" s="226"/>
      <c r="E319" s="226"/>
      <c r="F319" s="226"/>
      <c r="G319" s="226"/>
      <c r="H319" s="227"/>
      <c r="I319" s="224"/>
      <c r="J319" s="224"/>
      <c r="K319" s="47"/>
      <c r="L319" s="224"/>
      <c r="M319" s="224"/>
      <c r="N319" s="47"/>
      <c r="O319" s="47"/>
      <c r="P319" s="224"/>
      <c r="Q319" s="224"/>
      <c r="R319" s="47"/>
      <c r="S319" s="224"/>
      <c r="T319" s="224"/>
      <c r="U319" s="224"/>
      <c r="V319" s="252"/>
      <c r="W319" s="252"/>
      <c r="Y319" s="214"/>
    </row>
    <row r="320" spans="1:26" ht="9" customHeight="1" x14ac:dyDescent="0.25">
      <c r="B320" s="243"/>
      <c r="C320" s="228"/>
      <c r="D320" s="229"/>
      <c r="E320" s="229"/>
      <c r="F320" s="229"/>
      <c r="G320" s="229"/>
      <c r="H320" s="230"/>
      <c r="I320" s="224"/>
      <c r="J320" s="224"/>
      <c r="K320" s="48"/>
      <c r="L320" s="49"/>
      <c r="M320" s="49"/>
      <c r="N320" s="50"/>
      <c r="O320" s="48"/>
      <c r="P320" s="49"/>
      <c r="Q320" s="49"/>
      <c r="R320" s="50"/>
      <c r="S320" s="224"/>
      <c r="T320" s="224"/>
      <c r="U320" s="224"/>
      <c r="V320" s="252"/>
      <c r="W320" s="252"/>
      <c r="Y320" s="214"/>
    </row>
    <row r="321" spans="2:25" ht="7.5" customHeight="1" x14ac:dyDescent="0.25">
      <c r="B321" s="241">
        <f t="shared" si="45"/>
        <v>44</v>
      </c>
      <c r="C321" s="244" t="e">
        <f>IF(AND('Data Dan'!#REF!="1 Dan",'Data Dan'!#REF!="LULUS"),VLOOKUP(B321,'Data Dan'!$A$6:$I$475,3,0),"")</f>
        <v>#REF!</v>
      </c>
      <c r="D321" s="245"/>
      <c r="E321" s="245"/>
      <c r="F321" s="248"/>
      <c r="G321" s="249"/>
      <c r="H321" s="250" t="e">
        <f>_xlfn.IFNA(INDEX('Data Dan'!$I$6:$I$495,MATCH(C321,'Data Dan'!$C$6:$C$495,0)),"")</f>
        <v>#REF!</v>
      </c>
      <c r="I321" s="224" t="str">
        <f t="shared" ref="I321" si="47">IF(AND(S321&lt;&gt;"",V321&lt;&gt;""),IF(V321&gt;=90,"Excellent",IF(V321&gt;=80,"Very Good",IF(V321&gt;=70,"Good",IF(V321&gt;=60,"Fair","Poor")))),"")</f>
        <v/>
      </c>
      <c r="J321" s="224"/>
      <c r="K321" s="44"/>
      <c r="L321" s="45"/>
      <c r="M321" s="45"/>
      <c r="N321" s="46"/>
      <c r="O321" s="44"/>
      <c r="P321" s="45"/>
      <c r="Q321" s="45"/>
      <c r="R321" s="46"/>
      <c r="S321" s="224"/>
      <c r="T321" s="224"/>
      <c r="U321" s="224"/>
      <c r="V321" s="252"/>
      <c r="W321" s="252"/>
      <c r="Y321" s="214" t="e">
        <f>_xlfn.IFNA(VLOOKUP(C321,'Data Dan'!$C$6:$N$995,12,0),"No Data")</f>
        <v>#REF!</v>
      </c>
    </row>
    <row r="322" spans="2:25" ht="12" customHeight="1" x14ac:dyDescent="0.25">
      <c r="B322" s="242"/>
      <c r="C322" s="246"/>
      <c r="D322" s="247"/>
      <c r="E322" s="247"/>
      <c r="F322" s="248"/>
      <c r="G322" s="249"/>
      <c r="H322" s="251"/>
      <c r="I322" s="224"/>
      <c r="J322" s="224"/>
      <c r="K322" s="47"/>
      <c r="L322" s="224" t="e">
        <f>IF(C321&lt;&gt;"","V","")</f>
        <v>#REF!</v>
      </c>
      <c r="M322" s="224"/>
      <c r="N322" s="47"/>
      <c r="O322" s="47"/>
      <c r="P322" s="224" t="e">
        <f>IF(C321&lt;&gt;"","V","")</f>
        <v>#REF!</v>
      </c>
      <c r="Q322" s="224"/>
      <c r="R322" s="47"/>
      <c r="S322" s="224"/>
      <c r="T322" s="224"/>
      <c r="U322" s="224"/>
      <c r="V322" s="252"/>
      <c r="W322" s="252"/>
      <c r="Y322" s="214"/>
    </row>
    <row r="323" spans="2:25" ht="9" customHeight="1" x14ac:dyDescent="0.25">
      <c r="B323" s="242"/>
      <c r="C323" s="225" t="e">
        <f>_xlfn.IFNA(INDEX('Data Dan'!$B$6:$B$501,MATCH(C321,'Data Dan'!$C$6:$C$501,0)),"")</f>
        <v>#REF!</v>
      </c>
      <c r="D323" s="226"/>
      <c r="E323" s="226"/>
      <c r="F323" s="226"/>
      <c r="G323" s="226"/>
      <c r="H323" s="227"/>
      <c r="I323" s="224"/>
      <c r="J323" s="224"/>
      <c r="K323" s="47"/>
      <c r="L323" s="224"/>
      <c r="M323" s="224"/>
      <c r="N323" s="47"/>
      <c r="O323" s="47"/>
      <c r="P323" s="224"/>
      <c r="Q323" s="224"/>
      <c r="R323" s="47"/>
      <c r="S323" s="224"/>
      <c r="T323" s="224"/>
      <c r="U323" s="224"/>
      <c r="V323" s="252"/>
      <c r="W323" s="252"/>
      <c r="Y323" s="214"/>
    </row>
    <row r="324" spans="2:25" ht="9" customHeight="1" x14ac:dyDescent="0.25">
      <c r="B324" s="243"/>
      <c r="C324" s="228"/>
      <c r="D324" s="229"/>
      <c r="E324" s="229"/>
      <c r="F324" s="229"/>
      <c r="G324" s="229"/>
      <c r="H324" s="230"/>
      <c r="I324" s="224"/>
      <c r="J324" s="224"/>
      <c r="K324" s="48"/>
      <c r="L324" s="49"/>
      <c r="M324" s="49"/>
      <c r="N324" s="50"/>
      <c r="O324" s="48"/>
      <c r="P324" s="49"/>
      <c r="Q324" s="49"/>
      <c r="R324" s="50"/>
      <c r="S324" s="224"/>
      <c r="T324" s="224"/>
      <c r="U324" s="224"/>
      <c r="V324" s="252"/>
      <c r="W324" s="252"/>
      <c r="Y324" s="214"/>
    </row>
    <row r="325" spans="2:25" ht="7.5" customHeight="1" x14ac:dyDescent="0.25">
      <c r="B325" s="241">
        <f t="shared" si="45"/>
        <v>45</v>
      </c>
      <c r="C325" s="244" t="str">
        <f>IF(AND('Data Dan'!$I$45="1 Dan",'Data Dan'!$N$45="LULUS"),VLOOKUP(B325,'Data Dan'!$A$6:$I$475,3,0),"")</f>
        <v/>
      </c>
      <c r="D325" s="245"/>
      <c r="E325" s="245"/>
      <c r="F325" s="248"/>
      <c r="G325" s="249"/>
      <c r="H325" s="250" t="str">
        <f>_xlfn.IFNA(INDEX('Data Dan'!$I$6:$I$495,MATCH(C325,'Data Dan'!$C$6:$C$495,0)),"")</f>
        <v/>
      </c>
      <c r="I325" s="224" t="str">
        <f t="shared" ref="I325" si="48">IF(AND(S325&lt;&gt;"",V325&lt;&gt;""),IF(V325&gt;=90,"Excellent",IF(V325&gt;=80,"Very Good",IF(V325&gt;=70,"Good",IF(V325&gt;=60,"Fair","Poor")))),"")</f>
        <v/>
      </c>
      <c r="J325" s="224"/>
      <c r="K325" s="44"/>
      <c r="L325" s="45"/>
      <c r="M325" s="45"/>
      <c r="N325" s="46"/>
      <c r="O325" s="44"/>
      <c r="P325" s="45"/>
      <c r="Q325" s="45"/>
      <c r="R325" s="46"/>
      <c r="S325" s="224"/>
      <c r="T325" s="224"/>
      <c r="U325" s="224"/>
      <c r="V325" s="252"/>
      <c r="W325" s="252"/>
      <c r="Y325" s="214" t="str">
        <f>_xlfn.IFNA(VLOOKUP(C325,'Data Dan'!$C$6:$N$995,12,0),"No Data")</f>
        <v>No Data</v>
      </c>
    </row>
    <row r="326" spans="2:25" ht="12" customHeight="1" x14ac:dyDescent="0.25">
      <c r="B326" s="242"/>
      <c r="C326" s="246"/>
      <c r="D326" s="247"/>
      <c r="E326" s="247"/>
      <c r="F326" s="248"/>
      <c r="G326" s="249"/>
      <c r="H326" s="251"/>
      <c r="I326" s="224"/>
      <c r="J326" s="224"/>
      <c r="K326" s="47"/>
      <c r="L326" s="224" t="str">
        <f>IF(C325&lt;&gt;"","V","")</f>
        <v/>
      </c>
      <c r="M326" s="224"/>
      <c r="N326" s="47"/>
      <c r="O326" s="47"/>
      <c r="P326" s="224" t="str">
        <f>IF(C325&lt;&gt;"","V","")</f>
        <v/>
      </c>
      <c r="Q326" s="224"/>
      <c r="R326" s="47"/>
      <c r="S326" s="224"/>
      <c r="T326" s="224"/>
      <c r="U326" s="224"/>
      <c r="V326" s="252"/>
      <c r="W326" s="252"/>
      <c r="Y326" s="214"/>
    </row>
    <row r="327" spans="2:25" ht="9" customHeight="1" x14ac:dyDescent="0.25">
      <c r="B327" s="242"/>
      <c r="C327" s="225" t="str">
        <f>_xlfn.IFNA(INDEX('Data Dan'!$B$6:$B$501,MATCH(C325,'Data Dan'!$C$6:$C$501,0)),"")</f>
        <v/>
      </c>
      <c r="D327" s="226"/>
      <c r="E327" s="226"/>
      <c r="F327" s="226"/>
      <c r="G327" s="226"/>
      <c r="H327" s="227"/>
      <c r="I327" s="224"/>
      <c r="J327" s="224"/>
      <c r="K327" s="47"/>
      <c r="L327" s="224"/>
      <c r="M327" s="224"/>
      <c r="N327" s="47"/>
      <c r="O327" s="47"/>
      <c r="P327" s="224"/>
      <c r="Q327" s="224"/>
      <c r="R327" s="47"/>
      <c r="S327" s="224"/>
      <c r="T327" s="224"/>
      <c r="U327" s="224"/>
      <c r="V327" s="252"/>
      <c r="W327" s="252"/>
      <c r="Y327" s="214"/>
    </row>
    <row r="328" spans="2:25" ht="9" customHeight="1" x14ac:dyDescent="0.25">
      <c r="B328" s="243"/>
      <c r="C328" s="228"/>
      <c r="D328" s="229"/>
      <c r="E328" s="229"/>
      <c r="F328" s="229"/>
      <c r="G328" s="229"/>
      <c r="H328" s="230"/>
      <c r="I328" s="224"/>
      <c r="J328" s="224"/>
      <c r="K328" s="48"/>
      <c r="L328" s="49"/>
      <c r="M328" s="49"/>
      <c r="N328" s="50"/>
      <c r="O328" s="48"/>
      <c r="P328" s="49"/>
      <c r="Q328" s="49"/>
      <c r="R328" s="50"/>
      <c r="S328" s="224"/>
      <c r="T328" s="224"/>
      <c r="U328" s="224"/>
      <c r="V328" s="252"/>
      <c r="W328" s="252"/>
      <c r="Y328" s="214"/>
    </row>
    <row r="329" spans="2:25" ht="7.5" customHeight="1" x14ac:dyDescent="0.25">
      <c r="B329" s="241">
        <f t="shared" si="45"/>
        <v>46</v>
      </c>
      <c r="C329" s="244" t="str">
        <f>IF(AND('Data Dan'!$I$46="1 Dan",'Data Dan'!$N$46="LULUS"),VLOOKUP(B329,'Data Dan'!$A$6:$I$475,3,0),"")</f>
        <v/>
      </c>
      <c r="D329" s="245"/>
      <c r="E329" s="245"/>
      <c r="F329" s="248"/>
      <c r="G329" s="249"/>
      <c r="H329" s="250" t="str">
        <f>_xlfn.IFNA(INDEX('Data Dan'!$I$6:$I$495,MATCH(C329,'Data Dan'!$C$6:$C$495,0)),"")</f>
        <v/>
      </c>
      <c r="I329" s="224" t="str">
        <f t="shared" ref="I329" si="49">IF(AND(S329&lt;&gt;"",V329&lt;&gt;""),IF(V329&gt;=90,"Excellent",IF(V329&gt;=80,"Very Good",IF(V329&gt;=70,"Good",IF(V329&gt;=60,"Fair","Poor")))),"")</f>
        <v/>
      </c>
      <c r="J329" s="224"/>
      <c r="K329" s="44"/>
      <c r="L329" s="45"/>
      <c r="M329" s="45"/>
      <c r="N329" s="46"/>
      <c r="O329" s="44"/>
      <c r="P329" s="45"/>
      <c r="Q329" s="45"/>
      <c r="R329" s="46"/>
      <c r="S329" s="224"/>
      <c r="T329" s="224"/>
      <c r="U329" s="224"/>
      <c r="V329" s="252"/>
      <c r="W329" s="252"/>
      <c r="Y329" s="214" t="str">
        <f>_xlfn.IFNA(VLOOKUP(C329,'Data Dan'!$C$6:$N$995,12,0),"No Data")</f>
        <v>No Data</v>
      </c>
    </row>
    <row r="330" spans="2:25" ht="12" customHeight="1" x14ac:dyDescent="0.25">
      <c r="B330" s="242"/>
      <c r="C330" s="246"/>
      <c r="D330" s="247"/>
      <c r="E330" s="247"/>
      <c r="F330" s="248"/>
      <c r="G330" s="249"/>
      <c r="H330" s="251"/>
      <c r="I330" s="224"/>
      <c r="J330" s="224"/>
      <c r="K330" s="47"/>
      <c r="L330" s="224" t="str">
        <f>IF(C329&lt;&gt;"","V","")</f>
        <v/>
      </c>
      <c r="M330" s="224"/>
      <c r="N330" s="47"/>
      <c r="O330" s="47"/>
      <c r="P330" s="224" t="str">
        <f>IF(C329&lt;&gt;"","V","")</f>
        <v/>
      </c>
      <c r="Q330" s="224"/>
      <c r="R330" s="47"/>
      <c r="S330" s="224"/>
      <c r="T330" s="224"/>
      <c r="U330" s="224"/>
      <c r="V330" s="252"/>
      <c r="W330" s="252"/>
      <c r="Y330" s="214"/>
    </row>
    <row r="331" spans="2:25" ht="9" customHeight="1" x14ac:dyDescent="0.25">
      <c r="B331" s="242"/>
      <c r="C331" s="225" t="str">
        <f>_xlfn.IFNA(INDEX('Data Dan'!$B$6:$B$501,MATCH(C329,'Data Dan'!$C$6:$C$501,0)),"")</f>
        <v/>
      </c>
      <c r="D331" s="226"/>
      <c r="E331" s="226"/>
      <c r="F331" s="226"/>
      <c r="G331" s="226"/>
      <c r="H331" s="227"/>
      <c r="I331" s="224"/>
      <c r="J331" s="224"/>
      <c r="K331" s="47"/>
      <c r="L331" s="224"/>
      <c r="M331" s="224"/>
      <c r="N331" s="47"/>
      <c r="O331" s="47"/>
      <c r="P331" s="224"/>
      <c r="Q331" s="224"/>
      <c r="R331" s="47"/>
      <c r="S331" s="224"/>
      <c r="T331" s="224"/>
      <c r="U331" s="224"/>
      <c r="V331" s="252"/>
      <c r="W331" s="252"/>
      <c r="Y331" s="214"/>
    </row>
    <row r="332" spans="2:25" ht="9" customHeight="1" x14ac:dyDescent="0.25">
      <c r="B332" s="243"/>
      <c r="C332" s="228"/>
      <c r="D332" s="229"/>
      <c r="E332" s="229"/>
      <c r="F332" s="229"/>
      <c r="G332" s="229"/>
      <c r="H332" s="230"/>
      <c r="I332" s="224"/>
      <c r="J332" s="224"/>
      <c r="K332" s="48"/>
      <c r="L332" s="49"/>
      <c r="M332" s="49"/>
      <c r="N332" s="50"/>
      <c r="O332" s="48"/>
      <c r="P332" s="49"/>
      <c r="Q332" s="49"/>
      <c r="R332" s="50"/>
      <c r="S332" s="224"/>
      <c r="T332" s="224"/>
      <c r="U332" s="224"/>
      <c r="V332" s="252"/>
      <c r="W332" s="252"/>
      <c r="Y332" s="214"/>
    </row>
    <row r="333" spans="2:25" ht="7.5" customHeight="1" x14ac:dyDescent="0.25">
      <c r="B333" s="241">
        <f t="shared" si="45"/>
        <v>47</v>
      </c>
      <c r="C333" s="244" t="str">
        <f>IF(AND('Data Dan'!$I$47="1 Dan",'Data Dan'!$N$47="LULUS"),VLOOKUP(B333,'Data Dan'!$A$6:$I$475,3,0),"")</f>
        <v/>
      </c>
      <c r="D333" s="245"/>
      <c r="E333" s="245"/>
      <c r="F333" s="248"/>
      <c r="G333" s="249"/>
      <c r="H333" s="250" t="str">
        <f>_xlfn.IFNA(INDEX('Data Dan'!$I$6:$I$495,MATCH(C333,'Data Dan'!$C$6:$C$495,0)),"")</f>
        <v/>
      </c>
      <c r="I333" s="224" t="str">
        <f t="shared" ref="I333" si="50">IF(AND(S333&lt;&gt;"",V333&lt;&gt;""),IF(V333&gt;=90,"Excellent",IF(V333&gt;=80,"Very Good",IF(V333&gt;=70,"Good",IF(V333&gt;=60,"Fair","Poor")))),"")</f>
        <v/>
      </c>
      <c r="J333" s="224"/>
      <c r="K333" s="44"/>
      <c r="L333" s="45"/>
      <c r="M333" s="45"/>
      <c r="N333" s="46"/>
      <c r="O333" s="44"/>
      <c r="P333" s="45"/>
      <c r="Q333" s="45"/>
      <c r="R333" s="46"/>
      <c r="S333" s="224"/>
      <c r="T333" s="224"/>
      <c r="U333" s="224"/>
      <c r="V333" s="252"/>
      <c r="W333" s="252"/>
      <c r="Y333" s="214" t="str">
        <f>_xlfn.IFNA(VLOOKUP(C333,'Data Dan'!$C$6:$N$995,12,0),"No Data")</f>
        <v>No Data</v>
      </c>
    </row>
    <row r="334" spans="2:25" ht="12" customHeight="1" x14ac:dyDescent="0.25">
      <c r="B334" s="242"/>
      <c r="C334" s="246"/>
      <c r="D334" s="247"/>
      <c r="E334" s="247"/>
      <c r="F334" s="248"/>
      <c r="G334" s="249"/>
      <c r="H334" s="251"/>
      <c r="I334" s="224"/>
      <c r="J334" s="224"/>
      <c r="K334" s="47"/>
      <c r="L334" s="224" t="str">
        <f>IF(C333&lt;&gt;"","V","")</f>
        <v/>
      </c>
      <c r="M334" s="224"/>
      <c r="N334" s="47"/>
      <c r="O334" s="47"/>
      <c r="P334" s="224" t="str">
        <f>IF(C333&lt;&gt;"","V","")</f>
        <v/>
      </c>
      <c r="Q334" s="224"/>
      <c r="R334" s="47"/>
      <c r="S334" s="224"/>
      <c r="T334" s="224"/>
      <c r="U334" s="224"/>
      <c r="V334" s="252"/>
      <c r="W334" s="252"/>
      <c r="Y334" s="214"/>
    </row>
    <row r="335" spans="2:25" ht="9" customHeight="1" x14ac:dyDescent="0.25">
      <c r="B335" s="242"/>
      <c r="C335" s="225" t="str">
        <f>_xlfn.IFNA(INDEX('Data Dan'!$B$6:$B$501,MATCH(C333,'Data Dan'!$C$6:$C$501,0)),"")</f>
        <v/>
      </c>
      <c r="D335" s="226"/>
      <c r="E335" s="226"/>
      <c r="F335" s="226"/>
      <c r="G335" s="226"/>
      <c r="H335" s="227"/>
      <c r="I335" s="224"/>
      <c r="J335" s="224"/>
      <c r="K335" s="47"/>
      <c r="L335" s="224"/>
      <c r="M335" s="224"/>
      <c r="N335" s="47"/>
      <c r="O335" s="47"/>
      <c r="P335" s="224"/>
      <c r="Q335" s="224"/>
      <c r="R335" s="47"/>
      <c r="S335" s="224"/>
      <c r="T335" s="224"/>
      <c r="U335" s="224"/>
      <c r="V335" s="252"/>
      <c r="W335" s="252"/>
      <c r="Y335" s="214"/>
    </row>
    <row r="336" spans="2:25" ht="9" customHeight="1" x14ac:dyDescent="0.25">
      <c r="B336" s="243"/>
      <c r="C336" s="228"/>
      <c r="D336" s="229"/>
      <c r="E336" s="229"/>
      <c r="F336" s="229"/>
      <c r="G336" s="229"/>
      <c r="H336" s="230"/>
      <c r="I336" s="224"/>
      <c r="J336" s="224"/>
      <c r="K336" s="48"/>
      <c r="L336" s="49"/>
      <c r="M336" s="49"/>
      <c r="N336" s="50"/>
      <c r="O336" s="48"/>
      <c r="P336" s="49"/>
      <c r="Q336" s="49"/>
      <c r="R336" s="50"/>
      <c r="S336" s="224"/>
      <c r="T336" s="224"/>
      <c r="U336" s="224"/>
      <c r="V336" s="252"/>
      <c r="W336" s="252"/>
      <c r="Y336" s="214"/>
    </row>
    <row r="337" spans="2:25" ht="7.5" customHeight="1" x14ac:dyDescent="0.25">
      <c r="B337" s="241">
        <f t="shared" si="45"/>
        <v>48</v>
      </c>
      <c r="C337" s="244" t="str">
        <f>IF(AND('Data Dan'!$I$48="1 Dan",'Data Dan'!$N$48="LULUS"),VLOOKUP(B337,'Data Dan'!$A$6:$I$475,3,0),"")</f>
        <v/>
      </c>
      <c r="D337" s="245"/>
      <c r="E337" s="245"/>
      <c r="F337" s="248"/>
      <c r="G337" s="249"/>
      <c r="H337" s="250" t="str">
        <f>_xlfn.IFNA(INDEX('Data Dan'!$I$6:$I$495,MATCH(C337,'Data Dan'!$C$6:$C$495,0)),"")</f>
        <v/>
      </c>
      <c r="I337" s="224" t="str">
        <f t="shared" ref="I337" si="51">IF(AND(S337&lt;&gt;"",V337&lt;&gt;""),IF(V337&gt;=90,"Excellent",IF(V337&gt;=80,"Very Good",IF(V337&gt;=70,"Good",IF(V337&gt;=60,"Fair","Poor")))),"")</f>
        <v/>
      </c>
      <c r="J337" s="224"/>
      <c r="K337" s="44"/>
      <c r="L337" s="45"/>
      <c r="M337" s="45"/>
      <c r="N337" s="46"/>
      <c r="O337" s="44"/>
      <c r="P337" s="45"/>
      <c r="Q337" s="45"/>
      <c r="R337" s="46"/>
      <c r="S337" s="224"/>
      <c r="T337" s="224"/>
      <c r="U337" s="224"/>
      <c r="V337" s="252"/>
      <c r="W337" s="252"/>
      <c r="Y337" s="214" t="str">
        <f>_xlfn.IFNA(VLOOKUP(C337,'Data Dan'!$C$6:$N$995,12,0),"No Data")</f>
        <v>No Data</v>
      </c>
    </row>
    <row r="338" spans="2:25" ht="12" customHeight="1" x14ac:dyDescent="0.25">
      <c r="B338" s="242"/>
      <c r="C338" s="246"/>
      <c r="D338" s="247"/>
      <c r="E338" s="247"/>
      <c r="F338" s="248"/>
      <c r="G338" s="249"/>
      <c r="H338" s="251"/>
      <c r="I338" s="224"/>
      <c r="J338" s="224"/>
      <c r="K338" s="47"/>
      <c r="L338" s="224" t="str">
        <f>IF(C337&lt;&gt;"","V","")</f>
        <v/>
      </c>
      <c r="M338" s="224"/>
      <c r="N338" s="47"/>
      <c r="O338" s="47"/>
      <c r="P338" s="224" t="str">
        <f>IF(C337&lt;&gt;"","V","")</f>
        <v/>
      </c>
      <c r="Q338" s="224"/>
      <c r="R338" s="47"/>
      <c r="S338" s="224"/>
      <c r="T338" s="224"/>
      <c r="U338" s="224"/>
      <c r="V338" s="252"/>
      <c r="W338" s="252"/>
      <c r="Y338" s="214"/>
    </row>
    <row r="339" spans="2:25" ht="9" customHeight="1" x14ac:dyDescent="0.25">
      <c r="B339" s="242"/>
      <c r="C339" s="225" t="str">
        <f>_xlfn.IFNA(INDEX('Data Dan'!$B$6:$B$501,MATCH(C337,'Data Dan'!$C$6:$C$501,0)),"")</f>
        <v/>
      </c>
      <c r="D339" s="226"/>
      <c r="E339" s="226"/>
      <c r="F339" s="226"/>
      <c r="G339" s="226"/>
      <c r="H339" s="227"/>
      <c r="I339" s="224"/>
      <c r="J339" s="224"/>
      <c r="K339" s="47"/>
      <c r="L339" s="224"/>
      <c r="M339" s="224"/>
      <c r="N339" s="47"/>
      <c r="O339" s="47"/>
      <c r="P339" s="224"/>
      <c r="Q339" s="224"/>
      <c r="R339" s="47"/>
      <c r="S339" s="224"/>
      <c r="T339" s="224"/>
      <c r="U339" s="224"/>
      <c r="V339" s="252"/>
      <c r="W339" s="252"/>
      <c r="Y339" s="214"/>
    </row>
    <row r="340" spans="2:25" ht="9" customHeight="1" x14ac:dyDescent="0.25">
      <c r="B340" s="243"/>
      <c r="C340" s="228"/>
      <c r="D340" s="229"/>
      <c r="E340" s="229"/>
      <c r="F340" s="229"/>
      <c r="G340" s="229"/>
      <c r="H340" s="230"/>
      <c r="I340" s="224"/>
      <c r="J340" s="224"/>
      <c r="K340" s="48"/>
      <c r="L340" s="49"/>
      <c r="M340" s="49"/>
      <c r="N340" s="50"/>
      <c r="O340" s="48"/>
      <c r="P340" s="49"/>
      <c r="Q340" s="49"/>
      <c r="R340" s="50"/>
      <c r="S340" s="224"/>
      <c r="T340" s="224"/>
      <c r="U340" s="224"/>
      <c r="V340" s="252"/>
      <c r="W340" s="252"/>
      <c r="Y340" s="214"/>
    </row>
    <row r="341" spans="2:25" ht="7.5" customHeight="1" x14ac:dyDescent="0.25">
      <c r="B341" s="241">
        <f t="shared" si="45"/>
        <v>49</v>
      </c>
      <c r="C341" s="244" t="str">
        <f>IF(AND('Data Dan'!$I$49="1 Dan",'Data Dan'!$N$49="LULUS"),VLOOKUP(B341,'Data Dan'!$A$6:$I$475,3,0),"")</f>
        <v/>
      </c>
      <c r="D341" s="245"/>
      <c r="E341" s="245"/>
      <c r="F341" s="248"/>
      <c r="G341" s="249"/>
      <c r="H341" s="250" t="str">
        <f>_xlfn.IFNA(INDEX('Data Dan'!$I$6:$I$495,MATCH(C341,'Data Dan'!$C$6:$C$495,0)),"")</f>
        <v/>
      </c>
      <c r="I341" s="224" t="str">
        <f t="shared" ref="I341" si="52">IF(AND(S341&lt;&gt;"",V341&lt;&gt;""),IF(V341&gt;=90,"Excellent",IF(V341&gt;=80,"Very Good",IF(V341&gt;=70,"Good",IF(V341&gt;=60,"Fair","Poor")))),"")</f>
        <v/>
      </c>
      <c r="J341" s="224"/>
      <c r="K341" s="44"/>
      <c r="L341" s="45"/>
      <c r="M341" s="45"/>
      <c r="N341" s="46"/>
      <c r="O341" s="44"/>
      <c r="P341" s="45"/>
      <c r="Q341" s="45"/>
      <c r="R341" s="46"/>
      <c r="S341" s="224"/>
      <c r="T341" s="224"/>
      <c r="U341" s="224"/>
      <c r="V341" s="252"/>
      <c r="W341" s="252"/>
      <c r="Y341" s="214" t="str">
        <f>_xlfn.IFNA(VLOOKUP(C341,'Data Dan'!$C$6:$N$995,12,0),"No Data")</f>
        <v>No Data</v>
      </c>
    </row>
    <row r="342" spans="2:25" ht="12" customHeight="1" x14ac:dyDescent="0.25">
      <c r="B342" s="242"/>
      <c r="C342" s="246"/>
      <c r="D342" s="247"/>
      <c r="E342" s="247"/>
      <c r="F342" s="248"/>
      <c r="G342" s="249"/>
      <c r="H342" s="251"/>
      <c r="I342" s="224"/>
      <c r="J342" s="224"/>
      <c r="K342" s="47"/>
      <c r="L342" s="224" t="str">
        <f>IF(C341&lt;&gt;"","V","")</f>
        <v/>
      </c>
      <c r="M342" s="224"/>
      <c r="N342" s="47"/>
      <c r="O342" s="47"/>
      <c r="P342" s="224" t="str">
        <f>IF(C341&lt;&gt;"","V","")</f>
        <v/>
      </c>
      <c r="Q342" s="224"/>
      <c r="R342" s="47"/>
      <c r="S342" s="224"/>
      <c r="T342" s="224"/>
      <c r="U342" s="224"/>
      <c r="V342" s="252"/>
      <c r="W342" s="252"/>
      <c r="Y342" s="214"/>
    </row>
    <row r="343" spans="2:25" ht="9" customHeight="1" x14ac:dyDescent="0.25">
      <c r="B343" s="242"/>
      <c r="C343" s="225" t="str">
        <f>_xlfn.IFNA(INDEX('Data Dan'!$B$6:$B$501,MATCH(C341,'Data Dan'!$C$6:$C$501,0)),"")</f>
        <v/>
      </c>
      <c r="D343" s="226"/>
      <c r="E343" s="226"/>
      <c r="F343" s="226"/>
      <c r="G343" s="226"/>
      <c r="H343" s="227"/>
      <c r="I343" s="224"/>
      <c r="J343" s="224"/>
      <c r="K343" s="47"/>
      <c r="L343" s="224"/>
      <c r="M343" s="224"/>
      <c r="N343" s="47"/>
      <c r="O343" s="47"/>
      <c r="P343" s="224"/>
      <c r="Q343" s="224"/>
      <c r="R343" s="47"/>
      <c r="S343" s="224"/>
      <c r="T343" s="224"/>
      <c r="U343" s="224"/>
      <c r="V343" s="252"/>
      <c r="W343" s="252"/>
      <c r="Y343" s="214"/>
    </row>
    <row r="344" spans="2:25" ht="9" customHeight="1" x14ac:dyDescent="0.25">
      <c r="B344" s="243"/>
      <c r="C344" s="228"/>
      <c r="D344" s="229"/>
      <c r="E344" s="229"/>
      <c r="F344" s="229"/>
      <c r="G344" s="229"/>
      <c r="H344" s="230"/>
      <c r="I344" s="224"/>
      <c r="J344" s="224"/>
      <c r="K344" s="48"/>
      <c r="L344" s="49"/>
      <c r="M344" s="49"/>
      <c r="N344" s="50"/>
      <c r="O344" s="48"/>
      <c r="P344" s="49"/>
      <c r="Q344" s="49"/>
      <c r="R344" s="50"/>
      <c r="S344" s="224"/>
      <c r="T344" s="224"/>
      <c r="U344" s="224"/>
      <c r="V344" s="252"/>
      <c r="W344" s="252"/>
      <c r="Y344" s="214"/>
    </row>
    <row r="345" spans="2:25" ht="7.5" customHeight="1" x14ac:dyDescent="0.25">
      <c r="B345" s="241">
        <f t="shared" si="45"/>
        <v>50</v>
      </c>
      <c r="C345" s="244" t="str">
        <f>IF(AND('Data Dan'!$I$50="1 Dan",'Data Dan'!$N$50="LULUS"),VLOOKUP(B345,'Data Dan'!$A$6:$I$475,3,0),"")</f>
        <v/>
      </c>
      <c r="D345" s="245"/>
      <c r="E345" s="245"/>
      <c r="F345" s="248"/>
      <c r="G345" s="249"/>
      <c r="H345" s="250" t="str">
        <f>_xlfn.IFNA(INDEX('Data Dan'!$I$6:$I$495,MATCH(C345,'Data Dan'!$C$6:$C$495,0)),"")</f>
        <v/>
      </c>
      <c r="I345" s="224" t="str">
        <f t="shared" ref="I345" si="53">IF(AND(S345&lt;&gt;"",V345&lt;&gt;""),IF(V345&gt;=90,"Excellent",IF(V345&gt;=80,"Very Good",IF(V345&gt;=70,"Good",IF(V345&gt;=60,"Fair","Poor")))),"")</f>
        <v/>
      </c>
      <c r="J345" s="224"/>
      <c r="K345" s="44"/>
      <c r="L345" s="45"/>
      <c r="M345" s="45"/>
      <c r="N345" s="46"/>
      <c r="O345" s="44"/>
      <c r="P345" s="45"/>
      <c r="Q345" s="45"/>
      <c r="R345" s="46"/>
      <c r="S345" s="224"/>
      <c r="T345" s="224"/>
      <c r="U345" s="224"/>
      <c r="V345" s="252"/>
      <c r="W345" s="252"/>
      <c r="Y345" s="214" t="str">
        <f>_xlfn.IFNA(VLOOKUP(C345,'Data Dan'!$C$6:$N$995,12,0),"No Data")</f>
        <v>No Data</v>
      </c>
    </row>
    <row r="346" spans="2:25" ht="12" customHeight="1" x14ac:dyDescent="0.25">
      <c r="B346" s="242"/>
      <c r="C346" s="246"/>
      <c r="D346" s="247"/>
      <c r="E346" s="247"/>
      <c r="F346" s="248"/>
      <c r="G346" s="249"/>
      <c r="H346" s="251"/>
      <c r="I346" s="224"/>
      <c r="J346" s="224"/>
      <c r="K346" s="47"/>
      <c r="L346" s="224" t="str">
        <f>IF(C345&lt;&gt;"","V","")</f>
        <v/>
      </c>
      <c r="M346" s="224"/>
      <c r="N346" s="47"/>
      <c r="O346" s="47"/>
      <c r="P346" s="224" t="str">
        <f>IF(C345&lt;&gt;"","V","")</f>
        <v/>
      </c>
      <c r="Q346" s="224"/>
      <c r="R346" s="47"/>
      <c r="S346" s="224"/>
      <c r="T346" s="224"/>
      <c r="U346" s="224"/>
      <c r="V346" s="252"/>
      <c r="W346" s="252"/>
      <c r="Y346" s="214"/>
    </row>
    <row r="347" spans="2:25" ht="9" customHeight="1" x14ac:dyDescent="0.25">
      <c r="B347" s="242"/>
      <c r="C347" s="225" t="str">
        <f>_xlfn.IFNA(INDEX('Data Dan'!$B$6:$B$501,MATCH(C345,'Data Dan'!$C$6:$C$501,0)),"")</f>
        <v/>
      </c>
      <c r="D347" s="226"/>
      <c r="E347" s="226"/>
      <c r="F347" s="226"/>
      <c r="G347" s="226"/>
      <c r="H347" s="227"/>
      <c r="I347" s="224"/>
      <c r="J347" s="224"/>
      <c r="K347" s="47"/>
      <c r="L347" s="224"/>
      <c r="M347" s="224"/>
      <c r="N347" s="47"/>
      <c r="O347" s="47"/>
      <c r="P347" s="224"/>
      <c r="Q347" s="224"/>
      <c r="R347" s="47"/>
      <c r="S347" s="224"/>
      <c r="T347" s="224"/>
      <c r="U347" s="224"/>
      <c r="V347" s="252"/>
      <c r="W347" s="252"/>
      <c r="Y347" s="214"/>
    </row>
    <row r="348" spans="2:25" ht="9" customHeight="1" x14ac:dyDescent="0.25">
      <c r="B348" s="243"/>
      <c r="C348" s="228"/>
      <c r="D348" s="229"/>
      <c r="E348" s="229"/>
      <c r="F348" s="229"/>
      <c r="G348" s="229"/>
      <c r="H348" s="230"/>
      <c r="I348" s="224"/>
      <c r="J348" s="224"/>
      <c r="K348" s="48"/>
      <c r="L348" s="49"/>
      <c r="M348" s="49"/>
      <c r="N348" s="50"/>
      <c r="O348" s="48"/>
      <c r="P348" s="49"/>
      <c r="Q348" s="49"/>
      <c r="R348" s="50"/>
      <c r="S348" s="224"/>
      <c r="T348" s="224"/>
      <c r="U348" s="224"/>
      <c r="V348" s="252"/>
      <c r="W348" s="252"/>
      <c r="Y348" s="214"/>
    </row>
    <row r="349" spans="2:25" ht="7.5" customHeight="1" x14ac:dyDescent="0.25"/>
    <row r="350" spans="2:25" s="34" customFormat="1" x14ac:dyDescent="0.25">
      <c r="C350" s="35" t="s">
        <v>60</v>
      </c>
      <c r="I350" s="262" t="s">
        <v>28</v>
      </c>
      <c r="J350" s="262"/>
    </row>
    <row r="351" spans="2:25" x14ac:dyDescent="0.25">
      <c r="C351" s="33" t="s">
        <v>31</v>
      </c>
      <c r="D351" s="149"/>
      <c r="E351" s="149"/>
      <c r="F351" s="149"/>
      <c r="G351" s="149"/>
      <c r="H351" s="149"/>
      <c r="I351" s="263" t="s">
        <v>29</v>
      </c>
      <c r="J351" s="263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</row>
    <row r="352" spans="2:25" ht="6.75" customHeight="1" x14ac:dyDescent="0.25">
      <c r="D352" s="34"/>
      <c r="E352" s="34"/>
      <c r="F352" s="34"/>
      <c r="G352" s="34"/>
      <c r="H352" s="34"/>
    </row>
    <row r="353" spans="2:25" s="34" customFormat="1" x14ac:dyDescent="0.25">
      <c r="C353" s="35" t="s">
        <v>61</v>
      </c>
      <c r="I353" s="262" t="s">
        <v>36</v>
      </c>
      <c r="J353" s="262"/>
    </row>
    <row r="354" spans="2:25" x14ac:dyDescent="0.25">
      <c r="C354" s="33" t="s">
        <v>33</v>
      </c>
      <c r="D354" s="149"/>
      <c r="E354" s="149"/>
      <c r="F354" s="149"/>
      <c r="G354" s="149"/>
      <c r="H354" s="149"/>
      <c r="I354" s="263" t="s">
        <v>29</v>
      </c>
      <c r="J354" s="263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</row>
    <row r="355" spans="2:25" ht="6.75" customHeight="1" x14ac:dyDescent="0.25">
      <c r="D355" s="34"/>
      <c r="E355" s="34"/>
      <c r="F355" s="34"/>
      <c r="G355" s="34"/>
      <c r="H355" s="34"/>
    </row>
    <row r="356" spans="2:25" s="34" customFormat="1" ht="13.8" x14ac:dyDescent="0.25">
      <c r="C356" s="35" t="s">
        <v>62</v>
      </c>
      <c r="D356" s="177" t="s">
        <v>195</v>
      </c>
      <c r="E356" s="177"/>
      <c r="F356" s="177"/>
      <c r="G356" s="177"/>
      <c r="H356" s="177"/>
      <c r="I356" s="262" t="s">
        <v>28</v>
      </c>
      <c r="J356" s="262"/>
      <c r="Y356" s="70" t="s">
        <v>106</v>
      </c>
    </row>
    <row r="357" spans="2:25" ht="13.8" x14ac:dyDescent="0.25">
      <c r="C357" s="33" t="s">
        <v>35</v>
      </c>
      <c r="D357" s="178"/>
      <c r="E357" s="178"/>
      <c r="F357" s="178"/>
      <c r="G357" s="178"/>
      <c r="H357" s="178"/>
      <c r="I357" s="263" t="s">
        <v>29</v>
      </c>
      <c r="J357" s="263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Y357" s="70" t="s">
        <v>105</v>
      </c>
    </row>
    <row r="358" spans="2:25" ht="12.75" customHeight="1" thickBot="1" x14ac:dyDescent="0.3"/>
    <row r="359" spans="2:25" ht="13.8" thickTop="1" x14ac:dyDescent="0.25">
      <c r="B359" s="34" t="s">
        <v>37</v>
      </c>
      <c r="F359" s="150" t="s">
        <v>40</v>
      </c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</row>
    <row r="360" spans="2:25" x14ac:dyDescent="0.25">
      <c r="B360" s="34" t="s">
        <v>38</v>
      </c>
      <c r="F360" s="152"/>
      <c r="G360" s="153"/>
      <c r="H360" s="153"/>
      <c r="I360" s="153"/>
      <c r="J360" s="153"/>
      <c r="K360" s="153"/>
      <c r="L360" s="153"/>
      <c r="M360" s="153"/>
      <c r="N360" s="153"/>
      <c r="O360" s="153"/>
      <c r="P360" s="153"/>
      <c r="Q360" s="153"/>
      <c r="R360" s="153"/>
      <c r="S360" s="153"/>
      <c r="T360" s="153"/>
      <c r="U360" s="153"/>
      <c r="V360" s="153"/>
      <c r="W360" s="153"/>
    </row>
    <row r="361" spans="2:25" ht="11.25" customHeight="1" x14ac:dyDescent="0.25">
      <c r="B361" s="163" t="s">
        <v>39</v>
      </c>
      <c r="C361" s="163"/>
      <c r="D361" s="163"/>
      <c r="F361" s="37" t="s">
        <v>41</v>
      </c>
    </row>
    <row r="362" spans="2:25" ht="15" customHeight="1" x14ac:dyDescent="0.25">
      <c r="B362" s="163"/>
      <c r="C362" s="163"/>
      <c r="D362" s="163"/>
      <c r="F362" s="38" t="s">
        <v>42</v>
      </c>
    </row>
    <row r="363" spans="2:25" ht="11.25" customHeight="1" x14ac:dyDescent="0.25">
      <c r="B363" s="163"/>
      <c r="C363" s="163"/>
      <c r="D363" s="163"/>
      <c r="F363" s="36"/>
    </row>
    <row r="364" spans="2:25" x14ac:dyDescent="0.25">
      <c r="B364" s="163"/>
      <c r="C364" s="163"/>
      <c r="D364" s="163"/>
      <c r="F364" s="36"/>
    </row>
    <row r="365" spans="2:25" x14ac:dyDescent="0.25">
      <c r="F365" s="36"/>
    </row>
    <row r="366" spans="2:25" x14ac:dyDescent="0.25">
      <c r="F366" s="36"/>
    </row>
    <row r="367" spans="2:25" x14ac:dyDescent="0.25">
      <c r="F367" s="36"/>
    </row>
    <row r="368" spans="2:25" x14ac:dyDescent="0.25">
      <c r="F368" s="36"/>
    </row>
    <row r="369" spans="1:26" ht="13.8" x14ac:dyDescent="0.25">
      <c r="F369" s="157" t="s">
        <v>201</v>
      </c>
      <c r="G369" s="158"/>
      <c r="H369" s="158"/>
      <c r="I369" s="158"/>
      <c r="J369" s="158"/>
      <c r="K369" s="158"/>
      <c r="L369" s="158"/>
      <c r="M369" s="158"/>
      <c r="N369" s="158"/>
      <c r="O369" s="158"/>
      <c r="P369" s="158"/>
      <c r="Q369" s="158"/>
      <c r="R369" s="158"/>
      <c r="S369" s="158"/>
      <c r="T369" s="158"/>
      <c r="U369" s="158"/>
      <c r="V369" s="158"/>
      <c r="W369" s="158"/>
    </row>
    <row r="370" spans="1:26" x14ac:dyDescent="0.25">
      <c r="F370" s="36"/>
    </row>
    <row r="371" spans="1:26" ht="28.5" customHeight="1" x14ac:dyDescent="0.3">
      <c r="B371" s="193" t="s">
        <v>46</v>
      </c>
      <c r="C371" s="194"/>
      <c r="D371" s="194"/>
      <c r="E371" s="194"/>
      <c r="F371" s="194"/>
      <c r="G371" s="2"/>
      <c r="H371" s="2"/>
      <c r="I371" s="13" t="s">
        <v>47</v>
      </c>
      <c r="J371" s="195" t="s">
        <v>14</v>
      </c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7"/>
      <c r="Y371" s="1"/>
    </row>
    <row r="372" spans="1:26" ht="26.25" customHeight="1" x14ac:dyDescent="0.4">
      <c r="B372" s="39" t="s">
        <v>48</v>
      </c>
      <c r="C372" s="2"/>
      <c r="D372" s="2"/>
      <c r="E372" s="2"/>
      <c r="F372" s="2"/>
      <c r="G372" s="2"/>
      <c r="H372" s="2"/>
      <c r="I372" s="29" t="s">
        <v>13</v>
      </c>
      <c r="J372" s="15">
        <v>4</v>
      </c>
      <c r="K372" s="215">
        <v>1</v>
      </c>
      <c r="L372" s="216"/>
      <c r="M372" s="15">
        <v>0</v>
      </c>
      <c r="N372" s="198">
        <v>0</v>
      </c>
      <c r="O372" s="199"/>
      <c r="P372" s="217">
        <v>0</v>
      </c>
      <c r="Q372" s="218"/>
      <c r="R372" s="219">
        <v>1</v>
      </c>
      <c r="S372" s="220"/>
      <c r="U372" s="6"/>
      <c r="V372" s="6"/>
      <c r="W372" s="7"/>
      <c r="Y372" s="1"/>
    </row>
    <row r="373" spans="1:26" ht="21" customHeight="1" x14ac:dyDescent="0.25">
      <c r="B373" s="26" t="s">
        <v>237</v>
      </c>
      <c r="C373" s="25"/>
      <c r="D373" s="25"/>
      <c r="E373" s="25"/>
      <c r="F373" s="25"/>
      <c r="G373" s="25"/>
      <c r="H373" s="25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Y373" s="1"/>
    </row>
    <row r="374" spans="1:26" ht="13.5" customHeight="1" x14ac:dyDescent="0.25">
      <c r="B374" s="40" t="s">
        <v>24</v>
      </c>
      <c r="C374" s="25"/>
      <c r="D374" s="25"/>
      <c r="E374" s="25"/>
      <c r="F374" s="25"/>
      <c r="G374" s="25"/>
      <c r="H374" s="25"/>
      <c r="I374" s="28" t="s">
        <v>6</v>
      </c>
      <c r="J374" s="231">
        <f>$J$4</f>
        <v>2026</v>
      </c>
      <c r="K374" s="232"/>
      <c r="L374" s="28"/>
      <c r="M374" s="204" t="s">
        <v>15</v>
      </c>
      <c r="N374" s="204"/>
      <c r="O374" s="204"/>
      <c r="P374" s="239">
        <f>$P$4</f>
        <v>2</v>
      </c>
      <c r="Q374" s="240"/>
      <c r="R374" s="86"/>
      <c r="S374" s="233" t="s">
        <v>16</v>
      </c>
      <c r="T374" s="233"/>
      <c r="U374" s="239">
        <f>$U$4</f>
        <v>10</v>
      </c>
      <c r="V374" s="240"/>
      <c r="X374" s="1"/>
    </row>
    <row r="375" spans="1:26" ht="9.75" customHeight="1" x14ac:dyDescent="0.25"/>
    <row r="376" spans="1:26" ht="11.25" customHeight="1" x14ac:dyDescent="0.25">
      <c r="B376" s="24" t="s">
        <v>49</v>
      </c>
    </row>
    <row r="377" spans="1:26" ht="11.25" customHeight="1" x14ac:dyDescent="0.25">
      <c r="B377" s="8" t="s">
        <v>50</v>
      </c>
    </row>
    <row r="378" spans="1:26" x14ac:dyDescent="0.25">
      <c r="B378" s="8"/>
    </row>
    <row r="379" spans="1:26" ht="15.75" customHeight="1" x14ac:dyDescent="0.25">
      <c r="B379" s="234" t="s">
        <v>51</v>
      </c>
      <c r="C379" s="234"/>
      <c r="D379" s="234"/>
      <c r="E379" s="234"/>
      <c r="F379" s="18" t="s">
        <v>6</v>
      </c>
      <c r="G379" s="120">
        <f>$G$9</f>
        <v>2026</v>
      </c>
      <c r="H379" s="9" t="s">
        <v>15</v>
      </c>
      <c r="I379" s="121">
        <f>$I$9</f>
        <v>2</v>
      </c>
      <c r="J379" s="235" t="s">
        <v>16</v>
      </c>
      <c r="K379" s="236"/>
      <c r="L379" s="237">
        <f>$L$9</f>
        <v>8</v>
      </c>
      <c r="M379" s="238"/>
      <c r="N379" s="84"/>
      <c r="O379" s="85"/>
      <c r="P379" s="43"/>
      <c r="Q379" s="43"/>
      <c r="Y379" s="32"/>
    </row>
    <row r="380" spans="1:26" ht="17.25" customHeight="1" x14ac:dyDescent="0.25">
      <c r="C380" s="8"/>
      <c r="Z380" s="32"/>
    </row>
    <row r="381" spans="1:26" ht="18.75" customHeight="1" x14ac:dyDescent="0.25">
      <c r="B381" s="255" t="s">
        <v>52</v>
      </c>
      <c r="C381" s="257" t="s">
        <v>53</v>
      </c>
      <c r="D381" s="258"/>
      <c r="E381" s="258"/>
      <c r="F381" s="221" t="s">
        <v>54</v>
      </c>
      <c r="G381" s="223"/>
      <c r="H381" s="223"/>
      <c r="I381" s="259" t="s">
        <v>55</v>
      </c>
      <c r="J381" s="221"/>
      <c r="K381" s="221" t="s">
        <v>56</v>
      </c>
      <c r="L381" s="221"/>
      <c r="M381" s="221"/>
      <c r="N381" s="221"/>
      <c r="O381" s="222" t="s">
        <v>231</v>
      </c>
      <c r="P381" s="222"/>
      <c r="Q381" s="222"/>
      <c r="R381" s="223"/>
      <c r="S381" s="221" t="s">
        <v>57</v>
      </c>
      <c r="T381" s="223"/>
      <c r="U381" s="223"/>
      <c r="V381" s="221" t="s">
        <v>58</v>
      </c>
      <c r="W381" s="223"/>
    </row>
    <row r="382" spans="1:26" ht="26.25" customHeight="1" x14ac:dyDescent="0.25">
      <c r="B382" s="256"/>
      <c r="C382" s="253" t="s">
        <v>59</v>
      </c>
      <c r="D382" s="254"/>
      <c r="E382" s="254"/>
      <c r="F382" s="254"/>
      <c r="G382" s="254"/>
      <c r="H382" s="254"/>
      <c r="I382" s="221"/>
      <c r="J382" s="221"/>
      <c r="K382" s="221"/>
      <c r="L382" s="221"/>
      <c r="M382" s="221"/>
      <c r="N382" s="221"/>
      <c r="O382" s="223"/>
      <c r="P382" s="223"/>
      <c r="Q382" s="223"/>
      <c r="R382" s="223"/>
      <c r="S382" s="223"/>
      <c r="T382" s="223"/>
      <c r="U382" s="223"/>
      <c r="V382" s="223"/>
      <c r="W382" s="223"/>
      <c r="Y382" s="122" t="s">
        <v>242</v>
      </c>
    </row>
    <row r="383" spans="1:26" ht="7.5" customHeight="1" x14ac:dyDescent="0.25">
      <c r="A383" s="260"/>
      <c r="B383" s="241">
        <f>B345+1</f>
        <v>51</v>
      </c>
      <c r="C383" s="244" t="str">
        <f>IF(AND('Data Dan'!$I$51="1 Dan",'Data Dan'!$N$51="LULUS"),VLOOKUP(B383,'Data Dan'!$A$6:$I$475,3,0),"")</f>
        <v/>
      </c>
      <c r="D383" s="245"/>
      <c r="E383" s="245"/>
      <c r="F383" s="248"/>
      <c r="G383" s="249"/>
      <c r="H383" s="250" t="str">
        <f>_xlfn.IFNA(INDEX('Data Dan'!$I$6:$I$495,MATCH(C383,'Data Dan'!$C$6:$C$495,0)),"")</f>
        <v/>
      </c>
      <c r="I383" s="224" t="str">
        <f>IF(AND(S383&lt;&gt;"",V383&lt;&gt;""),IF(V383&gt;=90,"Excellent",IF(V383&gt;=80,"Very Good",IF(V383&gt;=70,"Good",IF(V383&gt;=60,"Fair","Poor")))),"")</f>
        <v/>
      </c>
      <c r="J383" s="224"/>
      <c r="K383" s="44"/>
      <c r="L383" s="45"/>
      <c r="M383" s="45"/>
      <c r="N383" s="46"/>
      <c r="O383" s="44"/>
      <c r="P383" s="45"/>
      <c r="Q383" s="45"/>
      <c r="R383" s="46"/>
      <c r="S383" s="224"/>
      <c r="T383" s="224"/>
      <c r="U383" s="224"/>
      <c r="V383" s="252"/>
      <c r="W383" s="252"/>
      <c r="Y383" s="214" t="str">
        <f>_xlfn.IFNA(VLOOKUP(C383,'Data Dan'!$C$6:$N$995,12,0),"No Data")</f>
        <v>No Data</v>
      </c>
    </row>
    <row r="384" spans="1:26" ht="12" customHeight="1" x14ac:dyDescent="0.25">
      <c r="A384" s="261"/>
      <c r="B384" s="242"/>
      <c r="C384" s="246"/>
      <c r="D384" s="247"/>
      <c r="E384" s="247"/>
      <c r="F384" s="248"/>
      <c r="G384" s="249"/>
      <c r="H384" s="251"/>
      <c r="I384" s="224"/>
      <c r="J384" s="224"/>
      <c r="K384" s="47"/>
      <c r="L384" s="224" t="str">
        <f>IF(C383&lt;&gt;"","V","")</f>
        <v/>
      </c>
      <c r="M384" s="224"/>
      <c r="N384" s="47"/>
      <c r="O384" s="47"/>
      <c r="P384" s="224" t="str">
        <f>IF(C383&lt;&gt;"","V","")</f>
        <v/>
      </c>
      <c r="Q384" s="224"/>
      <c r="R384" s="47"/>
      <c r="S384" s="224"/>
      <c r="T384" s="224"/>
      <c r="U384" s="224"/>
      <c r="V384" s="252"/>
      <c r="W384" s="252"/>
      <c r="Y384" s="214"/>
    </row>
    <row r="385" spans="1:25" ht="9" customHeight="1" x14ac:dyDescent="0.25">
      <c r="A385" s="261"/>
      <c r="B385" s="242"/>
      <c r="C385" s="225" t="str">
        <f>_xlfn.IFNA(INDEX('Data Dan'!$B$6:$B$501,MATCH(C383,'Data Dan'!$C$6:$C$501,0)),"")</f>
        <v/>
      </c>
      <c r="D385" s="226"/>
      <c r="E385" s="226"/>
      <c r="F385" s="226"/>
      <c r="G385" s="226"/>
      <c r="H385" s="227"/>
      <c r="I385" s="224"/>
      <c r="J385" s="224"/>
      <c r="K385" s="47"/>
      <c r="L385" s="224"/>
      <c r="M385" s="224"/>
      <c r="N385" s="47"/>
      <c r="O385" s="47"/>
      <c r="P385" s="224"/>
      <c r="Q385" s="224"/>
      <c r="R385" s="47"/>
      <c r="S385" s="224"/>
      <c r="T385" s="224"/>
      <c r="U385" s="224"/>
      <c r="V385" s="252"/>
      <c r="W385" s="252"/>
      <c r="Y385" s="214"/>
    </row>
    <row r="386" spans="1:25" ht="9" customHeight="1" x14ac:dyDescent="0.25">
      <c r="A386" s="261"/>
      <c r="B386" s="243"/>
      <c r="C386" s="228"/>
      <c r="D386" s="229"/>
      <c r="E386" s="229"/>
      <c r="F386" s="229"/>
      <c r="G386" s="229"/>
      <c r="H386" s="230"/>
      <c r="I386" s="224"/>
      <c r="J386" s="224"/>
      <c r="K386" s="48"/>
      <c r="L386" s="49"/>
      <c r="M386" s="49"/>
      <c r="N386" s="50"/>
      <c r="O386" s="48"/>
      <c r="P386" s="49"/>
      <c r="Q386" s="49"/>
      <c r="R386" s="50"/>
      <c r="S386" s="224"/>
      <c r="T386" s="224"/>
      <c r="U386" s="224"/>
      <c r="V386" s="252"/>
      <c r="W386" s="252"/>
      <c r="Y386" s="214"/>
    </row>
    <row r="387" spans="1:25" ht="7.5" customHeight="1" x14ac:dyDescent="0.25">
      <c r="B387" s="241">
        <f t="shared" ref="B387:B419" si="54">B383+1</f>
        <v>52</v>
      </c>
      <c r="C387" s="244" t="str">
        <f>IF(AND('Data Dan'!$I$52="1 Dan",'Data Dan'!$N$52="LULUS"),VLOOKUP(B387,'Data Dan'!$A$6:$I$475,3,0),"")</f>
        <v/>
      </c>
      <c r="D387" s="245"/>
      <c r="E387" s="245"/>
      <c r="F387" s="248"/>
      <c r="G387" s="249"/>
      <c r="H387" s="250" t="str">
        <f>_xlfn.IFNA(INDEX('Data Dan'!$I$6:$I$495,MATCH(C387,'Data Dan'!$C$6:$C$495,0)),"")</f>
        <v/>
      </c>
      <c r="I387" s="224" t="str">
        <f>IF(AND(S387&lt;&gt;"",V387&lt;&gt;""),IF(V387&gt;=90,"Excellent",IF(V387&gt;=80,"Very Good",IF(V387&gt;=70,"Good",IF(V387&gt;=60,"Fair","Poor")))),"")</f>
        <v/>
      </c>
      <c r="J387" s="224"/>
      <c r="K387" s="44"/>
      <c r="L387" s="45"/>
      <c r="M387" s="45"/>
      <c r="N387" s="46"/>
      <c r="O387" s="44"/>
      <c r="P387" s="45"/>
      <c r="Q387" s="45"/>
      <c r="R387" s="46"/>
      <c r="S387" s="224"/>
      <c r="T387" s="224"/>
      <c r="U387" s="224"/>
      <c r="V387" s="252"/>
      <c r="W387" s="252"/>
      <c r="Y387" s="214" t="str">
        <f>_xlfn.IFNA(VLOOKUP(C387,'Data Dan'!$C$6:$N$995,12,0),"No Data")</f>
        <v>No Data</v>
      </c>
    </row>
    <row r="388" spans="1:25" ht="12" customHeight="1" x14ac:dyDescent="0.25">
      <c r="B388" s="242"/>
      <c r="C388" s="246"/>
      <c r="D388" s="247"/>
      <c r="E388" s="247"/>
      <c r="F388" s="248"/>
      <c r="G388" s="249"/>
      <c r="H388" s="251"/>
      <c r="I388" s="224"/>
      <c r="J388" s="224"/>
      <c r="K388" s="47"/>
      <c r="L388" s="224" t="str">
        <f>IF(C387&lt;&gt;"","V","")</f>
        <v/>
      </c>
      <c r="M388" s="224"/>
      <c r="N388" s="47"/>
      <c r="O388" s="47"/>
      <c r="P388" s="224" t="str">
        <f>IF(C387&lt;&gt;"","V","")</f>
        <v/>
      </c>
      <c r="Q388" s="224"/>
      <c r="R388" s="47"/>
      <c r="S388" s="224"/>
      <c r="T388" s="224"/>
      <c r="U388" s="224"/>
      <c r="V388" s="252"/>
      <c r="W388" s="252"/>
      <c r="Y388" s="214"/>
    </row>
    <row r="389" spans="1:25" ht="9" customHeight="1" x14ac:dyDescent="0.25">
      <c r="B389" s="242"/>
      <c r="C389" s="225" t="str">
        <f>_xlfn.IFNA(INDEX('Data Dan'!$B$6:$B$501,MATCH(C387,'Data Dan'!$C$6:$C$501,0)),"")</f>
        <v/>
      </c>
      <c r="D389" s="226"/>
      <c r="E389" s="226"/>
      <c r="F389" s="226"/>
      <c r="G389" s="226"/>
      <c r="H389" s="227"/>
      <c r="I389" s="224"/>
      <c r="J389" s="224"/>
      <c r="K389" s="47"/>
      <c r="L389" s="224"/>
      <c r="M389" s="224"/>
      <c r="N389" s="47"/>
      <c r="O389" s="47"/>
      <c r="P389" s="224"/>
      <c r="Q389" s="224"/>
      <c r="R389" s="47"/>
      <c r="S389" s="224"/>
      <c r="T389" s="224"/>
      <c r="U389" s="224"/>
      <c r="V389" s="252"/>
      <c r="W389" s="252"/>
      <c r="Y389" s="214"/>
    </row>
    <row r="390" spans="1:25" ht="9" customHeight="1" x14ac:dyDescent="0.25">
      <c r="B390" s="243"/>
      <c r="C390" s="228"/>
      <c r="D390" s="229"/>
      <c r="E390" s="229"/>
      <c r="F390" s="229"/>
      <c r="G390" s="229"/>
      <c r="H390" s="230"/>
      <c r="I390" s="224"/>
      <c r="J390" s="224"/>
      <c r="K390" s="48"/>
      <c r="L390" s="49"/>
      <c r="M390" s="49"/>
      <c r="N390" s="50"/>
      <c r="O390" s="48"/>
      <c r="P390" s="49"/>
      <c r="Q390" s="49"/>
      <c r="R390" s="50"/>
      <c r="S390" s="224"/>
      <c r="T390" s="224"/>
      <c r="U390" s="224"/>
      <c r="V390" s="252"/>
      <c r="W390" s="252"/>
      <c r="Y390" s="214"/>
    </row>
    <row r="391" spans="1:25" ht="7.5" customHeight="1" x14ac:dyDescent="0.25">
      <c r="B391" s="241">
        <f t="shared" si="54"/>
        <v>53</v>
      </c>
      <c r="C391" s="244" t="str">
        <f>IF(AND('Data Dan'!$I$53="1 Dan",'Data Dan'!$N$53="LULUS"),VLOOKUP(B391,'Data Dan'!$A$6:$I$475,3,0),"")</f>
        <v/>
      </c>
      <c r="D391" s="245"/>
      <c r="E391" s="245"/>
      <c r="F391" s="248"/>
      <c r="G391" s="249"/>
      <c r="H391" s="250" t="str">
        <f>_xlfn.IFNA(INDEX('Data Dan'!$I$6:$I$495,MATCH(C391,'Data Dan'!$C$6:$C$495,0)),"")</f>
        <v/>
      </c>
      <c r="I391" s="224" t="str">
        <f t="shared" ref="I391" si="55">IF(AND(S391&lt;&gt;"",V391&lt;&gt;""),IF(V391&gt;=90,"Excellent",IF(V391&gt;=80,"Very Good",IF(V391&gt;=70,"Good",IF(V391&gt;=60,"Fair","Poor")))),"")</f>
        <v/>
      </c>
      <c r="J391" s="224"/>
      <c r="K391" s="44"/>
      <c r="L391" s="45"/>
      <c r="M391" s="45"/>
      <c r="N391" s="46"/>
      <c r="O391" s="44"/>
      <c r="P391" s="45"/>
      <c r="Q391" s="45"/>
      <c r="R391" s="46"/>
      <c r="S391" s="224"/>
      <c r="T391" s="224"/>
      <c r="U391" s="224"/>
      <c r="V391" s="252"/>
      <c r="W391" s="252"/>
      <c r="Y391" s="214" t="str">
        <f>_xlfn.IFNA(VLOOKUP(C391,'Data Dan'!$C$6:$N$995,12,0),"No Data")</f>
        <v>No Data</v>
      </c>
    </row>
    <row r="392" spans="1:25" ht="12" customHeight="1" x14ac:dyDescent="0.25">
      <c r="B392" s="242"/>
      <c r="C392" s="246"/>
      <c r="D392" s="247"/>
      <c r="E392" s="247"/>
      <c r="F392" s="248"/>
      <c r="G392" s="249"/>
      <c r="H392" s="251"/>
      <c r="I392" s="224"/>
      <c r="J392" s="224"/>
      <c r="K392" s="47"/>
      <c r="L392" s="224" t="str">
        <f>IF(C391&lt;&gt;"","V","")</f>
        <v/>
      </c>
      <c r="M392" s="224"/>
      <c r="N392" s="47"/>
      <c r="O392" s="47"/>
      <c r="P392" s="224" t="str">
        <f>IF(C391&lt;&gt;"","V","")</f>
        <v/>
      </c>
      <c r="Q392" s="224"/>
      <c r="R392" s="47"/>
      <c r="S392" s="224"/>
      <c r="T392" s="224"/>
      <c r="U392" s="224"/>
      <c r="V392" s="252"/>
      <c r="W392" s="252"/>
      <c r="Y392" s="214"/>
    </row>
    <row r="393" spans="1:25" ht="9" customHeight="1" x14ac:dyDescent="0.25">
      <c r="B393" s="242"/>
      <c r="C393" s="225" t="str">
        <f>_xlfn.IFNA(INDEX('Data Dan'!$B$6:$B$501,MATCH(C391,'Data Dan'!$C$6:$C$501,0)),"")</f>
        <v/>
      </c>
      <c r="D393" s="226"/>
      <c r="E393" s="226"/>
      <c r="F393" s="226"/>
      <c r="G393" s="226"/>
      <c r="H393" s="227"/>
      <c r="I393" s="224"/>
      <c r="J393" s="224"/>
      <c r="K393" s="47"/>
      <c r="L393" s="224"/>
      <c r="M393" s="224"/>
      <c r="N393" s="47"/>
      <c r="O393" s="47"/>
      <c r="P393" s="224"/>
      <c r="Q393" s="224"/>
      <c r="R393" s="47"/>
      <c r="S393" s="224"/>
      <c r="T393" s="224"/>
      <c r="U393" s="224"/>
      <c r="V393" s="252"/>
      <c r="W393" s="252"/>
      <c r="Y393" s="214"/>
    </row>
    <row r="394" spans="1:25" ht="9" customHeight="1" x14ac:dyDescent="0.25">
      <c r="B394" s="243"/>
      <c r="C394" s="228"/>
      <c r="D394" s="229"/>
      <c r="E394" s="229"/>
      <c r="F394" s="229"/>
      <c r="G394" s="229"/>
      <c r="H394" s="230"/>
      <c r="I394" s="224"/>
      <c r="J394" s="224"/>
      <c r="K394" s="48"/>
      <c r="L394" s="49"/>
      <c r="M394" s="49"/>
      <c r="N394" s="50"/>
      <c r="O394" s="48"/>
      <c r="P394" s="49"/>
      <c r="Q394" s="49"/>
      <c r="R394" s="50"/>
      <c r="S394" s="224"/>
      <c r="T394" s="224"/>
      <c r="U394" s="224"/>
      <c r="V394" s="252"/>
      <c r="W394" s="252"/>
      <c r="Y394" s="214"/>
    </row>
    <row r="395" spans="1:25" ht="7.5" customHeight="1" x14ac:dyDescent="0.25">
      <c r="B395" s="241">
        <f t="shared" si="54"/>
        <v>54</v>
      </c>
      <c r="C395" s="244" t="str">
        <f>IF(AND('Data Dan'!$I$54="1 Dan",'Data Dan'!$N$54="LULUS"),VLOOKUP(B395,'Data Dan'!$A$6:$I$475,3,0),"")</f>
        <v/>
      </c>
      <c r="D395" s="245"/>
      <c r="E395" s="245"/>
      <c r="F395" s="248"/>
      <c r="G395" s="249"/>
      <c r="H395" s="250" t="str">
        <f>_xlfn.IFNA(INDEX('Data Dan'!$I$6:$I$495,MATCH(C395,'Data Dan'!$C$6:$C$495,0)),"")</f>
        <v/>
      </c>
      <c r="I395" s="224" t="str">
        <f t="shared" ref="I395" si="56">IF(AND(S395&lt;&gt;"",V395&lt;&gt;""),IF(V395&gt;=90,"Excellent",IF(V395&gt;=80,"Very Good",IF(V395&gt;=70,"Good",IF(V395&gt;=60,"Fair","Poor")))),"")</f>
        <v/>
      </c>
      <c r="J395" s="224"/>
      <c r="K395" s="44"/>
      <c r="L395" s="45"/>
      <c r="M395" s="45"/>
      <c r="N395" s="46"/>
      <c r="O395" s="44"/>
      <c r="P395" s="45"/>
      <c r="Q395" s="45"/>
      <c r="R395" s="46"/>
      <c r="S395" s="224"/>
      <c r="T395" s="224"/>
      <c r="U395" s="224"/>
      <c r="V395" s="252"/>
      <c r="W395" s="252"/>
      <c r="Y395" s="214" t="str">
        <f>_xlfn.IFNA(VLOOKUP(C395,'Data Dan'!$C$6:$N$995,12,0),"No Data")</f>
        <v>No Data</v>
      </c>
    </row>
    <row r="396" spans="1:25" ht="12" customHeight="1" x14ac:dyDescent="0.25">
      <c r="B396" s="242"/>
      <c r="C396" s="246"/>
      <c r="D396" s="247"/>
      <c r="E396" s="247"/>
      <c r="F396" s="248"/>
      <c r="G396" s="249"/>
      <c r="H396" s="251"/>
      <c r="I396" s="224"/>
      <c r="J396" s="224"/>
      <c r="K396" s="47"/>
      <c r="L396" s="224" t="str">
        <f>IF(C395&lt;&gt;"","V","")</f>
        <v/>
      </c>
      <c r="M396" s="224"/>
      <c r="N396" s="47"/>
      <c r="O396" s="47"/>
      <c r="P396" s="224" t="str">
        <f>IF(C395&lt;&gt;"","V","")</f>
        <v/>
      </c>
      <c r="Q396" s="224"/>
      <c r="R396" s="47"/>
      <c r="S396" s="224"/>
      <c r="T396" s="224"/>
      <c r="U396" s="224"/>
      <c r="V396" s="252"/>
      <c r="W396" s="252"/>
      <c r="Y396" s="214"/>
    </row>
    <row r="397" spans="1:25" ht="9" customHeight="1" x14ac:dyDescent="0.25">
      <c r="B397" s="242"/>
      <c r="C397" s="225" t="str">
        <f>_xlfn.IFNA(INDEX('Data Dan'!$B$6:$B$501,MATCH(C395,'Data Dan'!$C$6:$C$501,0)),"")</f>
        <v/>
      </c>
      <c r="D397" s="226"/>
      <c r="E397" s="226"/>
      <c r="F397" s="226"/>
      <c r="G397" s="226"/>
      <c r="H397" s="227"/>
      <c r="I397" s="224"/>
      <c r="J397" s="224"/>
      <c r="K397" s="47"/>
      <c r="L397" s="224"/>
      <c r="M397" s="224"/>
      <c r="N397" s="47"/>
      <c r="O397" s="47"/>
      <c r="P397" s="224"/>
      <c r="Q397" s="224"/>
      <c r="R397" s="47"/>
      <c r="S397" s="224"/>
      <c r="T397" s="224"/>
      <c r="U397" s="224"/>
      <c r="V397" s="252"/>
      <c r="W397" s="252"/>
      <c r="Y397" s="214"/>
    </row>
    <row r="398" spans="1:25" ht="9" customHeight="1" x14ac:dyDescent="0.25">
      <c r="B398" s="243"/>
      <c r="C398" s="228"/>
      <c r="D398" s="229"/>
      <c r="E398" s="229"/>
      <c r="F398" s="229"/>
      <c r="G398" s="229"/>
      <c r="H398" s="230"/>
      <c r="I398" s="224"/>
      <c r="J398" s="224"/>
      <c r="K398" s="48"/>
      <c r="L398" s="49"/>
      <c r="M398" s="49"/>
      <c r="N398" s="50"/>
      <c r="O398" s="48"/>
      <c r="P398" s="49"/>
      <c r="Q398" s="49"/>
      <c r="R398" s="50"/>
      <c r="S398" s="224"/>
      <c r="T398" s="224"/>
      <c r="U398" s="224"/>
      <c r="V398" s="252"/>
      <c r="W398" s="252"/>
      <c r="Y398" s="214"/>
    </row>
    <row r="399" spans="1:25" ht="7.5" customHeight="1" x14ac:dyDescent="0.25">
      <c r="B399" s="241">
        <f t="shared" si="54"/>
        <v>55</v>
      </c>
      <c r="C399" s="244" t="str">
        <f>IF(AND('Data Dan'!$I$55="1 Dan",'Data Dan'!$N$55="LULUS"),VLOOKUP(B399,'Data Dan'!$A$6:$I$475,3,0),"")</f>
        <v/>
      </c>
      <c r="D399" s="245"/>
      <c r="E399" s="245"/>
      <c r="F399" s="248"/>
      <c r="G399" s="249"/>
      <c r="H399" s="250" t="str">
        <f>_xlfn.IFNA(INDEX('Data Dan'!$I$6:$I$495,MATCH(C399,'Data Dan'!$C$6:$C$495,0)),"")</f>
        <v/>
      </c>
      <c r="I399" s="224" t="str">
        <f t="shared" ref="I399" si="57">IF(AND(S399&lt;&gt;"",V399&lt;&gt;""),IF(V399&gt;=90,"Excellent",IF(V399&gt;=80,"Very Good",IF(V399&gt;=70,"Good",IF(V399&gt;=60,"Fair","Poor")))),"")</f>
        <v/>
      </c>
      <c r="J399" s="224"/>
      <c r="K399" s="44"/>
      <c r="L399" s="45"/>
      <c r="M399" s="45"/>
      <c r="N399" s="46"/>
      <c r="O399" s="44"/>
      <c r="P399" s="45"/>
      <c r="Q399" s="45"/>
      <c r="R399" s="46"/>
      <c r="S399" s="224"/>
      <c r="T399" s="224"/>
      <c r="U399" s="224"/>
      <c r="V399" s="252"/>
      <c r="W399" s="252"/>
      <c r="Y399" s="214" t="str">
        <f>_xlfn.IFNA(VLOOKUP(C399,'Data Dan'!$C$6:$N$995,12,0),"No Data")</f>
        <v>No Data</v>
      </c>
    </row>
    <row r="400" spans="1:25" ht="12" customHeight="1" x14ac:dyDescent="0.25">
      <c r="B400" s="242"/>
      <c r="C400" s="246"/>
      <c r="D400" s="247"/>
      <c r="E400" s="247"/>
      <c r="F400" s="248"/>
      <c r="G400" s="249"/>
      <c r="H400" s="251"/>
      <c r="I400" s="224"/>
      <c r="J400" s="224"/>
      <c r="K400" s="47"/>
      <c r="L400" s="224" t="str">
        <f>IF(C399&lt;&gt;"","V","")</f>
        <v/>
      </c>
      <c r="M400" s="224"/>
      <c r="N400" s="47"/>
      <c r="O400" s="47"/>
      <c r="P400" s="224" t="str">
        <f>IF(C399&lt;&gt;"","V","")</f>
        <v/>
      </c>
      <c r="Q400" s="224"/>
      <c r="R400" s="47"/>
      <c r="S400" s="224"/>
      <c r="T400" s="224"/>
      <c r="U400" s="224"/>
      <c r="V400" s="252"/>
      <c r="W400" s="252"/>
      <c r="Y400" s="214"/>
    </row>
    <row r="401" spans="2:25" ht="9" customHeight="1" x14ac:dyDescent="0.25">
      <c r="B401" s="242"/>
      <c r="C401" s="225" t="str">
        <f>_xlfn.IFNA(INDEX('Data Dan'!$B$6:$B$501,MATCH(C399,'Data Dan'!$C$6:$C$501,0)),"")</f>
        <v/>
      </c>
      <c r="D401" s="226"/>
      <c r="E401" s="226"/>
      <c r="F401" s="226"/>
      <c r="G401" s="226"/>
      <c r="H401" s="227"/>
      <c r="I401" s="224"/>
      <c r="J401" s="224"/>
      <c r="K401" s="47"/>
      <c r="L401" s="224"/>
      <c r="M401" s="224"/>
      <c r="N401" s="47"/>
      <c r="O401" s="47"/>
      <c r="P401" s="224"/>
      <c r="Q401" s="224"/>
      <c r="R401" s="47"/>
      <c r="S401" s="224"/>
      <c r="T401" s="224"/>
      <c r="U401" s="224"/>
      <c r="V401" s="252"/>
      <c r="W401" s="252"/>
      <c r="Y401" s="214"/>
    </row>
    <row r="402" spans="2:25" ht="9" customHeight="1" x14ac:dyDescent="0.25">
      <c r="B402" s="243"/>
      <c r="C402" s="228"/>
      <c r="D402" s="229"/>
      <c r="E402" s="229"/>
      <c r="F402" s="229"/>
      <c r="G402" s="229"/>
      <c r="H402" s="230"/>
      <c r="I402" s="224"/>
      <c r="J402" s="224"/>
      <c r="K402" s="48"/>
      <c r="L402" s="49"/>
      <c r="M402" s="49"/>
      <c r="N402" s="50"/>
      <c r="O402" s="48"/>
      <c r="P402" s="49"/>
      <c r="Q402" s="49"/>
      <c r="R402" s="50"/>
      <c r="S402" s="224"/>
      <c r="T402" s="224"/>
      <c r="U402" s="224"/>
      <c r="V402" s="252"/>
      <c r="W402" s="252"/>
      <c r="Y402" s="214"/>
    </row>
    <row r="403" spans="2:25" ht="7.5" customHeight="1" x14ac:dyDescent="0.25">
      <c r="B403" s="241">
        <f t="shared" si="54"/>
        <v>56</v>
      </c>
      <c r="C403" s="244" t="str">
        <f>IF(AND('Data Dan'!$I$56="1 Dan",'Data Dan'!$N$56="LULUS"),VLOOKUP(B403,'Data Dan'!$A$6:$I$475,3,0),"")</f>
        <v/>
      </c>
      <c r="D403" s="245"/>
      <c r="E403" s="245"/>
      <c r="F403" s="248"/>
      <c r="G403" s="249"/>
      <c r="H403" s="250" t="str">
        <f>_xlfn.IFNA(INDEX('Data Dan'!$I$6:$I$495,MATCH(C403,'Data Dan'!$C$6:$C$495,0)),"")</f>
        <v/>
      </c>
      <c r="I403" s="224" t="str">
        <f t="shared" ref="I403" si="58">IF(AND(S403&lt;&gt;"",V403&lt;&gt;""),IF(V403&gt;=90,"Excellent",IF(V403&gt;=80,"Very Good",IF(V403&gt;=70,"Good",IF(V403&gt;=60,"Fair","Poor")))),"")</f>
        <v/>
      </c>
      <c r="J403" s="224"/>
      <c r="K403" s="44"/>
      <c r="L403" s="45"/>
      <c r="M403" s="45"/>
      <c r="N403" s="46"/>
      <c r="O403" s="44"/>
      <c r="P403" s="45"/>
      <c r="Q403" s="45"/>
      <c r="R403" s="46"/>
      <c r="S403" s="224"/>
      <c r="T403" s="224"/>
      <c r="U403" s="224"/>
      <c r="V403" s="252"/>
      <c r="W403" s="252"/>
      <c r="Y403" s="214" t="str">
        <f>_xlfn.IFNA(VLOOKUP(C403,'Data Dan'!$C$6:$N$995,12,0),"No Data")</f>
        <v>No Data</v>
      </c>
    </row>
    <row r="404" spans="2:25" ht="12" customHeight="1" x14ac:dyDescent="0.25">
      <c r="B404" s="242"/>
      <c r="C404" s="246"/>
      <c r="D404" s="247"/>
      <c r="E404" s="247"/>
      <c r="F404" s="248"/>
      <c r="G404" s="249"/>
      <c r="H404" s="251"/>
      <c r="I404" s="224"/>
      <c r="J404" s="224"/>
      <c r="K404" s="47"/>
      <c r="L404" s="224" t="str">
        <f>IF(C403&lt;&gt;"","V","")</f>
        <v/>
      </c>
      <c r="M404" s="224"/>
      <c r="N404" s="47"/>
      <c r="O404" s="47"/>
      <c r="P404" s="224" t="str">
        <f>IF(C403&lt;&gt;"","V","")</f>
        <v/>
      </c>
      <c r="Q404" s="224"/>
      <c r="R404" s="47"/>
      <c r="S404" s="224"/>
      <c r="T404" s="224"/>
      <c r="U404" s="224"/>
      <c r="V404" s="252"/>
      <c r="W404" s="252"/>
      <c r="Y404" s="214"/>
    </row>
    <row r="405" spans="2:25" ht="9" customHeight="1" x14ac:dyDescent="0.25">
      <c r="B405" s="242"/>
      <c r="C405" s="225" t="str">
        <f>_xlfn.IFNA(INDEX('Data Dan'!$B$6:$B$501,MATCH(C403,'Data Dan'!$C$6:$C$501,0)),"")</f>
        <v/>
      </c>
      <c r="D405" s="226"/>
      <c r="E405" s="226"/>
      <c r="F405" s="226"/>
      <c r="G405" s="226"/>
      <c r="H405" s="227"/>
      <c r="I405" s="224"/>
      <c r="J405" s="224"/>
      <c r="K405" s="47"/>
      <c r="L405" s="224"/>
      <c r="M405" s="224"/>
      <c r="N405" s="47"/>
      <c r="O405" s="47"/>
      <c r="P405" s="224"/>
      <c r="Q405" s="224"/>
      <c r="R405" s="47"/>
      <c r="S405" s="224"/>
      <c r="T405" s="224"/>
      <c r="U405" s="224"/>
      <c r="V405" s="252"/>
      <c r="W405" s="252"/>
      <c r="Y405" s="214"/>
    </row>
    <row r="406" spans="2:25" ht="9" customHeight="1" x14ac:dyDescent="0.25">
      <c r="B406" s="243"/>
      <c r="C406" s="228"/>
      <c r="D406" s="229"/>
      <c r="E406" s="229"/>
      <c r="F406" s="229"/>
      <c r="G406" s="229"/>
      <c r="H406" s="230"/>
      <c r="I406" s="224"/>
      <c r="J406" s="224"/>
      <c r="K406" s="48"/>
      <c r="L406" s="49"/>
      <c r="M406" s="49"/>
      <c r="N406" s="50"/>
      <c r="O406" s="48"/>
      <c r="P406" s="49"/>
      <c r="Q406" s="49"/>
      <c r="R406" s="50"/>
      <c r="S406" s="224"/>
      <c r="T406" s="224"/>
      <c r="U406" s="224"/>
      <c r="V406" s="252"/>
      <c r="W406" s="252"/>
      <c r="Y406" s="214"/>
    </row>
    <row r="407" spans="2:25" ht="7.5" customHeight="1" x14ac:dyDescent="0.25">
      <c r="B407" s="241">
        <f t="shared" si="54"/>
        <v>57</v>
      </c>
      <c r="C407" s="244" t="str">
        <f>IF(AND('Data Dan'!$I$57="1 Dan",'Data Dan'!$N$57="LULUS"),VLOOKUP(B407,'Data Dan'!$A$6:$I$475,3,0),"")</f>
        <v/>
      </c>
      <c r="D407" s="245"/>
      <c r="E407" s="245"/>
      <c r="F407" s="248"/>
      <c r="G407" s="249"/>
      <c r="H407" s="250" t="str">
        <f>_xlfn.IFNA(INDEX('Data Dan'!$I$6:$I$495,MATCH(C407,'Data Dan'!$C$6:$C$495,0)),"")</f>
        <v/>
      </c>
      <c r="I407" s="224" t="str">
        <f t="shared" ref="I407" si="59">IF(AND(S407&lt;&gt;"",V407&lt;&gt;""),IF(V407&gt;=90,"Excellent",IF(V407&gt;=80,"Very Good",IF(V407&gt;=70,"Good",IF(V407&gt;=60,"Fair","Poor")))),"")</f>
        <v/>
      </c>
      <c r="J407" s="224"/>
      <c r="K407" s="44"/>
      <c r="L407" s="45"/>
      <c r="M407" s="45"/>
      <c r="N407" s="46"/>
      <c r="O407" s="44"/>
      <c r="P407" s="45"/>
      <c r="Q407" s="45"/>
      <c r="R407" s="46"/>
      <c r="S407" s="224"/>
      <c r="T407" s="224"/>
      <c r="U407" s="224"/>
      <c r="V407" s="252"/>
      <c r="W407" s="252"/>
      <c r="Y407" s="214" t="str">
        <f>_xlfn.IFNA(VLOOKUP(C407,'Data Dan'!$C$6:$N$995,12,0),"No Data")</f>
        <v>No Data</v>
      </c>
    </row>
    <row r="408" spans="2:25" ht="12" customHeight="1" x14ac:dyDescent="0.25">
      <c r="B408" s="242"/>
      <c r="C408" s="246"/>
      <c r="D408" s="247"/>
      <c r="E408" s="247"/>
      <c r="F408" s="248"/>
      <c r="G408" s="249"/>
      <c r="H408" s="251"/>
      <c r="I408" s="224"/>
      <c r="J408" s="224"/>
      <c r="K408" s="47"/>
      <c r="L408" s="224" t="str">
        <f>IF(C407&lt;&gt;"","V","")</f>
        <v/>
      </c>
      <c r="M408" s="224"/>
      <c r="N408" s="47"/>
      <c r="O408" s="47"/>
      <c r="P408" s="224" t="str">
        <f>IF(C407&lt;&gt;"","V","")</f>
        <v/>
      </c>
      <c r="Q408" s="224"/>
      <c r="R408" s="47"/>
      <c r="S408" s="224"/>
      <c r="T408" s="224"/>
      <c r="U408" s="224"/>
      <c r="V408" s="252"/>
      <c r="W408" s="252"/>
      <c r="Y408" s="214"/>
    </row>
    <row r="409" spans="2:25" ht="9" customHeight="1" x14ac:dyDescent="0.25">
      <c r="B409" s="242"/>
      <c r="C409" s="225" t="str">
        <f>_xlfn.IFNA(INDEX('Data Dan'!$B$6:$B$501,MATCH(C407,'Data Dan'!$C$6:$C$501,0)),"")</f>
        <v/>
      </c>
      <c r="D409" s="226"/>
      <c r="E409" s="226"/>
      <c r="F409" s="226"/>
      <c r="G409" s="226"/>
      <c r="H409" s="227"/>
      <c r="I409" s="224"/>
      <c r="J409" s="224"/>
      <c r="K409" s="47"/>
      <c r="L409" s="224"/>
      <c r="M409" s="224"/>
      <c r="N409" s="47"/>
      <c r="O409" s="47"/>
      <c r="P409" s="224"/>
      <c r="Q409" s="224"/>
      <c r="R409" s="47"/>
      <c r="S409" s="224"/>
      <c r="T409" s="224"/>
      <c r="U409" s="224"/>
      <c r="V409" s="252"/>
      <c r="W409" s="252"/>
      <c r="Y409" s="214"/>
    </row>
    <row r="410" spans="2:25" ht="9" customHeight="1" x14ac:dyDescent="0.25">
      <c r="B410" s="243"/>
      <c r="C410" s="228"/>
      <c r="D410" s="229"/>
      <c r="E410" s="229"/>
      <c r="F410" s="229"/>
      <c r="G410" s="229"/>
      <c r="H410" s="230"/>
      <c r="I410" s="224"/>
      <c r="J410" s="224"/>
      <c r="K410" s="48"/>
      <c r="L410" s="49"/>
      <c r="M410" s="49"/>
      <c r="N410" s="50"/>
      <c r="O410" s="48"/>
      <c r="P410" s="49"/>
      <c r="Q410" s="49"/>
      <c r="R410" s="50"/>
      <c r="S410" s="224"/>
      <c r="T410" s="224"/>
      <c r="U410" s="224"/>
      <c r="V410" s="252"/>
      <c r="W410" s="252"/>
      <c r="Y410" s="214"/>
    </row>
    <row r="411" spans="2:25" ht="7.5" customHeight="1" x14ac:dyDescent="0.25">
      <c r="B411" s="241">
        <f t="shared" si="54"/>
        <v>58</v>
      </c>
      <c r="C411" s="244" t="str">
        <f>IF(AND('Data Dan'!$I$58="1 Dan",'Data Dan'!$N$58="LULUS"),VLOOKUP(B411,'Data Dan'!$A$6:$I$475,3,0),"")</f>
        <v/>
      </c>
      <c r="D411" s="245"/>
      <c r="E411" s="245"/>
      <c r="F411" s="248"/>
      <c r="G411" s="249"/>
      <c r="H411" s="250" t="str">
        <f>_xlfn.IFNA(INDEX('Data Dan'!$I$6:$I$495,MATCH(C411,'Data Dan'!$C$6:$C$495,0)),"")</f>
        <v/>
      </c>
      <c r="I411" s="224" t="str">
        <f t="shared" ref="I411" si="60">IF(AND(S411&lt;&gt;"",V411&lt;&gt;""),IF(V411&gt;=90,"Excellent",IF(V411&gt;=80,"Very Good",IF(V411&gt;=70,"Good",IF(V411&gt;=60,"Fair","Poor")))),"")</f>
        <v/>
      </c>
      <c r="J411" s="224"/>
      <c r="K411" s="44"/>
      <c r="L411" s="45"/>
      <c r="M411" s="45"/>
      <c r="N411" s="46"/>
      <c r="O411" s="44"/>
      <c r="P411" s="45"/>
      <c r="Q411" s="45"/>
      <c r="R411" s="46"/>
      <c r="S411" s="224"/>
      <c r="T411" s="224"/>
      <c r="U411" s="224"/>
      <c r="V411" s="252"/>
      <c r="W411" s="252"/>
      <c r="Y411" s="214" t="str">
        <f>_xlfn.IFNA(VLOOKUP(C411,'Data Dan'!$C$6:$N$995,12,0),"No Data")</f>
        <v>No Data</v>
      </c>
    </row>
    <row r="412" spans="2:25" ht="12" customHeight="1" x14ac:dyDescent="0.25">
      <c r="B412" s="242"/>
      <c r="C412" s="246"/>
      <c r="D412" s="247"/>
      <c r="E412" s="247"/>
      <c r="F412" s="248"/>
      <c r="G412" s="249"/>
      <c r="H412" s="251"/>
      <c r="I412" s="224"/>
      <c r="J412" s="224"/>
      <c r="K412" s="47"/>
      <c r="L412" s="224" t="str">
        <f>IF(C411&lt;&gt;"","V","")</f>
        <v/>
      </c>
      <c r="M412" s="224"/>
      <c r="N412" s="47"/>
      <c r="O412" s="47"/>
      <c r="P412" s="224" t="str">
        <f>IF(C411&lt;&gt;"","V","")</f>
        <v/>
      </c>
      <c r="Q412" s="224"/>
      <c r="R412" s="47"/>
      <c r="S412" s="224"/>
      <c r="T412" s="224"/>
      <c r="U412" s="224"/>
      <c r="V412" s="252"/>
      <c r="W412" s="252"/>
      <c r="Y412" s="214"/>
    </row>
    <row r="413" spans="2:25" ht="9" customHeight="1" x14ac:dyDescent="0.25">
      <c r="B413" s="242"/>
      <c r="C413" s="225" t="str">
        <f>_xlfn.IFNA(INDEX('Data Dan'!$B$6:$B$501,MATCH(C411,'Data Dan'!$C$6:$C$501,0)),"")</f>
        <v/>
      </c>
      <c r="D413" s="226"/>
      <c r="E413" s="226"/>
      <c r="F413" s="226"/>
      <c r="G413" s="226"/>
      <c r="H413" s="227"/>
      <c r="I413" s="224"/>
      <c r="J413" s="224"/>
      <c r="K413" s="47"/>
      <c r="L413" s="224"/>
      <c r="M413" s="224"/>
      <c r="N413" s="47"/>
      <c r="O413" s="47"/>
      <c r="P413" s="224"/>
      <c r="Q413" s="224"/>
      <c r="R413" s="47"/>
      <c r="S413" s="224"/>
      <c r="T413" s="224"/>
      <c r="U413" s="224"/>
      <c r="V413" s="252"/>
      <c r="W413" s="252"/>
      <c r="Y413" s="214"/>
    </row>
    <row r="414" spans="2:25" ht="9" customHeight="1" x14ac:dyDescent="0.25">
      <c r="B414" s="243"/>
      <c r="C414" s="228"/>
      <c r="D414" s="229"/>
      <c r="E414" s="229"/>
      <c r="F414" s="229"/>
      <c r="G414" s="229"/>
      <c r="H414" s="230"/>
      <c r="I414" s="224"/>
      <c r="J414" s="224"/>
      <c r="K414" s="48"/>
      <c r="L414" s="49"/>
      <c r="M414" s="49"/>
      <c r="N414" s="50"/>
      <c r="O414" s="48"/>
      <c r="P414" s="49"/>
      <c r="Q414" s="49"/>
      <c r="R414" s="50"/>
      <c r="S414" s="224"/>
      <c r="T414" s="224"/>
      <c r="U414" s="224"/>
      <c r="V414" s="252"/>
      <c r="W414" s="252"/>
      <c r="Y414" s="214"/>
    </row>
    <row r="415" spans="2:25" ht="7.5" customHeight="1" x14ac:dyDescent="0.25">
      <c r="B415" s="241">
        <f t="shared" si="54"/>
        <v>59</v>
      </c>
      <c r="C415" s="244" t="str">
        <f>IF(AND('Data Dan'!$I$59="1 Dan",'Data Dan'!$N$59="LULUS"),VLOOKUP(B415,'Data Dan'!$A$6:$I$475,3,0),"")</f>
        <v/>
      </c>
      <c r="D415" s="245"/>
      <c r="E415" s="245"/>
      <c r="F415" s="248"/>
      <c r="G415" s="249"/>
      <c r="H415" s="250" t="str">
        <f>_xlfn.IFNA(INDEX('Data Dan'!$I$6:$I$495,MATCH(C415,'Data Dan'!$C$6:$C$495,0)),"")</f>
        <v/>
      </c>
      <c r="I415" s="224" t="str">
        <f t="shared" ref="I415" si="61">IF(AND(S415&lt;&gt;"",V415&lt;&gt;""),IF(V415&gt;=90,"Excellent",IF(V415&gt;=80,"Very Good",IF(V415&gt;=70,"Good",IF(V415&gt;=60,"Fair","Poor")))),"")</f>
        <v/>
      </c>
      <c r="J415" s="224"/>
      <c r="K415" s="44"/>
      <c r="L415" s="45"/>
      <c r="M415" s="45"/>
      <c r="N415" s="46"/>
      <c r="O415" s="44"/>
      <c r="P415" s="45"/>
      <c r="Q415" s="45"/>
      <c r="R415" s="46"/>
      <c r="S415" s="224"/>
      <c r="T415" s="224"/>
      <c r="U415" s="224"/>
      <c r="V415" s="252"/>
      <c r="W415" s="252"/>
      <c r="Y415" s="214" t="str">
        <f>_xlfn.IFNA(VLOOKUP(C415,'Data Dan'!$C$6:$N$995,12,0),"No Data")</f>
        <v>No Data</v>
      </c>
    </row>
    <row r="416" spans="2:25" ht="12" customHeight="1" x14ac:dyDescent="0.25">
      <c r="B416" s="242"/>
      <c r="C416" s="246"/>
      <c r="D416" s="247"/>
      <c r="E416" s="247"/>
      <c r="F416" s="248"/>
      <c r="G416" s="249"/>
      <c r="H416" s="251"/>
      <c r="I416" s="224"/>
      <c r="J416" s="224"/>
      <c r="K416" s="47"/>
      <c r="L416" s="224" t="str">
        <f>IF(C415&lt;&gt;"","V","")</f>
        <v/>
      </c>
      <c r="M416" s="224"/>
      <c r="N416" s="47"/>
      <c r="O416" s="47"/>
      <c r="P416" s="224" t="str">
        <f>IF(C415&lt;&gt;"","V","")</f>
        <v/>
      </c>
      <c r="Q416" s="224"/>
      <c r="R416" s="47"/>
      <c r="S416" s="224"/>
      <c r="T416" s="224"/>
      <c r="U416" s="224"/>
      <c r="V416" s="252"/>
      <c r="W416" s="252"/>
      <c r="Y416" s="214"/>
    </row>
    <row r="417" spans="2:25" ht="9" customHeight="1" x14ac:dyDescent="0.25">
      <c r="B417" s="242"/>
      <c r="C417" s="225" t="str">
        <f>_xlfn.IFNA(INDEX('Data Dan'!$B$6:$B$501,MATCH(C415,'Data Dan'!$C$6:$C$501,0)),"")</f>
        <v/>
      </c>
      <c r="D417" s="226"/>
      <c r="E417" s="226"/>
      <c r="F417" s="226"/>
      <c r="G417" s="226"/>
      <c r="H417" s="227"/>
      <c r="I417" s="224"/>
      <c r="J417" s="224"/>
      <c r="K417" s="47"/>
      <c r="L417" s="224"/>
      <c r="M417" s="224"/>
      <c r="N417" s="47"/>
      <c r="O417" s="47"/>
      <c r="P417" s="224"/>
      <c r="Q417" s="224"/>
      <c r="R417" s="47"/>
      <c r="S417" s="224"/>
      <c r="T417" s="224"/>
      <c r="U417" s="224"/>
      <c r="V417" s="252"/>
      <c r="W417" s="252"/>
      <c r="Y417" s="214"/>
    </row>
    <row r="418" spans="2:25" ht="9" customHeight="1" x14ac:dyDescent="0.25">
      <c r="B418" s="243"/>
      <c r="C418" s="228"/>
      <c r="D418" s="229"/>
      <c r="E418" s="229"/>
      <c r="F418" s="229"/>
      <c r="G418" s="229"/>
      <c r="H418" s="230"/>
      <c r="I418" s="224"/>
      <c r="J418" s="224"/>
      <c r="K418" s="48"/>
      <c r="L418" s="49"/>
      <c r="M418" s="49"/>
      <c r="N418" s="50"/>
      <c r="O418" s="48"/>
      <c r="P418" s="49"/>
      <c r="Q418" s="49"/>
      <c r="R418" s="50"/>
      <c r="S418" s="224"/>
      <c r="T418" s="224"/>
      <c r="U418" s="224"/>
      <c r="V418" s="252"/>
      <c r="W418" s="252"/>
      <c r="Y418" s="214"/>
    </row>
    <row r="419" spans="2:25" ht="7.5" customHeight="1" x14ac:dyDescent="0.25">
      <c r="B419" s="241">
        <f t="shared" si="54"/>
        <v>60</v>
      </c>
      <c r="C419" s="244" t="str">
        <f>IF(AND('Data Dan'!$I$60="1 Dan",'Data Dan'!$N$60="LULUS"),VLOOKUP(B419,'Data Dan'!$A$6:$I$475,3,0),"")</f>
        <v/>
      </c>
      <c r="D419" s="245"/>
      <c r="E419" s="245"/>
      <c r="F419" s="248"/>
      <c r="G419" s="249"/>
      <c r="H419" s="250" t="str">
        <f>_xlfn.IFNA(INDEX('Data Dan'!$I$6:$I$495,MATCH(C419,'Data Dan'!$C$6:$C$495,0)),"")</f>
        <v/>
      </c>
      <c r="I419" s="224" t="str">
        <f t="shared" ref="I419" si="62">IF(AND(S419&lt;&gt;"",V419&lt;&gt;""),IF(V419&gt;=90,"Excellent",IF(V419&gt;=80,"Very Good",IF(V419&gt;=70,"Good",IF(V419&gt;=60,"Fair","Poor")))),"")</f>
        <v/>
      </c>
      <c r="J419" s="224"/>
      <c r="K419" s="44"/>
      <c r="L419" s="45"/>
      <c r="M419" s="45"/>
      <c r="N419" s="46"/>
      <c r="O419" s="44"/>
      <c r="P419" s="45"/>
      <c r="Q419" s="45"/>
      <c r="R419" s="46"/>
      <c r="S419" s="224"/>
      <c r="T419" s="224"/>
      <c r="U419" s="224"/>
      <c r="V419" s="252"/>
      <c r="W419" s="252"/>
      <c r="Y419" s="214" t="str">
        <f>_xlfn.IFNA(VLOOKUP(C419,'Data Dan'!$C$6:$N$995,12,0),"No Data")</f>
        <v>No Data</v>
      </c>
    </row>
    <row r="420" spans="2:25" ht="12" customHeight="1" x14ac:dyDescent="0.25">
      <c r="B420" s="242"/>
      <c r="C420" s="246"/>
      <c r="D420" s="247"/>
      <c r="E420" s="247"/>
      <c r="F420" s="248"/>
      <c r="G420" s="249"/>
      <c r="H420" s="251"/>
      <c r="I420" s="224"/>
      <c r="J420" s="224"/>
      <c r="K420" s="47"/>
      <c r="L420" s="224" t="str">
        <f>IF(C419&lt;&gt;"","V","")</f>
        <v/>
      </c>
      <c r="M420" s="224"/>
      <c r="N420" s="47"/>
      <c r="O420" s="47"/>
      <c r="P420" s="224" t="str">
        <f>IF(C419&lt;&gt;"","V","")</f>
        <v/>
      </c>
      <c r="Q420" s="224"/>
      <c r="R420" s="47"/>
      <c r="S420" s="224"/>
      <c r="T420" s="224"/>
      <c r="U420" s="224"/>
      <c r="V420" s="252"/>
      <c r="W420" s="252"/>
      <c r="Y420" s="214"/>
    </row>
    <row r="421" spans="2:25" ht="9" customHeight="1" x14ac:dyDescent="0.25">
      <c r="B421" s="242"/>
      <c r="C421" s="225" t="str">
        <f>_xlfn.IFNA(INDEX('Data Dan'!$B$6:$B$501,MATCH(C419,'Data Dan'!$C$6:$C$501,0)),"")</f>
        <v/>
      </c>
      <c r="D421" s="226"/>
      <c r="E421" s="226"/>
      <c r="F421" s="226"/>
      <c r="G421" s="226"/>
      <c r="H421" s="227"/>
      <c r="I421" s="224"/>
      <c r="J421" s="224"/>
      <c r="K421" s="47"/>
      <c r="L421" s="224"/>
      <c r="M421" s="224"/>
      <c r="N421" s="47"/>
      <c r="O421" s="47"/>
      <c r="P421" s="224"/>
      <c r="Q421" s="224"/>
      <c r="R421" s="47"/>
      <c r="S421" s="224"/>
      <c r="T421" s="224"/>
      <c r="U421" s="224"/>
      <c r="V421" s="252"/>
      <c r="W421" s="252"/>
      <c r="Y421" s="214"/>
    </row>
    <row r="422" spans="2:25" ht="9" customHeight="1" x14ac:dyDescent="0.25">
      <c r="B422" s="243"/>
      <c r="C422" s="228"/>
      <c r="D422" s="229"/>
      <c r="E422" s="229"/>
      <c r="F422" s="229"/>
      <c r="G422" s="229"/>
      <c r="H422" s="230"/>
      <c r="I422" s="224"/>
      <c r="J422" s="224"/>
      <c r="K422" s="48"/>
      <c r="L422" s="49"/>
      <c r="M422" s="49"/>
      <c r="N422" s="50"/>
      <c r="O422" s="48"/>
      <c r="P422" s="49"/>
      <c r="Q422" s="49"/>
      <c r="R422" s="50"/>
      <c r="S422" s="224"/>
      <c r="T422" s="224"/>
      <c r="U422" s="224"/>
      <c r="V422" s="252"/>
      <c r="W422" s="252"/>
      <c r="Y422" s="214"/>
    </row>
    <row r="423" spans="2:25" ht="7.5" customHeight="1" x14ac:dyDescent="0.25"/>
    <row r="424" spans="2:25" s="34" customFormat="1" x14ac:dyDescent="0.25">
      <c r="C424" s="35" t="s">
        <v>60</v>
      </c>
      <c r="I424" s="262" t="s">
        <v>28</v>
      </c>
      <c r="J424" s="262"/>
    </row>
    <row r="425" spans="2:25" x14ac:dyDescent="0.25">
      <c r="C425" s="33" t="s">
        <v>31</v>
      </c>
      <c r="D425" s="149"/>
      <c r="E425" s="149"/>
      <c r="F425" s="149"/>
      <c r="G425" s="149"/>
      <c r="H425" s="149"/>
      <c r="I425" s="263" t="s">
        <v>29</v>
      </c>
      <c r="J425" s="263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</row>
    <row r="426" spans="2:25" ht="6.75" customHeight="1" x14ac:dyDescent="0.25">
      <c r="D426" s="34"/>
      <c r="E426" s="34"/>
      <c r="F426" s="34"/>
      <c r="G426" s="34"/>
      <c r="H426" s="34"/>
    </row>
    <row r="427" spans="2:25" s="34" customFormat="1" x14ac:dyDescent="0.25">
      <c r="C427" s="35" t="s">
        <v>61</v>
      </c>
      <c r="I427" s="262" t="s">
        <v>36</v>
      </c>
      <c r="J427" s="262"/>
    </row>
    <row r="428" spans="2:25" x14ac:dyDescent="0.25">
      <c r="C428" s="33" t="s">
        <v>33</v>
      </c>
      <c r="D428" s="149"/>
      <c r="E428" s="149"/>
      <c r="F428" s="149"/>
      <c r="G428" s="149"/>
      <c r="H428" s="149"/>
      <c r="I428" s="263" t="s">
        <v>29</v>
      </c>
      <c r="J428" s="263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</row>
    <row r="429" spans="2:25" ht="6.75" customHeight="1" x14ac:dyDescent="0.25">
      <c r="D429" s="34"/>
      <c r="E429" s="34"/>
      <c r="F429" s="34"/>
      <c r="G429" s="34"/>
      <c r="H429" s="34"/>
    </row>
    <row r="430" spans="2:25" s="34" customFormat="1" ht="13.8" x14ac:dyDescent="0.25">
      <c r="C430" s="35" t="s">
        <v>62</v>
      </c>
      <c r="D430" s="177" t="s">
        <v>195</v>
      </c>
      <c r="E430" s="177"/>
      <c r="F430" s="177"/>
      <c r="G430" s="177"/>
      <c r="H430" s="177"/>
      <c r="I430" s="262" t="s">
        <v>28</v>
      </c>
      <c r="J430" s="262"/>
      <c r="Y430" s="70" t="s">
        <v>106</v>
      </c>
    </row>
    <row r="431" spans="2:25" ht="13.8" x14ac:dyDescent="0.25">
      <c r="C431" s="33" t="s">
        <v>35</v>
      </c>
      <c r="D431" s="178"/>
      <c r="E431" s="178"/>
      <c r="F431" s="178"/>
      <c r="G431" s="178"/>
      <c r="H431" s="178"/>
      <c r="I431" s="263" t="s">
        <v>29</v>
      </c>
      <c r="J431" s="263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Y431" s="70" t="s">
        <v>105</v>
      </c>
    </row>
    <row r="432" spans="2:25" ht="12.75" customHeight="1" thickBot="1" x14ac:dyDescent="0.3"/>
    <row r="433" spans="2:25" ht="13.8" thickTop="1" x14ac:dyDescent="0.25">
      <c r="B433" s="34" t="s">
        <v>37</v>
      </c>
      <c r="F433" s="150" t="s">
        <v>40</v>
      </c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</row>
    <row r="434" spans="2:25" x14ac:dyDescent="0.25">
      <c r="B434" s="34" t="s">
        <v>38</v>
      </c>
      <c r="F434" s="152"/>
      <c r="G434" s="153"/>
      <c r="H434" s="153"/>
      <c r="I434" s="153"/>
      <c r="J434" s="153"/>
      <c r="K434" s="153"/>
      <c r="L434" s="153"/>
      <c r="M434" s="153"/>
      <c r="N434" s="153"/>
      <c r="O434" s="153"/>
      <c r="P434" s="153"/>
      <c r="Q434" s="153"/>
      <c r="R434" s="153"/>
      <c r="S434" s="153"/>
      <c r="T434" s="153"/>
      <c r="U434" s="153"/>
      <c r="V434" s="153"/>
      <c r="W434" s="153"/>
    </row>
    <row r="435" spans="2:25" ht="11.25" customHeight="1" x14ac:dyDescent="0.25">
      <c r="B435" s="163" t="s">
        <v>39</v>
      </c>
      <c r="C435" s="163"/>
      <c r="D435" s="163"/>
      <c r="F435" s="37" t="s">
        <v>41</v>
      </c>
    </row>
    <row r="436" spans="2:25" ht="15" customHeight="1" x14ac:dyDescent="0.25">
      <c r="B436" s="163"/>
      <c r="C436" s="163"/>
      <c r="D436" s="163"/>
      <c r="F436" s="38" t="s">
        <v>42</v>
      </c>
    </row>
    <row r="437" spans="2:25" ht="11.25" customHeight="1" x14ac:dyDescent="0.25">
      <c r="B437" s="163"/>
      <c r="C437" s="163"/>
      <c r="D437" s="163"/>
      <c r="F437" s="36"/>
    </row>
    <row r="438" spans="2:25" x14ac:dyDescent="0.25">
      <c r="B438" s="163"/>
      <c r="C438" s="163"/>
      <c r="D438" s="163"/>
      <c r="F438" s="36"/>
    </row>
    <row r="439" spans="2:25" x14ac:dyDescent="0.25">
      <c r="F439" s="36"/>
    </row>
    <row r="440" spans="2:25" x14ac:dyDescent="0.25">
      <c r="F440" s="36"/>
    </row>
    <row r="441" spans="2:25" x14ac:dyDescent="0.25">
      <c r="F441" s="36"/>
    </row>
    <row r="442" spans="2:25" x14ac:dyDescent="0.25">
      <c r="F442" s="36"/>
    </row>
    <row r="443" spans="2:25" ht="13.8" x14ac:dyDescent="0.25">
      <c r="F443" s="157" t="s">
        <v>201</v>
      </c>
      <c r="G443" s="158"/>
      <c r="H443" s="158"/>
      <c r="I443" s="158"/>
      <c r="J443" s="158"/>
      <c r="K443" s="158"/>
      <c r="L443" s="158"/>
      <c r="M443" s="158"/>
      <c r="N443" s="158"/>
      <c r="O443" s="158"/>
      <c r="P443" s="158"/>
      <c r="Q443" s="158"/>
      <c r="R443" s="158"/>
      <c r="S443" s="158"/>
      <c r="T443" s="158"/>
      <c r="U443" s="158"/>
      <c r="V443" s="158"/>
      <c r="W443" s="158"/>
    </row>
    <row r="444" spans="2:25" x14ac:dyDescent="0.25">
      <c r="F444" s="36"/>
    </row>
    <row r="445" spans="2:25" ht="28.5" customHeight="1" x14ac:dyDescent="0.3">
      <c r="B445" s="193" t="s">
        <v>46</v>
      </c>
      <c r="C445" s="194"/>
      <c r="D445" s="194"/>
      <c r="E445" s="194"/>
      <c r="F445" s="194"/>
      <c r="G445" s="2"/>
      <c r="H445" s="2"/>
      <c r="I445" s="13" t="s">
        <v>47</v>
      </c>
      <c r="J445" s="195" t="s">
        <v>14</v>
      </c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7"/>
      <c r="Y445" s="1"/>
    </row>
    <row r="446" spans="2:25" ht="26.25" customHeight="1" x14ac:dyDescent="0.4">
      <c r="B446" s="39" t="s">
        <v>48</v>
      </c>
      <c r="C446" s="2"/>
      <c r="D446" s="2"/>
      <c r="E446" s="2"/>
      <c r="F446" s="2"/>
      <c r="G446" s="2"/>
      <c r="H446" s="2"/>
      <c r="I446" s="29" t="s">
        <v>13</v>
      </c>
      <c r="J446" s="15">
        <v>4</v>
      </c>
      <c r="K446" s="215">
        <v>1</v>
      </c>
      <c r="L446" s="216"/>
      <c r="M446" s="15">
        <v>0</v>
      </c>
      <c r="N446" s="198">
        <v>0</v>
      </c>
      <c r="O446" s="199"/>
      <c r="P446" s="217">
        <v>0</v>
      </c>
      <c r="Q446" s="218"/>
      <c r="R446" s="219">
        <v>1</v>
      </c>
      <c r="S446" s="220"/>
      <c r="U446" s="6"/>
      <c r="V446" s="6"/>
      <c r="W446" s="7"/>
      <c r="Y446" s="1"/>
    </row>
    <row r="447" spans="2:25" ht="21" customHeight="1" x14ac:dyDescent="0.25">
      <c r="B447" s="26" t="s">
        <v>237</v>
      </c>
      <c r="C447" s="25"/>
      <c r="D447" s="25"/>
      <c r="E447" s="25"/>
      <c r="F447" s="25"/>
      <c r="G447" s="25"/>
      <c r="H447" s="25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Y447" s="1"/>
    </row>
    <row r="448" spans="2:25" ht="13.5" customHeight="1" x14ac:dyDescent="0.25">
      <c r="B448" s="40" t="s">
        <v>24</v>
      </c>
      <c r="C448" s="25"/>
      <c r="D448" s="25"/>
      <c r="E448" s="25"/>
      <c r="F448" s="25"/>
      <c r="G448" s="25"/>
      <c r="H448" s="25"/>
      <c r="I448" s="28" t="s">
        <v>6</v>
      </c>
      <c r="J448" s="231">
        <f>$J$4</f>
        <v>2026</v>
      </c>
      <c r="K448" s="232"/>
      <c r="L448" s="28"/>
      <c r="M448" s="204" t="s">
        <v>15</v>
      </c>
      <c r="N448" s="204"/>
      <c r="O448" s="204"/>
      <c r="P448" s="239">
        <f>$P$4</f>
        <v>2</v>
      </c>
      <c r="Q448" s="240"/>
      <c r="R448" s="86"/>
      <c r="S448" s="233" t="s">
        <v>16</v>
      </c>
      <c r="T448" s="233"/>
      <c r="U448" s="239">
        <f>$U$4</f>
        <v>10</v>
      </c>
      <c r="V448" s="240"/>
      <c r="X448" s="1"/>
    </row>
    <row r="449" spans="1:26" ht="9.75" customHeight="1" x14ac:dyDescent="0.25"/>
    <row r="450" spans="1:26" ht="11.25" customHeight="1" x14ac:dyDescent="0.25">
      <c r="B450" s="24" t="s">
        <v>49</v>
      </c>
    </row>
    <row r="451" spans="1:26" ht="11.25" customHeight="1" x14ac:dyDescent="0.25">
      <c r="B451" s="8" t="s">
        <v>50</v>
      </c>
    </row>
    <row r="452" spans="1:26" x14ac:dyDescent="0.25">
      <c r="B452" s="8"/>
    </row>
    <row r="453" spans="1:26" ht="15.75" customHeight="1" x14ac:dyDescent="0.25">
      <c r="B453" s="234" t="s">
        <v>51</v>
      </c>
      <c r="C453" s="234"/>
      <c r="D453" s="234"/>
      <c r="E453" s="234"/>
      <c r="F453" s="18" t="s">
        <v>6</v>
      </c>
      <c r="G453" s="120">
        <f>$G$9</f>
        <v>2026</v>
      </c>
      <c r="H453" s="9" t="s">
        <v>15</v>
      </c>
      <c r="I453" s="121">
        <f>$I$9</f>
        <v>2</v>
      </c>
      <c r="J453" s="235" t="s">
        <v>16</v>
      </c>
      <c r="K453" s="236"/>
      <c r="L453" s="237">
        <f>$L$9</f>
        <v>8</v>
      </c>
      <c r="M453" s="238"/>
      <c r="N453" s="84"/>
      <c r="O453" s="85"/>
      <c r="P453" s="43"/>
      <c r="Q453" s="43"/>
      <c r="Y453" s="32"/>
    </row>
    <row r="454" spans="1:26" ht="17.25" customHeight="1" x14ac:dyDescent="0.25">
      <c r="C454" s="8"/>
      <c r="Z454" s="32"/>
    </row>
    <row r="455" spans="1:26" ht="18.75" customHeight="1" x14ac:dyDescent="0.25">
      <c r="B455" s="255" t="s">
        <v>52</v>
      </c>
      <c r="C455" s="257" t="s">
        <v>53</v>
      </c>
      <c r="D455" s="258"/>
      <c r="E455" s="258"/>
      <c r="F455" s="221" t="s">
        <v>54</v>
      </c>
      <c r="G455" s="223"/>
      <c r="H455" s="223"/>
      <c r="I455" s="259" t="s">
        <v>55</v>
      </c>
      <c r="J455" s="221"/>
      <c r="K455" s="221" t="s">
        <v>56</v>
      </c>
      <c r="L455" s="221"/>
      <c r="M455" s="221"/>
      <c r="N455" s="221"/>
      <c r="O455" s="222" t="s">
        <v>231</v>
      </c>
      <c r="P455" s="222"/>
      <c r="Q455" s="222"/>
      <c r="R455" s="223"/>
      <c r="S455" s="221" t="s">
        <v>57</v>
      </c>
      <c r="T455" s="223"/>
      <c r="U455" s="223"/>
      <c r="V455" s="221" t="s">
        <v>58</v>
      </c>
      <c r="W455" s="223"/>
    </row>
    <row r="456" spans="1:26" ht="26.25" customHeight="1" x14ac:dyDescent="0.25">
      <c r="B456" s="256"/>
      <c r="C456" s="253" t="s">
        <v>59</v>
      </c>
      <c r="D456" s="254"/>
      <c r="E456" s="254"/>
      <c r="F456" s="254"/>
      <c r="G456" s="254"/>
      <c r="H456" s="254"/>
      <c r="I456" s="221"/>
      <c r="J456" s="221"/>
      <c r="K456" s="221"/>
      <c r="L456" s="221"/>
      <c r="M456" s="221"/>
      <c r="N456" s="221"/>
      <c r="O456" s="223"/>
      <c r="P456" s="223"/>
      <c r="Q456" s="223"/>
      <c r="R456" s="223"/>
      <c r="S456" s="223"/>
      <c r="T456" s="223"/>
      <c r="U456" s="223"/>
      <c r="V456" s="223"/>
      <c r="W456" s="223"/>
      <c r="Y456" s="122" t="s">
        <v>242</v>
      </c>
    </row>
    <row r="457" spans="1:26" ht="7.5" customHeight="1" x14ac:dyDescent="0.25">
      <c r="A457" s="260"/>
      <c r="B457" s="241">
        <f>B419+1</f>
        <v>61</v>
      </c>
      <c r="C457" s="244" t="str">
        <f>IF(AND('Data Dan'!$I$61="1 Dan",'Data Dan'!$N$61="LULUS"),VLOOKUP(B457,'Data Dan'!$A$6:$I$475,3,0),"")</f>
        <v/>
      </c>
      <c r="D457" s="245"/>
      <c r="E457" s="245"/>
      <c r="F457" s="248"/>
      <c r="G457" s="249"/>
      <c r="H457" s="250" t="str">
        <f>_xlfn.IFNA(INDEX('Data Dan'!$I$6:$I$495,MATCH(C457,'Data Dan'!$C$6:$C$495,0)),"")</f>
        <v/>
      </c>
      <c r="I457" s="224" t="str">
        <f>IF(AND(S457&lt;&gt;"",V457&lt;&gt;""),IF(V457&gt;=90,"Excellent",IF(V457&gt;=80,"Very Good",IF(V457&gt;=70,"Good",IF(V457&gt;=60,"Fair","Poor")))),"")</f>
        <v/>
      </c>
      <c r="J457" s="224"/>
      <c r="K457" s="44"/>
      <c r="L457" s="45"/>
      <c r="M457" s="45"/>
      <c r="N457" s="46"/>
      <c r="O457" s="44"/>
      <c r="P457" s="45"/>
      <c r="Q457" s="45"/>
      <c r="R457" s="46"/>
      <c r="S457" s="224"/>
      <c r="T457" s="224"/>
      <c r="U457" s="224"/>
      <c r="V457" s="252"/>
      <c r="W457" s="252"/>
      <c r="Y457" s="214" t="str">
        <f>_xlfn.IFNA(VLOOKUP(C457,'Data Dan'!$C$6:$N$995,12,0),"No Data")</f>
        <v>No Data</v>
      </c>
    </row>
    <row r="458" spans="1:26" ht="12" customHeight="1" x14ac:dyDescent="0.25">
      <c r="A458" s="261"/>
      <c r="B458" s="242"/>
      <c r="C458" s="246"/>
      <c r="D458" s="247"/>
      <c r="E458" s="247"/>
      <c r="F458" s="248"/>
      <c r="G458" s="249"/>
      <c r="H458" s="251"/>
      <c r="I458" s="224"/>
      <c r="J458" s="224"/>
      <c r="K458" s="47"/>
      <c r="L458" s="224" t="str">
        <f>IF(C457&lt;&gt;"","V","")</f>
        <v/>
      </c>
      <c r="M458" s="224"/>
      <c r="N458" s="47"/>
      <c r="O458" s="47"/>
      <c r="P458" s="224" t="str">
        <f>IF(C457&lt;&gt;"","V","")</f>
        <v/>
      </c>
      <c r="Q458" s="224"/>
      <c r="R458" s="47"/>
      <c r="S458" s="224"/>
      <c r="T458" s="224"/>
      <c r="U458" s="224"/>
      <c r="V458" s="252"/>
      <c r="W458" s="252"/>
      <c r="Y458" s="214"/>
    </row>
    <row r="459" spans="1:26" ht="9" customHeight="1" x14ac:dyDescent="0.25">
      <c r="A459" s="261"/>
      <c r="B459" s="242"/>
      <c r="C459" s="225" t="str">
        <f>_xlfn.IFNA(INDEX('Data Dan'!$B$6:$B$501,MATCH(C457,'Data Dan'!$C$6:$C$501,0)),"")</f>
        <v/>
      </c>
      <c r="D459" s="226"/>
      <c r="E459" s="226"/>
      <c r="F459" s="226"/>
      <c r="G459" s="226"/>
      <c r="H459" s="227"/>
      <c r="I459" s="224"/>
      <c r="J459" s="224"/>
      <c r="K459" s="47"/>
      <c r="L459" s="224"/>
      <c r="M459" s="224"/>
      <c r="N459" s="47"/>
      <c r="O459" s="47"/>
      <c r="P459" s="224"/>
      <c r="Q459" s="224"/>
      <c r="R459" s="47"/>
      <c r="S459" s="224"/>
      <c r="T459" s="224"/>
      <c r="U459" s="224"/>
      <c r="V459" s="252"/>
      <c r="W459" s="252"/>
      <c r="Y459" s="214"/>
    </row>
    <row r="460" spans="1:26" ht="9" customHeight="1" x14ac:dyDescent="0.25">
      <c r="A460" s="261"/>
      <c r="B460" s="243"/>
      <c r="C460" s="228"/>
      <c r="D460" s="229"/>
      <c r="E460" s="229"/>
      <c r="F460" s="229"/>
      <c r="G460" s="229"/>
      <c r="H460" s="230"/>
      <c r="I460" s="224"/>
      <c r="J460" s="224"/>
      <c r="K460" s="48"/>
      <c r="L460" s="49"/>
      <c r="M460" s="49"/>
      <c r="N460" s="50"/>
      <c r="O460" s="48"/>
      <c r="P460" s="49"/>
      <c r="Q460" s="49"/>
      <c r="R460" s="50"/>
      <c r="S460" s="224"/>
      <c r="T460" s="224"/>
      <c r="U460" s="224"/>
      <c r="V460" s="252"/>
      <c r="W460" s="252"/>
      <c r="Y460" s="214"/>
    </row>
    <row r="461" spans="1:26" ht="7.5" customHeight="1" x14ac:dyDescent="0.25">
      <c r="B461" s="241">
        <f t="shared" ref="B461:B493" si="63">B457+1</f>
        <v>62</v>
      </c>
      <c r="C461" s="244" t="str">
        <f>IF(AND('Data Dan'!$I$62="1 Dan",'Data Dan'!$N$62="LULUS"),VLOOKUP(B461,'Data Dan'!$A$6:$I$475,3,0),"")</f>
        <v/>
      </c>
      <c r="D461" s="245"/>
      <c r="E461" s="245"/>
      <c r="F461" s="248"/>
      <c r="G461" s="249"/>
      <c r="H461" s="250" t="str">
        <f>_xlfn.IFNA(INDEX('Data Dan'!$I$6:$I$495,MATCH(C461,'Data Dan'!$C$6:$C$495,0)),"")</f>
        <v/>
      </c>
      <c r="I461" s="224" t="str">
        <f>IF(AND(S461&lt;&gt;"",V461&lt;&gt;""),IF(V461&gt;=90,"Excellent",IF(V461&gt;=80,"Very Good",IF(V461&gt;=70,"Good",IF(V461&gt;=60,"Fair","Poor")))),"")</f>
        <v/>
      </c>
      <c r="J461" s="224"/>
      <c r="K461" s="44"/>
      <c r="L461" s="45"/>
      <c r="M461" s="45"/>
      <c r="N461" s="46"/>
      <c r="O461" s="44"/>
      <c r="P461" s="45"/>
      <c r="Q461" s="45"/>
      <c r="R461" s="46"/>
      <c r="S461" s="224"/>
      <c r="T461" s="224"/>
      <c r="U461" s="224"/>
      <c r="V461" s="252"/>
      <c r="W461" s="252"/>
      <c r="Y461" s="214" t="str">
        <f>_xlfn.IFNA(VLOOKUP(C461,'Data Dan'!$C$6:$N$995,12,0),"No Data")</f>
        <v>No Data</v>
      </c>
    </row>
    <row r="462" spans="1:26" ht="12" customHeight="1" x14ac:dyDescent="0.25">
      <c r="B462" s="242"/>
      <c r="C462" s="246"/>
      <c r="D462" s="247"/>
      <c r="E462" s="247"/>
      <c r="F462" s="248"/>
      <c r="G462" s="249"/>
      <c r="H462" s="251"/>
      <c r="I462" s="224"/>
      <c r="J462" s="224"/>
      <c r="K462" s="47"/>
      <c r="L462" s="224" t="str">
        <f>IF(C461&lt;&gt;"","V","")</f>
        <v/>
      </c>
      <c r="M462" s="224"/>
      <c r="N462" s="47"/>
      <c r="O462" s="47"/>
      <c r="P462" s="224" t="str">
        <f>IF(C461&lt;&gt;"","V","")</f>
        <v/>
      </c>
      <c r="Q462" s="224"/>
      <c r="R462" s="47"/>
      <c r="S462" s="224"/>
      <c r="T462" s="224"/>
      <c r="U462" s="224"/>
      <c r="V462" s="252"/>
      <c r="W462" s="252"/>
      <c r="Y462" s="214"/>
    </row>
    <row r="463" spans="1:26" ht="9" customHeight="1" x14ac:dyDescent="0.25">
      <c r="B463" s="242"/>
      <c r="C463" s="225" t="str">
        <f>_xlfn.IFNA(INDEX('Data Dan'!$B$6:$B$501,MATCH(C461,'Data Dan'!$C$6:$C$501,0)),"")</f>
        <v/>
      </c>
      <c r="D463" s="226"/>
      <c r="E463" s="226"/>
      <c r="F463" s="226"/>
      <c r="G463" s="226"/>
      <c r="H463" s="227"/>
      <c r="I463" s="224"/>
      <c r="J463" s="224"/>
      <c r="K463" s="47"/>
      <c r="L463" s="224"/>
      <c r="M463" s="224"/>
      <c r="N463" s="47"/>
      <c r="O463" s="47"/>
      <c r="P463" s="224"/>
      <c r="Q463" s="224"/>
      <c r="R463" s="47"/>
      <c r="S463" s="224"/>
      <c r="T463" s="224"/>
      <c r="U463" s="224"/>
      <c r="V463" s="252"/>
      <c r="W463" s="252"/>
      <c r="Y463" s="214"/>
    </row>
    <row r="464" spans="1:26" ht="9" customHeight="1" x14ac:dyDescent="0.25">
      <c r="B464" s="243"/>
      <c r="C464" s="228"/>
      <c r="D464" s="229"/>
      <c r="E464" s="229"/>
      <c r="F464" s="229"/>
      <c r="G464" s="229"/>
      <c r="H464" s="230"/>
      <c r="I464" s="224"/>
      <c r="J464" s="224"/>
      <c r="K464" s="48"/>
      <c r="L464" s="49"/>
      <c r="M464" s="49"/>
      <c r="N464" s="50"/>
      <c r="O464" s="48"/>
      <c r="P464" s="49"/>
      <c r="Q464" s="49"/>
      <c r="R464" s="50"/>
      <c r="S464" s="224"/>
      <c r="T464" s="224"/>
      <c r="U464" s="224"/>
      <c r="V464" s="252"/>
      <c r="W464" s="252"/>
      <c r="Y464" s="214"/>
    </row>
    <row r="465" spans="2:25" ht="7.5" customHeight="1" x14ac:dyDescent="0.25">
      <c r="B465" s="241">
        <f t="shared" si="63"/>
        <v>63</v>
      </c>
      <c r="C465" s="244" t="str">
        <f>IF(AND('Data Dan'!$I$63="1 Dan",'Data Dan'!$N$63="LULUS"),VLOOKUP(B465,'Data Dan'!$A$6:$I$475,3,0),"")</f>
        <v/>
      </c>
      <c r="D465" s="245"/>
      <c r="E465" s="245"/>
      <c r="F465" s="248"/>
      <c r="G465" s="249"/>
      <c r="H465" s="250" t="str">
        <f>_xlfn.IFNA(INDEX('Data Dan'!$I$6:$I$495,MATCH(C465,'Data Dan'!$C$6:$C$495,0)),"")</f>
        <v/>
      </c>
      <c r="I465" s="224" t="str">
        <f t="shared" ref="I465" si="64">IF(AND(S465&lt;&gt;"",V465&lt;&gt;""),IF(V465&gt;=90,"Excellent",IF(V465&gt;=80,"Very Good",IF(V465&gt;=70,"Good",IF(V465&gt;=60,"Fair","Poor")))),"")</f>
        <v/>
      </c>
      <c r="J465" s="224"/>
      <c r="K465" s="44"/>
      <c r="L465" s="45"/>
      <c r="M465" s="45"/>
      <c r="N465" s="46"/>
      <c r="O465" s="44"/>
      <c r="P465" s="45"/>
      <c r="Q465" s="45"/>
      <c r="R465" s="46"/>
      <c r="S465" s="224"/>
      <c r="T465" s="224"/>
      <c r="U465" s="224"/>
      <c r="V465" s="252"/>
      <c r="W465" s="252"/>
      <c r="Y465" s="214" t="str">
        <f>_xlfn.IFNA(VLOOKUP(C465,'Data Dan'!$C$6:$N$995,12,0),"No Data")</f>
        <v>No Data</v>
      </c>
    </row>
    <row r="466" spans="2:25" ht="12" customHeight="1" x14ac:dyDescent="0.25">
      <c r="B466" s="242"/>
      <c r="C466" s="246"/>
      <c r="D466" s="247"/>
      <c r="E466" s="247"/>
      <c r="F466" s="248"/>
      <c r="G466" s="249"/>
      <c r="H466" s="251"/>
      <c r="I466" s="224"/>
      <c r="J466" s="224"/>
      <c r="K466" s="47"/>
      <c r="L466" s="224" t="str">
        <f>IF(C465&lt;&gt;"","V","")</f>
        <v/>
      </c>
      <c r="M466" s="224"/>
      <c r="N466" s="47"/>
      <c r="O466" s="47"/>
      <c r="P466" s="224" t="str">
        <f>IF(C465&lt;&gt;"","V","")</f>
        <v/>
      </c>
      <c r="Q466" s="224"/>
      <c r="R466" s="47"/>
      <c r="S466" s="224"/>
      <c r="T466" s="224"/>
      <c r="U466" s="224"/>
      <c r="V466" s="252"/>
      <c r="W466" s="252"/>
      <c r="Y466" s="214"/>
    </row>
    <row r="467" spans="2:25" ht="9" customHeight="1" x14ac:dyDescent="0.25">
      <c r="B467" s="242"/>
      <c r="C467" s="225" t="str">
        <f>_xlfn.IFNA(INDEX('Data Dan'!$B$6:$B$501,MATCH(C465,'Data Dan'!$C$6:$C$501,0)),"")</f>
        <v/>
      </c>
      <c r="D467" s="226"/>
      <c r="E467" s="226"/>
      <c r="F467" s="226"/>
      <c r="G467" s="226"/>
      <c r="H467" s="227"/>
      <c r="I467" s="224"/>
      <c r="J467" s="224"/>
      <c r="K467" s="47"/>
      <c r="L467" s="224"/>
      <c r="M467" s="224"/>
      <c r="N467" s="47"/>
      <c r="O467" s="47"/>
      <c r="P467" s="224"/>
      <c r="Q467" s="224"/>
      <c r="R467" s="47"/>
      <c r="S467" s="224"/>
      <c r="T467" s="224"/>
      <c r="U467" s="224"/>
      <c r="V467" s="252"/>
      <c r="W467" s="252"/>
      <c r="Y467" s="214"/>
    </row>
    <row r="468" spans="2:25" ht="9" customHeight="1" x14ac:dyDescent="0.25">
      <c r="B468" s="243"/>
      <c r="C468" s="228"/>
      <c r="D468" s="229"/>
      <c r="E468" s="229"/>
      <c r="F468" s="229"/>
      <c r="G468" s="229"/>
      <c r="H468" s="230"/>
      <c r="I468" s="224"/>
      <c r="J468" s="224"/>
      <c r="K468" s="48"/>
      <c r="L468" s="49"/>
      <c r="M468" s="49"/>
      <c r="N468" s="50"/>
      <c r="O468" s="48"/>
      <c r="P468" s="49"/>
      <c r="Q468" s="49"/>
      <c r="R468" s="50"/>
      <c r="S468" s="224"/>
      <c r="T468" s="224"/>
      <c r="U468" s="224"/>
      <c r="V468" s="252"/>
      <c r="W468" s="252"/>
      <c r="Y468" s="214"/>
    </row>
    <row r="469" spans="2:25" ht="7.5" customHeight="1" x14ac:dyDescent="0.25">
      <c r="B469" s="241">
        <f t="shared" si="63"/>
        <v>64</v>
      </c>
      <c r="C469" s="244" t="str">
        <f>IF(AND('Data Dan'!$I$64="1 Dan",'Data Dan'!$N$64="LULUS"),VLOOKUP(B469,'Data Dan'!$A$6:$I$475,3,0),"")</f>
        <v/>
      </c>
      <c r="D469" s="245"/>
      <c r="E469" s="245"/>
      <c r="F469" s="248"/>
      <c r="G469" s="249"/>
      <c r="H469" s="250" t="str">
        <f>_xlfn.IFNA(INDEX('Data Dan'!$I$6:$I$495,MATCH(C469,'Data Dan'!$C$6:$C$495,0)),"")</f>
        <v/>
      </c>
      <c r="I469" s="224" t="str">
        <f t="shared" ref="I469" si="65">IF(AND(S469&lt;&gt;"",V469&lt;&gt;""),IF(V469&gt;=90,"Excellent",IF(V469&gt;=80,"Very Good",IF(V469&gt;=70,"Good",IF(V469&gt;=60,"Fair","Poor")))),"")</f>
        <v/>
      </c>
      <c r="J469" s="224"/>
      <c r="K469" s="44"/>
      <c r="L469" s="45"/>
      <c r="M469" s="45"/>
      <c r="N469" s="46"/>
      <c r="O469" s="44"/>
      <c r="P469" s="45"/>
      <c r="Q469" s="45"/>
      <c r="R469" s="46"/>
      <c r="S469" s="224"/>
      <c r="T469" s="224"/>
      <c r="U469" s="224"/>
      <c r="V469" s="252"/>
      <c r="W469" s="252"/>
      <c r="Y469" s="214" t="str">
        <f>_xlfn.IFNA(VLOOKUP(C469,'Data Dan'!$C$6:$N$995,12,0),"No Data")</f>
        <v>No Data</v>
      </c>
    </row>
    <row r="470" spans="2:25" ht="12" customHeight="1" x14ac:dyDescent="0.25">
      <c r="B470" s="242"/>
      <c r="C470" s="246"/>
      <c r="D470" s="247"/>
      <c r="E470" s="247"/>
      <c r="F470" s="248"/>
      <c r="G470" s="249"/>
      <c r="H470" s="251"/>
      <c r="I470" s="224"/>
      <c r="J470" s="224"/>
      <c r="K470" s="47"/>
      <c r="L470" s="224" t="str">
        <f>IF(C469&lt;&gt;"","V","")</f>
        <v/>
      </c>
      <c r="M470" s="224"/>
      <c r="N470" s="47"/>
      <c r="O470" s="47"/>
      <c r="P470" s="224" t="str">
        <f>IF(C469&lt;&gt;"","V","")</f>
        <v/>
      </c>
      <c r="Q470" s="224"/>
      <c r="R470" s="47"/>
      <c r="S470" s="224"/>
      <c r="T470" s="224"/>
      <c r="U470" s="224"/>
      <c r="V470" s="252"/>
      <c r="W470" s="252"/>
      <c r="Y470" s="214"/>
    </row>
    <row r="471" spans="2:25" ht="9" customHeight="1" x14ac:dyDescent="0.25">
      <c r="B471" s="242"/>
      <c r="C471" s="225" t="str">
        <f>_xlfn.IFNA(INDEX('Data Dan'!$B$6:$B$501,MATCH(C469,'Data Dan'!$C$6:$C$501,0)),"")</f>
        <v/>
      </c>
      <c r="D471" s="226"/>
      <c r="E471" s="226"/>
      <c r="F471" s="226"/>
      <c r="G471" s="226"/>
      <c r="H471" s="227"/>
      <c r="I471" s="224"/>
      <c r="J471" s="224"/>
      <c r="K471" s="47"/>
      <c r="L471" s="224"/>
      <c r="M471" s="224"/>
      <c r="N471" s="47"/>
      <c r="O471" s="47"/>
      <c r="P471" s="224"/>
      <c r="Q471" s="224"/>
      <c r="R471" s="47"/>
      <c r="S471" s="224"/>
      <c r="T471" s="224"/>
      <c r="U471" s="224"/>
      <c r="V471" s="252"/>
      <c r="W471" s="252"/>
      <c r="Y471" s="214"/>
    </row>
    <row r="472" spans="2:25" ht="9" customHeight="1" x14ac:dyDescent="0.25">
      <c r="B472" s="243"/>
      <c r="C472" s="228"/>
      <c r="D472" s="229"/>
      <c r="E472" s="229"/>
      <c r="F472" s="229"/>
      <c r="G472" s="229"/>
      <c r="H472" s="230"/>
      <c r="I472" s="224"/>
      <c r="J472" s="224"/>
      <c r="K472" s="48"/>
      <c r="L472" s="49"/>
      <c r="M472" s="49"/>
      <c r="N472" s="50"/>
      <c r="O472" s="48"/>
      <c r="P472" s="49"/>
      <c r="Q472" s="49"/>
      <c r="R472" s="50"/>
      <c r="S472" s="224"/>
      <c r="T472" s="224"/>
      <c r="U472" s="224"/>
      <c r="V472" s="252"/>
      <c r="W472" s="252"/>
      <c r="Y472" s="214"/>
    </row>
    <row r="473" spans="2:25" ht="7.5" customHeight="1" x14ac:dyDescent="0.25">
      <c r="B473" s="241">
        <f t="shared" si="63"/>
        <v>65</v>
      </c>
      <c r="C473" s="244" t="str">
        <f>IF(AND('Data Dan'!$I$65="1 Dan",'Data Dan'!$N$65="LULUS"),VLOOKUP(B473,'Data Dan'!$A$6:$I$475,3,0),"")</f>
        <v/>
      </c>
      <c r="D473" s="245"/>
      <c r="E473" s="245"/>
      <c r="F473" s="248"/>
      <c r="G473" s="249"/>
      <c r="H473" s="250" t="str">
        <f>_xlfn.IFNA(INDEX('Data Dan'!$I$6:$I$495,MATCH(C473,'Data Dan'!$C$6:$C$495,0)),"")</f>
        <v/>
      </c>
      <c r="I473" s="224" t="str">
        <f t="shared" ref="I473" si="66">IF(AND(S473&lt;&gt;"",V473&lt;&gt;""),IF(V473&gt;=90,"Excellent",IF(V473&gt;=80,"Very Good",IF(V473&gt;=70,"Good",IF(V473&gt;=60,"Fair","Poor")))),"")</f>
        <v/>
      </c>
      <c r="J473" s="224"/>
      <c r="K473" s="44"/>
      <c r="L473" s="45"/>
      <c r="M473" s="45"/>
      <c r="N473" s="46"/>
      <c r="O473" s="44"/>
      <c r="P473" s="45"/>
      <c r="Q473" s="45"/>
      <c r="R473" s="46"/>
      <c r="S473" s="224"/>
      <c r="T473" s="224"/>
      <c r="U473" s="224"/>
      <c r="V473" s="252"/>
      <c r="W473" s="252"/>
      <c r="Y473" s="214" t="str">
        <f>_xlfn.IFNA(VLOOKUP(C473,'Data Dan'!$C$6:$N$995,12,0),"No Data")</f>
        <v>No Data</v>
      </c>
    </row>
    <row r="474" spans="2:25" ht="12" customHeight="1" x14ac:dyDescent="0.25">
      <c r="B474" s="242"/>
      <c r="C474" s="246"/>
      <c r="D474" s="247"/>
      <c r="E474" s="247"/>
      <c r="F474" s="248"/>
      <c r="G474" s="249"/>
      <c r="H474" s="251"/>
      <c r="I474" s="224"/>
      <c r="J474" s="224"/>
      <c r="K474" s="47"/>
      <c r="L474" s="224" t="str">
        <f>IF(C473&lt;&gt;"","V","")</f>
        <v/>
      </c>
      <c r="M474" s="224"/>
      <c r="N474" s="47"/>
      <c r="O474" s="47"/>
      <c r="P474" s="224" t="str">
        <f>IF(C473&lt;&gt;"","V","")</f>
        <v/>
      </c>
      <c r="Q474" s="224"/>
      <c r="R474" s="47"/>
      <c r="S474" s="224"/>
      <c r="T474" s="224"/>
      <c r="U474" s="224"/>
      <c r="V474" s="252"/>
      <c r="W474" s="252"/>
      <c r="Y474" s="214"/>
    </row>
    <row r="475" spans="2:25" ht="9" customHeight="1" x14ac:dyDescent="0.25">
      <c r="B475" s="242"/>
      <c r="C475" s="225" t="str">
        <f>_xlfn.IFNA(INDEX('Data Dan'!$B$6:$B$501,MATCH(C473,'Data Dan'!$C$6:$C$501,0)),"")</f>
        <v/>
      </c>
      <c r="D475" s="226"/>
      <c r="E475" s="226"/>
      <c r="F475" s="226"/>
      <c r="G475" s="226"/>
      <c r="H475" s="227"/>
      <c r="I475" s="224"/>
      <c r="J475" s="224"/>
      <c r="K475" s="47"/>
      <c r="L475" s="224"/>
      <c r="M475" s="224"/>
      <c r="N475" s="47"/>
      <c r="O475" s="47"/>
      <c r="P475" s="224"/>
      <c r="Q475" s="224"/>
      <c r="R475" s="47"/>
      <c r="S475" s="224"/>
      <c r="T475" s="224"/>
      <c r="U475" s="224"/>
      <c r="V475" s="252"/>
      <c r="W475" s="252"/>
      <c r="Y475" s="214"/>
    </row>
    <row r="476" spans="2:25" ht="9" customHeight="1" x14ac:dyDescent="0.25">
      <c r="B476" s="243"/>
      <c r="C476" s="228"/>
      <c r="D476" s="229"/>
      <c r="E476" s="229"/>
      <c r="F476" s="229"/>
      <c r="G476" s="229"/>
      <c r="H476" s="230"/>
      <c r="I476" s="224"/>
      <c r="J476" s="224"/>
      <c r="K476" s="48"/>
      <c r="L476" s="49"/>
      <c r="M476" s="49"/>
      <c r="N476" s="50"/>
      <c r="O476" s="48"/>
      <c r="P476" s="49"/>
      <c r="Q476" s="49"/>
      <c r="R476" s="50"/>
      <c r="S476" s="224"/>
      <c r="T476" s="224"/>
      <c r="U476" s="224"/>
      <c r="V476" s="252"/>
      <c r="W476" s="252"/>
      <c r="Y476" s="214"/>
    </row>
    <row r="477" spans="2:25" ht="7.5" customHeight="1" x14ac:dyDescent="0.25">
      <c r="B477" s="241">
        <f t="shared" si="63"/>
        <v>66</v>
      </c>
      <c r="C477" s="244" t="str">
        <f>IF(AND('Data Dan'!$I$66="1 Dan",'Data Dan'!$N$66="LULUS"),VLOOKUP(B477,'Data Dan'!$A$6:$I$475,3,0),"")</f>
        <v/>
      </c>
      <c r="D477" s="245"/>
      <c r="E477" s="245"/>
      <c r="F477" s="248"/>
      <c r="G477" s="249"/>
      <c r="H477" s="250" t="str">
        <f>_xlfn.IFNA(INDEX('Data Dan'!$I$6:$I$495,MATCH(C477,'Data Dan'!$C$6:$C$495,0)),"")</f>
        <v/>
      </c>
      <c r="I477" s="224" t="str">
        <f t="shared" ref="I477" si="67">IF(AND(S477&lt;&gt;"",V477&lt;&gt;""),IF(V477&gt;=90,"Excellent",IF(V477&gt;=80,"Very Good",IF(V477&gt;=70,"Good",IF(V477&gt;=60,"Fair","Poor")))),"")</f>
        <v/>
      </c>
      <c r="J477" s="224"/>
      <c r="K477" s="44"/>
      <c r="L477" s="45"/>
      <c r="M477" s="45"/>
      <c r="N477" s="46"/>
      <c r="O477" s="44"/>
      <c r="P477" s="45"/>
      <c r="Q477" s="45"/>
      <c r="R477" s="46"/>
      <c r="S477" s="224"/>
      <c r="T477" s="224"/>
      <c r="U477" s="224"/>
      <c r="V477" s="252"/>
      <c r="W477" s="252"/>
      <c r="Y477" s="214" t="str">
        <f>_xlfn.IFNA(VLOOKUP(C477,'Data Dan'!$C$6:$N$995,12,0),"No Data")</f>
        <v>No Data</v>
      </c>
    </row>
    <row r="478" spans="2:25" ht="12" customHeight="1" x14ac:dyDescent="0.25">
      <c r="B478" s="242"/>
      <c r="C478" s="246"/>
      <c r="D478" s="247"/>
      <c r="E478" s="247"/>
      <c r="F478" s="248"/>
      <c r="G478" s="249"/>
      <c r="H478" s="251"/>
      <c r="I478" s="224"/>
      <c r="J478" s="224"/>
      <c r="K478" s="47"/>
      <c r="L478" s="224" t="str">
        <f>IF(C477&lt;&gt;"","V","")</f>
        <v/>
      </c>
      <c r="M478" s="224"/>
      <c r="N478" s="47"/>
      <c r="O478" s="47"/>
      <c r="P478" s="224" t="str">
        <f>IF(C477&lt;&gt;"","V","")</f>
        <v/>
      </c>
      <c r="Q478" s="224"/>
      <c r="R478" s="47"/>
      <c r="S478" s="224"/>
      <c r="T478" s="224"/>
      <c r="U478" s="224"/>
      <c r="V478" s="252"/>
      <c r="W478" s="252"/>
      <c r="Y478" s="214"/>
    </row>
    <row r="479" spans="2:25" ht="9" customHeight="1" x14ac:dyDescent="0.25">
      <c r="B479" s="242"/>
      <c r="C479" s="225" t="str">
        <f>_xlfn.IFNA(INDEX('Data Dan'!$B$6:$B$501,MATCH(C477,'Data Dan'!$C$6:$C$501,0)),"")</f>
        <v/>
      </c>
      <c r="D479" s="226"/>
      <c r="E479" s="226"/>
      <c r="F479" s="226"/>
      <c r="G479" s="226"/>
      <c r="H479" s="227"/>
      <c r="I479" s="224"/>
      <c r="J479" s="224"/>
      <c r="K479" s="47"/>
      <c r="L479" s="224"/>
      <c r="M479" s="224"/>
      <c r="N479" s="47"/>
      <c r="O479" s="47"/>
      <c r="P479" s="224"/>
      <c r="Q479" s="224"/>
      <c r="R479" s="47"/>
      <c r="S479" s="224"/>
      <c r="T479" s="224"/>
      <c r="U479" s="224"/>
      <c r="V479" s="252"/>
      <c r="W479" s="252"/>
      <c r="Y479" s="214"/>
    </row>
    <row r="480" spans="2:25" ht="9" customHeight="1" x14ac:dyDescent="0.25">
      <c r="B480" s="243"/>
      <c r="C480" s="228"/>
      <c r="D480" s="229"/>
      <c r="E480" s="229"/>
      <c r="F480" s="229"/>
      <c r="G480" s="229"/>
      <c r="H480" s="230"/>
      <c r="I480" s="224"/>
      <c r="J480" s="224"/>
      <c r="K480" s="48"/>
      <c r="L480" s="49"/>
      <c r="M480" s="49"/>
      <c r="N480" s="50"/>
      <c r="O480" s="48"/>
      <c r="P480" s="49"/>
      <c r="Q480" s="49"/>
      <c r="R480" s="50"/>
      <c r="S480" s="224"/>
      <c r="T480" s="224"/>
      <c r="U480" s="224"/>
      <c r="V480" s="252"/>
      <c r="W480" s="252"/>
      <c r="Y480" s="214"/>
    </row>
    <row r="481" spans="2:25" ht="7.5" customHeight="1" x14ac:dyDescent="0.25">
      <c r="B481" s="241">
        <f t="shared" si="63"/>
        <v>67</v>
      </c>
      <c r="C481" s="244" t="str">
        <f>IF(AND('Data Dan'!$I$67="1 Dan",'Data Dan'!$N$67="LULUS"),VLOOKUP(B481,'Data Dan'!$A$6:$I$475,3,0),"")</f>
        <v/>
      </c>
      <c r="D481" s="245"/>
      <c r="E481" s="245"/>
      <c r="F481" s="248"/>
      <c r="G481" s="249"/>
      <c r="H481" s="250" t="str">
        <f>_xlfn.IFNA(INDEX('Data Dan'!$I$6:$I$495,MATCH(C481,'Data Dan'!$C$6:$C$495,0)),"")</f>
        <v/>
      </c>
      <c r="I481" s="224" t="str">
        <f t="shared" ref="I481" si="68">IF(AND(S481&lt;&gt;"",V481&lt;&gt;""),IF(V481&gt;=90,"Excellent",IF(V481&gt;=80,"Very Good",IF(V481&gt;=70,"Good",IF(V481&gt;=60,"Fair","Poor")))),"")</f>
        <v/>
      </c>
      <c r="J481" s="224"/>
      <c r="K481" s="44"/>
      <c r="L481" s="45"/>
      <c r="M481" s="45"/>
      <c r="N481" s="46"/>
      <c r="O481" s="44"/>
      <c r="P481" s="45"/>
      <c r="Q481" s="45"/>
      <c r="R481" s="46"/>
      <c r="S481" s="224"/>
      <c r="T481" s="224"/>
      <c r="U481" s="224"/>
      <c r="V481" s="252"/>
      <c r="W481" s="252"/>
      <c r="Y481" s="214" t="str">
        <f>_xlfn.IFNA(VLOOKUP(C481,'Data Dan'!$C$6:$N$995,12,0),"No Data")</f>
        <v>No Data</v>
      </c>
    </row>
    <row r="482" spans="2:25" ht="12" customHeight="1" x14ac:dyDescent="0.25">
      <c r="B482" s="242"/>
      <c r="C482" s="246"/>
      <c r="D482" s="247"/>
      <c r="E482" s="247"/>
      <c r="F482" s="248"/>
      <c r="G482" s="249"/>
      <c r="H482" s="251"/>
      <c r="I482" s="224"/>
      <c r="J482" s="224"/>
      <c r="K482" s="47"/>
      <c r="L482" s="224" t="str">
        <f>IF(C481&lt;&gt;"","V","")</f>
        <v/>
      </c>
      <c r="M482" s="224"/>
      <c r="N482" s="47"/>
      <c r="O482" s="47"/>
      <c r="P482" s="224" t="str">
        <f>IF(C481&lt;&gt;"","V","")</f>
        <v/>
      </c>
      <c r="Q482" s="224"/>
      <c r="R482" s="47"/>
      <c r="S482" s="224"/>
      <c r="T482" s="224"/>
      <c r="U482" s="224"/>
      <c r="V482" s="252"/>
      <c r="W482" s="252"/>
      <c r="Y482" s="214"/>
    </row>
    <row r="483" spans="2:25" ht="9" customHeight="1" x14ac:dyDescent="0.25">
      <c r="B483" s="242"/>
      <c r="C483" s="225" t="str">
        <f>_xlfn.IFNA(INDEX('Data Dan'!$B$6:$B$501,MATCH(C481,'Data Dan'!$C$6:$C$501,0)),"")</f>
        <v/>
      </c>
      <c r="D483" s="226"/>
      <c r="E483" s="226"/>
      <c r="F483" s="226"/>
      <c r="G483" s="226"/>
      <c r="H483" s="227"/>
      <c r="I483" s="224"/>
      <c r="J483" s="224"/>
      <c r="K483" s="47"/>
      <c r="L483" s="224"/>
      <c r="M483" s="224"/>
      <c r="N483" s="47"/>
      <c r="O483" s="47"/>
      <c r="P483" s="224"/>
      <c r="Q483" s="224"/>
      <c r="R483" s="47"/>
      <c r="S483" s="224"/>
      <c r="T483" s="224"/>
      <c r="U483" s="224"/>
      <c r="V483" s="252"/>
      <c r="W483" s="252"/>
      <c r="Y483" s="214"/>
    </row>
    <row r="484" spans="2:25" ht="9" customHeight="1" x14ac:dyDescent="0.25">
      <c r="B484" s="243"/>
      <c r="C484" s="228"/>
      <c r="D484" s="229"/>
      <c r="E484" s="229"/>
      <c r="F484" s="229"/>
      <c r="G484" s="229"/>
      <c r="H484" s="230"/>
      <c r="I484" s="224"/>
      <c r="J484" s="224"/>
      <c r="K484" s="48"/>
      <c r="L484" s="49"/>
      <c r="M484" s="49"/>
      <c r="N484" s="50"/>
      <c r="O484" s="48"/>
      <c r="P484" s="49"/>
      <c r="Q484" s="49"/>
      <c r="R484" s="50"/>
      <c r="S484" s="224"/>
      <c r="T484" s="224"/>
      <c r="U484" s="224"/>
      <c r="V484" s="252"/>
      <c r="W484" s="252"/>
      <c r="Y484" s="214"/>
    </row>
    <row r="485" spans="2:25" ht="7.5" customHeight="1" x14ac:dyDescent="0.25">
      <c r="B485" s="241">
        <f t="shared" si="63"/>
        <v>68</v>
      </c>
      <c r="C485" s="244" t="str">
        <f>IF(AND('Data Dan'!$I$68="1 Dan",'Data Dan'!$N$68="LULUS"),VLOOKUP(B485,'Data Dan'!$A$6:$I$475,3,0),"")</f>
        <v/>
      </c>
      <c r="D485" s="245"/>
      <c r="E485" s="245"/>
      <c r="F485" s="248"/>
      <c r="G485" s="249"/>
      <c r="H485" s="250" t="str">
        <f>_xlfn.IFNA(INDEX('Data Dan'!$I$6:$I$495,MATCH(C485,'Data Dan'!$C$6:$C$495,0)),"")</f>
        <v/>
      </c>
      <c r="I485" s="224" t="str">
        <f t="shared" ref="I485" si="69">IF(AND(S485&lt;&gt;"",V485&lt;&gt;""),IF(V485&gt;=90,"Excellent",IF(V485&gt;=80,"Very Good",IF(V485&gt;=70,"Good",IF(V485&gt;=60,"Fair","Poor")))),"")</f>
        <v/>
      </c>
      <c r="J485" s="224"/>
      <c r="K485" s="44"/>
      <c r="L485" s="45"/>
      <c r="M485" s="45"/>
      <c r="N485" s="46"/>
      <c r="O485" s="44"/>
      <c r="P485" s="45"/>
      <c r="Q485" s="45"/>
      <c r="R485" s="46"/>
      <c r="S485" s="224"/>
      <c r="T485" s="224"/>
      <c r="U485" s="224"/>
      <c r="V485" s="252"/>
      <c r="W485" s="252"/>
      <c r="Y485" s="214" t="str">
        <f>_xlfn.IFNA(VLOOKUP(C485,'Data Dan'!$C$6:$N$995,12,0),"No Data")</f>
        <v>No Data</v>
      </c>
    </row>
    <row r="486" spans="2:25" ht="12" customHeight="1" x14ac:dyDescent="0.25">
      <c r="B486" s="242"/>
      <c r="C486" s="246"/>
      <c r="D486" s="247"/>
      <c r="E486" s="247"/>
      <c r="F486" s="248"/>
      <c r="G486" s="249"/>
      <c r="H486" s="251"/>
      <c r="I486" s="224"/>
      <c r="J486" s="224"/>
      <c r="K486" s="47"/>
      <c r="L486" s="224" t="str">
        <f>IF(C485&lt;&gt;"","V","")</f>
        <v/>
      </c>
      <c r="M486" s="224"/>
      <c r="N486" s="47"/>
      <c r="O486" s="47"/>
      <c r="P486" s="224" t="str">
        <f>IF(C485&lt;&gt;"","V","")</f>
        <v/>
      </c>
      <c r="Q486" s="224"/>
      <c r="R486" s="47"/>
      <c r="S486" s="224"/>
      <c r="T486" s="224"/>
      <c r="U486" s="224"/>
      <c r="V486" s="252"/>
      <c r="W486" s="252"/>
      <c r="Y486" s="214"/>
    </row>
    <row r="487" spans="2:25" ht="9" customHeight="1" x14ac:dyDescent="0.25">
      <c r="B487" s="242"/>
      <c r="C487" s="225" t="str">
        <f>_xlfn.IFNA(INDEX('Data Dan'!$B$6:$B$501,MATCH(C485,'Data Dan'!$C$6:$C$501,0)),"")</f>
        <v/>
      </c>
      <c r="D487" s="226"/>
      <c r="E487" s="226"/>
      <c r="F487" s="226"/>
      <c r="G487" s="226"/>
      <c r="H487" s="227"/>
      <c r="I487" s="224"/>
      <c r="J487" s="224"/>
      <c r="K487" s="47"/>
      <c r="L487" s="224"/>
      <c r="M487" s="224"/>
      <c r="N487" s="47"/>
      <c r="O487" s="47"/>
      <c r="P487" s="224"/>
      <c r="Q487" s="224"/>
      <c r="R487" s="47"/>
      <c r="S487" s="224"/>
      <c r="T487" s="224"/>
      <c r="U487" s="224"/>
      <c r="V487" s="252"/>
      <c r="W487" s="252"/>
      <c r="Y487" s="214"/>
    </row>
    <row r="488" spans="2:25" ht="9" customHeight="1" x14ac:dyDescent="0.25">
      <c r="B488" s="243"/>
      <c r="C488" s="228"/>
      <c r="D488" s="229"/>
      <c r="E488" s="229"/>
      <c r="F488" s="229"/>
      <c r="G488" s="229"/>
      <c r="H488" s="230"/>
      <c r="I488" s="224"/>
      <c r="J488" s="224"/>
      <c r="K488" s="48"/>
      <c r="L488" s="49"/>
      <c r="M488" s="49"/>
      <c r="N488" s="50"/>
      <c r="O488" s="48"/>
      <c r="P488" s="49"/>
      <c r="Q488" s="49"/>
      <c r="R488" s="50"/>
      <c r="S488" s="224"/>
      <c r="T488" s="224"/>
      <c r="U488" s="224"/>
      <c r="V488" s="252"/>
      <c r="W488" s="252"/>
      <c r="Y488" s="214"/>
    </row>
    <row r="489" spans="2:25" ht="7.5" customHeight="1" x14ac:dyDescent="0.25">
      <c r="B489" s="241">
        <f t="shared" si="63"/>
        <v>69</v>
      </c>
      <c r="C489" s="244" t="str">
        <f>IF(AND('Data Dan'!$I$69="1 Dan",'Data Dan'!$N$69="LULUS"),VLOOKUP(B489,'Data Dan'!$A$6:$I$475,3,0),"")</f>
        <v/>
      </c>
      <c r="D489" s="245"/>
      <c r="E489" s="245"/>
      <c r="F489" s="248"/>
      <c r="G489" s="249"/>
      <c r="H489" s="250" t="str">
        <f>_xlfn.IFNA(INDEX('Data Dan'!$I$6:$I$495,MATCH(C489,'Data Dan'!$C$6:$C$495,0)),"")</f>
        <v/>
      </c>
      <c r="I489" s="224" t="str">
        <f t="shared" ref="I489" si="70">IF(AND(S489&lt;&gt;"",V489&lt;&gt;""),IF(V489&gt;=90,"Excellent",IF(V489&gt;=80,"Very Good",IF(V489&gt;=70,"Good",IF(V489&gt;=60,"Fair","Poor")))),"")</f>
        <v/>
      </c>
      <c r="J489" s="224"/>
      <c r="K489" s="44"/>
      <c r="L489" s="45"/>
      <c r="M489" s="45"/>
      <c r="N489" s="46"/>
      <c r="O489" s="44"/>
      <c r="P489" s="45"/>
      <c r="Q489" s="45"/>
      <c r="R489" s="46"/>
      <c r="S489" s="224"/>
      <c r="T489" s="224"/>
      <c r="U489" s="224"/>
      <c r="V489" s="252"/>
      <c r="W489" s="252"/>
      <c r="Y489" s="214" t="str">
        <f>_xlfn.IFNA(VLOOKUP(C489,'Data Dan'!$C$6:$N$995,12,0),"No Data")</f>
        <v>No Data</v>
      </c>
    </row>
    <row r="490" spans="2:25" ht="12" customHeight="1" x14ac:dyDescent="0.25">
      <c r="B490" s="242"/>
      <c r="C490" s="246"/>
      <c r="D490" s="247"/>
      <c r="E490" s="247"/>
      <c r="F490" s="248"/>
      <c r="G490" s="249"/>
      <c r="H490" s="251"/>
      <c r="I490" s="224"/>
      <c r="J490" s="224"/>
      <c r="K490" s="47"/>
      <c r="L490" s="224" t="str">
        <f>IF(C489&lt;&gt;"","V","")</f>
        <v/>
      </c>
      <c r="M490" s="224"/>
      <c r="N490" s="47"/>
      <c r="O490" s="47"/>
      <c r="P490" s="224" t="str">
        <f>IF(C489&lt;&gt;"","V","")</f>
        <v/>
      </c>
      <c r="Q490" s="224"/>
      <c r="R490" s="47"/>
      <c r="S490" s="224"/>
      <c r="T490" s="224"/>
      <c r="U490" s="224"/>
      <c r="V490" s="252"/>
      <c r="W490" s="252"/>
      <c r="Y490" s="214"/>
    </row>
    <row r="491" spans="2:25" ht="9" customHeight="1" x14ac:dyDescent="0.25">
      <c r="B491" s="242"/>
      <c r="C491" s="225" t="str">
        <f>_xlfn.IFNA(INDEX('Data Dan'!$B$6:$B$501,MATCH(C489,'Data Dan'!$C$6:$C$501,0)),"")</f>
        <v/>
      </c>
      <c r="D491" s="226"/>
      <c r="E491" s="226"/>
      <c r="F491" s="226"/>
      <c r="G491" s="226"/>
      <c r="H491" s="227"/>
      <c r="I491" s="224"/>
      <c r="J491" s="224"/>
      <c r="K491" s="47"/>
      <c r="L491" s="224"/>
      <c r="M491" s="224"/>
      <c r="N491" s="47"/>
      <c r="O491" s="47"/>
      <c r="P491" s="224"/>
      <c r="Q491" s="224"/>
      <c r="R491" s="47"/>
      <c r="S491" s="224"/>
      <c r="T491" s="224"/>
      <c r="U491" s="224"/>
      <c r="V491" s="252"/>
      <c r="W491" s="252"/>
      <c r="Y491" s="214"/>
    </row>
    <row r="492" spans="2:25" ht="9" customHeight="1" x14ac:dyDescent="0.25">
      <c r="B492" s="243"/>
      <c r="C492" s="228"/>
      <c r="D492" s="229"/>
      <c r="E492" s="229"/>
      <c r="F492" s="229"/>
      <c r="G492" s="229"/>
      <c r="H492" s="230"/>
      <c r="I492" s="224"/>
      <c r="J492" s="224"/>
      <c r="K492" s="48"/>
      <c r="L492" s="49"/>
      <c r="M492" s="49"/>
      <c r="N492" s="50"/>
      <c r="O492" s="48"/>
      <c r="P492" s="49"/>
      <c r="Q492" s="49"/>
      <c r="R492" s="50"/>
      <c r="S492" s="224"/>
      <c r="T492" s="224"/>
      <c r="U492" s="224"/>
      <c r="V492" s="252"/>
      <c r="W492" s="252"/>
      <c r="Y492" s="214"/>
    </row>
    <row r="493" spans="2:25" ht="7.5" customHeight="1" x14ac:dyDescent="0.25">
      <c r="B493" s="241">
        <f t="shared" si="63"/>
        <v>70</v>
      </c>
      <c r="C493" s="244" t="str">
        <f>IF(AND('Data Dan'!$I$70="1 Dan",'Data Dan'!$N$70="LULUS"),VLOOKUP(B493,'Data Dan'!$A$6:$I$475,3,0),"")</f>
        <v/>
      </c>
      <c r="D493" s="245"/>
      <c r="E493" s="245"/>
      <c r="F493" s="248"/>
      <c r="G493" s="249"/>
      <c r="H493" s="250" t="str">
        <f>_xlfn.IFNA(INDEX('Data Dan'!$I$6:$I$495,MATCH(C493,'Data Dan'!$C$6:$C$495,0)),"")</f>
        <v/>
      </c>
      <c r="I493" s="224" t="str">
        <f t="shared" ref="I493" si="71">IF(AND(S493&lt;&gt;"",V493&lt;&gt;""),IF(V493&gt;=90,"Excellent",IF(V493&gt;=80,"Very Good",IF(V493&gt;=70,"Good",IF(V493&gt;=60,"Fair","Poor")))),"")</f>
        <v/>
      </c>
      <c r="J493" s="224"/>
      <c r="K493" s="44"/>
      <c r="L493" s="45"/>
      <c r="M493" s="45"/>
      <c r="N493" s="46"/>
      <c r="O493" s="44"/>
      <c r="P493" s="45"/>
      <c r="Q493" s="45"/>
      <c r="R493" s="46"/>
      <c r="S493" s="224"/>
      <c r="T493" s="224"/>
      <c r="U493" s="224"/>
      <c r="V493" s="252"/>
      <c r="W493" s="252"/>
      <c r="Y493" s="214" t="str">
        <f>_xlfn.IFNA(VLOOKUP(C493,'Data Dan'!$C$6:$N$995,12,0),"No Data")</f>
        <v>No Data</v>
      </c>
    </row>
    <row r="494" spans="2:25" ht="12" customHeight="1" x14ac:dyDescent="0.25">
      <c r="B494" s="242"/>
      <c r="C494" s="246"/>
      <c r="D494" s="247"/>
      <c r="E494" s="247"/>
      <c r="F494" s="248"/>
      <c r="G494" s="249"/>
      <c r="H494" s="251"/>
      <c r="I494" s="224"/>
      <c r="J494" s="224"/>
      <c r="K494" s="47"/>
      <c r="L494" s="224" t="str">
        <f>IF(C493&lt;&gt;"","V","")</f>
        <v/>
      </c>
      <c r="M494" s="224"/>
      <c r="N494" s="47"/>
      <c r="O494" s="47"/>
      <c r="P494" s="224" t="str">
        <f>IF(C493&lt;&gt;"","V","")</f>
        <v/>
      </c>
      <c r="Q494" s="224"/>
      <c r="R494" s="47"/>
      <c r="S494" s="224"/>
      <c r="T494" s="224"/>
      <c r="U494" s="224"/>
      <c r="V494" s="252"/>
      <c r="W494" s="252"/>
      <c r="Y494" s="214"/>
    </row>
    <row r="495" spans="2:25" ht="9" customHeight="1" x14ac:dyDescent="0.25">
      <c r="B495" s="242"/>
      <c r="C495" s="225" t="str">
        <f>_xlfn.IFNA(INDEX('Data Dan'!$B$6:$B$501,MATCH(C493,'Data Dan'!$C$6:$C$501,0)),"")</f>
        <v/>
      </c>
      <c r="D495" s="226"/>
      <c r="E495" s="226"/>
      <c r="F495" s="226"/>
      <c r="G495" s="226"/>
      <c r="H495" s="227"/>
      <c r="I495" s="224"/>
      <c r="J495" s="224"/>
      <c r="K495" s="47"/>
      <c r="L495" s="224"/>
      <c r="M495" s="224"/>
      <c r="N495" s="47"/>
      <c r="O495" s="47"/>
      <c r="P495" s="224"/>
      <c r="Q495" s="224"/>
      <c r="R495" s="47"/>
      <c r="S495" s="224"/>
      <c r="T495" s="224"/>
      <c r="U495" s="224"/>
      <c r="V495" s="252"/>
      <c r="W495" s="252"/>
      <c r="Y495" s="214"/>
    </row>
    <row r="496" spans="2:25" ht="9" customHeight="1" x14ac:dyDescent="0.25">
      <c r="B496" s="243"/>
      <c r="C496" s="228"/>
      <c r="D496" s="229"/>
      <c r="E496" s="229"/>
      <c r="F496" s="229"/>
      <c r="G496" s="229"/>
      <c r="H496" s="230"/>
      <c r="I496" s="224"/>
      <c r="J496" s="224"/>
      <c r="K496" s="48"/>
      <c r="L496" s="49"/>
      <c r="M496" s="49"/>
      <c r="N496" s="50"/>
      <c r="O496" s="48"/>
      <c r="P496" s="49"/>
      <c r="Q496" s="49"/>
      <c r="R496" s="50"/>
      <c r="S496" s="224"/>
      <c r="T496" s="224"/>
      <c r="U496" s="224"/>
      <c r="V496" s="252"/>
      <c r="W496" s="252"/>
      <c r="Y496" s="214"/>
    </row>
    <row r="497" spans="2:25" ht="7.5" customHeight="1" x14ac:dyDescent="0.25"/>
    <row r="498" spans="2:25" s="34" customFormat="1" x14ac:dyDescent="0.25">
      <c r="C498" s="35" t="s">
        <v>60</v>
      </c>
      <c r="I498" s="262" t="s">
        <v>28</v>
      </c>
      <c r="J498" s="262"/>
    </row>
    <row r="499" spans="2:25" x14ac:dyDescent="0.25">
      <c r="C499" s="33" t="s">
        <v>31</v>
      </c>
      <c r="D499" s="149"/>
      <c r="E499" s="149"/>
      <c r="F499" s="149"/>
      <c r="G499" s="149"/>
      <c r="H499" s="149"/>
      <c r="I499" s="263" t="s">
        <v>29</v>
      </c>
      <c r="J499" s="263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</row>
    <row r="500" spans="2:25" ht="6.75" customHeight="1" x14ac:dyDescent="0.25">
      <c r="D500" s="34"/>
      <c r="E500" s="34"/>
      <c r="F500" s="34"/>
      <c r="G500" s="34"/>
      <c r="H500" s="34"/>
    </row>
    <row r="501" spans="2:25" s="34" customFormat="1" x14ac:dyDescent="0.25">
      <c r="C501" s="35" t="s">
        <v>61</v>
      </c>
      <c r="I501" s="262" t="s">
        <v>36</v>
      </c>
      <c r="J501" s="262"/>
    </row>
    <row r="502" spans="2:25" x14ac:dyDescent="0.25">
      <c r="C502" s="33" t="s">
        <v>33</v>
      </c>
      <c r="D502" s="149"/>
      <c r="E502" s="149"/>
      <c r="F502" s="149"/>
      <c r="G502" s="149"/>
      <c r="H502" s="149"/>
      <c r="I502" s="263" t="s">
        <v>29</v>
      </c>
      <c r="J502" s="263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</row>
    <row r="503" spans="2:25" ht="6.75" customHeight="1" x14ac:dyDescent="0.25">
      <c r="D503" s="34"/>
      <c r="E503" s="34"/>
      <c r="F503" s="34"/>
      <c r="G503" s="34"/>
      <c r="H503" s="34"/>
    </row>
    <row r="504" spans="2:25" s="34" customFormat="1" ht="13.8" x14ac:dyDescent="0.25">
      <c r="C504" s="35" t="s">
        <v>62</v>
      </c>
      <c r="D504" s="177" t="s">
        <v>195</v>
      </c>
      <c r="E504" s="177"/>
      <c r="F504" s="177"/>
      <c r="G504" s="177"/>
      <c r="H504" s="177"/>
      <c r="I504" s="262" t="s">
        <v>28</v>
      </c>
      <c r="J504" s="262"/>
      <c r="Y504" s="70" t="s">
        <v>106</v>
      </c>
    </row>
    <row r="505" spans="2:25" ht="13.8" x14ac:dyDescent="0.25">
      <c r="C505" s="33" t="s">
        <v>35</v>
      </c>
      <c r="D505" s="178"/>
      <c r="E505" s="178"/>
      <c r="F505" s="178"/>
      <c r="G505" s="178"/>
      <c r="H505" s="178"/>
      <c r="I505" s="263" t="s">
        <v>29</v>
      </c>
      <c r="J505" s="263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Y505" s="70" t="s">
        <v>105</v>
      </c>
    </row>
    <row r="506" spans="2:25" ht="12.75" customHeight="1" thickBot="1" x14ac:dyDescent="0.3"/>
    <row r="507" spans="2:25" ht="13.8" thickTop="1" x14ac:dyDescent="0.25">
      <c r="B507" s="34" t="s">
        <v>37</v>
      </c>
      <c r="F507" s="150" t="s">
        <v>40</v>
      </c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</row>
    <row r="508" spans="2:25" x14ac:dyDescent="0.25">
      <c r="B508" s="34" t="s">
        <v>38</v>
      </c>
      <c r="F508" s="152"/>
      <c r="G508" s="153"/>
      <c r="H508" s="153"/>
      <c r="I508" s="153"/>
      <c r="J508" s="153"/>
      <c r="K508" s="153"/>
      <c r="L508" s="153"/>
      <c r="M508" s="153"/>
      <c r="N508" s="153"/>
      <c r="O508" s="153"/>
      <c r="P508" s="153"/>
      <c r="Q508" s="153"/>
      <c r="R508" s="153"/>
      <c r="S508" s="153"/>
      <c r="T508" s="153"/>
      <c r="U508" s="153"/>
      <c r="V508" s="153"/>
      <c r="W508" s="153"/>
    </row>
    <row r="509" spans="2:25" ht="11.25" customHeight="1" x14ac:dyDescent="0.25">
      <c r="B509" s="163" t="s">
        <v>39</v>
      </c>
      <c r="C509" s="163"/>
      <c r="D509" s="163"/>
      <c r="F509" s="37" t="s">
        <v>41</v>
      </c>
    </row>
    <row r="510" spans="2:25" ht="15" customHeight="1" x14ac:dyDescent="0.25">
      <c r="B510" s="163"/>
      <c r="C510" s="163"/>
      <c r="D510" s="163"/>
      <c r="F510" s="38" t="s">
        <v>42</v>
      </c>
    </row>
    <row r="511" spans="2:25" ht="11.25" customHeight="1" x14ac:dyDescent="0.25">
      <c r="B511" s="163"/>
      <c r="C511" s="163"/>
      <c r="D511" s="163"/>
      <c r="F511" s="36"/>
    </row>
    <row r="512" spans="2:25" x14ac:dyDescent="0.25">
      <c r="B512" s="163"/>
      <c r="C512" s="163"/>
      <c r="D512" s="163"/>
      <c r="F512" s="36"/>
    </row>
    <row r="513" spans="2:26" x14ac:dyDescent="0.25">
      <c r="F513" s="36"/>
    </row>
    <row r="514" spans="2:26" x14ac:dyDescent="0.25">
      <c r="F514" s="36"/>
    </row>
    <row r="515" spans="2:26" x14ac:dyDescent="0.25">
      <c r="F515" s="36"/>
    </row>
    <row r="516" spans="2:26" x14ac:dyDescent="0.25">
      <c r="F516" s="36"/>
    </row>
    <row r="517" spans="2:26" ht="13.8" x14ac:dyDescent="0.25">
      <c r="F517" s="157" t="s">
        <v>201</v>
      </c>
      <c r="G517" s="158"/>
      <c r="H517" s="158"/>
      <c r="I517" s="158"/>
      <c r="J517" s="158"/>
      <c r="K517" s="158"/>
      <c r="L517" s="158"/>
      <c r="M517" s="158"/>
      <c r="N517" s="158"/>
      <c r="O517" s="158"/>
      <c r="P517" s="158"/>
      <c r="Q517" s="158"/>
      <c r="R517" s="158"/>
      <c r="S517" s="158"/>
      <c r="T517" s="158"/>
      <c r="U517" s="158"/>
      <c r="V517" s="158"/>
      <c r="W517" s="158"/>
    </row>
    <row r="518" spans="2:26" x14ac:dyDescent="0.25">
      <c r="F518" s="36"/>
    </row>
    <row r="519" spans="2:26" ht="28.5" customHeight="1" x14ac:dyDescent="0.3">
      <c r="B519" s="193" t="s">
        <v>46</v>
      </c>
      <c r="C519" s="194"/>
      <c r="D519" s="194"/>
      <c r="E519" s="194"/>
      <c r="F519" s="194"/>
      <c r="G519" s="2"/>
      <c r="H519" s="2"/>
      <c r="I519" s="13" t="s">
        <v>47</v>
      </c>
      <c r="J519" s="195" t="s">
        <v>14</v>
      </c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7"/>
      <c r="Y519" s="1"/>
    </row>
    <row r="520" spans="2:26" ht="26.25" customHeight="1" x14ac:dyDescent="0.4">
      <c r="B520" s="39" t="s">
        <v>48</v>
      </c>
      <c r="C520" s="2"/>
      <c r="D520" s="2"/>
      <c r="E520" s="2"/>
      <c r="F520" s="2"/>
      <c r="G520" s="2"/>
      <c r="H520" s="2"/>
      <c r="I520" s="29" t="s">
        <v>13</v>
      </c>
      <c r="J520" s="15">
        <v>4</v>
      </c>
      <c r="K520" s="215">
        <v>1</v>
      </c>
      <c r="L520" s="216"/>
      <c r="M520" s="15">
        <v>0</v>
      </c>
      <c r="N520" s="198">
        <v>0</v>
      </c>
      <c r="O520" s="199"/>
      <c r="P520" s="217">
        <v>0</v>
      </c>
      <c r="Q520" s="218"/>
      <c r="R520" s="219">
        <v>1</v>
      </c>
      <c r="S520" s="220"/>
      <c r="U520" s="6"/>
      <c r="V520" s="6"/>
      <c r="W520" s="7"/>
      <c r="Y520" s="1"/>
    </row>
    <row r="521" spans="2:26" ht="21" customHeight="1" x14ac:dyDescent="0.25">
      <c r="B521" s="26" t="s">
        <v>237</v>
      </c>
      <c r="C521" s="25"/>
      <c r="D521" s="25"/>
      <c r="E521" s="25"/>
      <c r="F521" s="25"/>
      <c r="G521" s="25"/>
      <c r="H521" s="25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Y521" s="1"/>
    </row>
    <row r="522" spans="2:26" ht="13.5" customHeight="1" x14ac:dyDescent="0.25">
      <c r="B522" s="40" t="s">
        <v>24</v>
      </c>
      <c r="C522" s="25"/>
      <c r="D522" s="25"/>
      <c r="E522" s="25"/>
      <c r="F522" s="25"/>
      <c r="G522" s="25"/>
      <c r="H522" s="25"/>
      <c r="I522" s="28" t="s">
        <v>6</v>
      </c>
      <c r="J522" s="231">
        <f>$J$4</f>
        <v>2026</v>
      </c>
      <c r="K522" s="232"/>
      <c r="L522" s="28"/>
      <c r="M522" s="204" t="s">
        <v>15</v>
      </c>
      <c r="N522" s="204"/>
      <c r="O522" s="204"/>
      <c r="P522" s="239">
        <f>$P$4</f>
        <v>2</v>
      </c>
      <c r="Q522" s="240"/>
      <c r="R522" s="86"/>
      <c r="S522" s="233" t="s">
        <v>16</v>
      </c>
      <c r="T522" s="233"/>
      <c r="U522" s="239">
        <f>$U$4</f>
        <v>10</v>
      </c>
      <c r="V522" s="240"/>
      <c r="X522" s="1"/>
    </row>
    <row r="523" spans="2:26" ht="9.75" customHeight="1" x14ac:dyDescent="0.25"/>
    <row r="524" spans="2:26" ht="11.25" customHeight="1" x14ac:dyDescent="0.25">
      <c r="B524" s="24" t="s">
        <v>49</v>
      </c>
    </row>
    <row r="525" spans="2:26" ht="11.25" customHeight="1" x14ac:dyDescent="0.25">
      <c r="B525" s="8" t="s">
        <v>50</v>
      </c>
    </row>
    <row r="526" spans="2:26" x14ac:dyDescent="0.25">
      <c r="B526" s="8"/>
    </row>
    <row r="527" spans="2:26" ht="15.75" customHeight="1" x14ac:dyDescent="0.25">
      <c r="B527" s="234" t="s">
        <v>51</v>
      </c>
      <c r="C527" s="234"/>
      <c r="D527" s="234"/>
      <c r="E527" s="234"/>
      <c r="F527" s="18" t="s">
        <v>6</v>
      </c>
      <c r="G527" s="120">
        <f>$G$9</f>
        <v>2026</v>
      </c>
      <c r="H527" s="9" t="s">
        <v>15</v>
      </c>
      <c r="I527" s="121">
        <f>$I$9</f>
        <v>2</v>
      </c>
      <c r="J527" s="235" t="s">
        <v>16</v>
      </c>
      <c r="K527" s="236"/>
      <c r="L527" s="237">
        <f>$L$9</f>
        <v>8</v>
      </c>
      <c r="M527" s="238"/>
      <c r="N527" s="84"/>
      <c r="O527" s="85"/>
      <c r="P527" s="43"/>
      <c r="Q527" s="43"/>
      <c r="Y527" s="32"/>
    </row>
    <row r="528" spans="2:26" ht="17.25" customHeight="1" x14ac:dyDescent="0.25">
      <c r="C528" s="8"/>
      <c r="Z528" s="32"/>
    </row>
    <row r="529" spans="1:25" ht="18.75" customHeight="1" x14ac:dyDescent="0.25">
      <c r="B529" s="255" t="s">
        <v>52</v>
      </c>
      <c r="C529" s="257" t="s">
        <v>53</v>
      </c>
      <c r="D529" s="258"/>
      <c r="E529" s="258"/>
      <c r="F529" s="221" t="s">
        <v>54</v>
      </c>
      <c r="G529" s="223"/>
      <c r="H529" s="223"/>
      <c r="I529" s="259" t="s">
        <v>55</v>
      </c>
      <c r="J529" s="221"/>
      <c r="K529" s="221" t="s">
        <v>56</v>
      </c>
      <c r="L529" s="221"/>
      <c r="M529" s="221"/>
      <c r="N529" s="221"/>
      <c r="O529" s="222" t="s">
        <v>231</v>
      </c>
      <c r="P529" s="222"/>
      <c r="Q529" s="222"/>
      <c r="R529" s="223"/>
      <c r="S529" s="221" t="s">
        <v>57</v>
      </c>
      <c r="T529" s="223"/>
      <c r="U529" s="223"/>
      <c r="V529" s="221" t="s">
        <v>58</v>
      </c>
      <c r="W529" s="223"/>
    </row>
    <row r="530" spans="1:25" ht="26.25" customHeight="1" x14ac:dyDescent="0.25">
      <c r="B530" s="256"/>
      <c r="C530" s="253" t="s">
        <v>59</v>
      </c>
      <c r="D530" s="254"/>
      <c r="E530" s="254"/>
      <c r="F530" s="254"/>
      <c r="G530" s="254"/>
      <c r="H530" s="254"/>
      <c r="I530" s="221"/>
      <c r="J530" s="221"/>
      <c r="K530" s="221"/>
      <c r="L530" s="221"/>
      <c r="M530" s="221"/>
      <c r="N530" s="221"/>
      <c r="O530" s="223"/>
      <c r="P530" s="223"/>
      <c r="Q530" s="223"/>
      <c r="R530" s="223"/>
      <c r="S530" s="223"/>
      <c r="T530" s="223"/>
      <c r="U530" s="223"/>
      <c r="V530" s="223"/>
      <c r="W530" s="223"/>
      <c r="Y530" s="122" t="s">
        <v>242</v>
      </c>
    </row>
    <row r="531" spans="1:25" ht="7.5" customHeight="1" x14ac:dyDescent="0.25">
      <c r="A531" s="260"/>
      <c r="B531" s="241">
        <f>B493+1</f>
        <v>71</v>
      </c>
      <c r="C531" s="244" t="str">
        <f>IF(AND('Data Dan'!$I$71="1 Dan",'Data Dan'!$N$71="LULUS"),VLOOKUP(B531,'Data Dan'!$A$6:$I$475,3,0),"")</f>
        <v/>
      </c>
      <c r="D531" s="245"/>
      <c r="E531" s="245"/>
      <c r="F531" s="248"/>
      <c r="G531" s="249"/>
      <c r="H531" s="250" t="str">
        <f>_xlfn.IFNA(INDEX('Data Dan'!$I$6:$I$495,MATCH(C531,'Data Dan'!$C$6:$C$495,0)),"")</f>
        <v/>
      </c>
      <c r="I531" s="224" t="str">
        <f>IF(AND(S531&lt;&gt;"",V531&lt;&gt;""),IF(V531&gt;=90,"Excellent",IF(V531&gt;=80,"Very Good",IF(V531&gt;=70,"Good",IF(V531&gt;=60,"Fair","Poor")))),"")</f>
        <v/>
      </c>
      <c r="J531" s="224"/>
      <c r="K531" s="44"/>
      <c r="L531" s="45"/>
      <c r="M531" s="45"/>
      <c r="N531" s="46"/>
      <c r="O531" s="44"/>
      <c r="P531" s="45"/>
      <c r="Q531" s="45"/>
      <c r="R531" s="46"/>
      <c r="S531" s="224"/>
      <c r="T531" s="224"/>
      <c r="U531" s="224"/>
      <c r="V531" s="252"/>
      <c r="W531" s="252"/>
      <c r="Y531" s="214" t="str">
        <f>_xlfn.IFNA(VLOOKUP(C531,'Data Dan'!$C$6:$N$995,12,0),"No Data")</f>
        <v>No Data</v>
      </c>
    </row>
    <row r="532" spans="1:25" ht="12" customHeight="1" x14ac:dyDescent="0.25">
      <c r="A532" s="261"/>
      <c r="B532" s="242"/>
      <c r="C532" s="246"/>
      <c r="D532" s="247"/>
      <c r="E532" s="247"/>
      <c r="F532" s="248"/>
      <c r="G532" s="249"/>
      <c r="H532" s="251"/>
      <c r="I532" s="224"/>
      <c r="J532" s="224"/>
      <c r="K532" s="47"/>
      <c r="L532" s="224" t="str">
        <f>IF(C531&lt;&gt;"","V","")</f>
        <v/>
      </c>
      <c r="M532" s="224"/>
      <c r="N532" s="47"/>
      <c r="O532" s="47"/>
      <c r="P532" s="224" t="str">
        <f>IF(C531&lt;&gt;"","V","")</f>
        <v/>
      </c>
      <c r="Q532" s="224"/>
      <c r="R532" s="47"/>
      <c r="S532" s="224"/>
      <c r="T532" s="224"/>
      <c r="U532" s="224"/>
      <c r="V532" s="252"/>
      <c r="W532" s="252"/>
      <c r="Y532" s="214"/>
    </row>
    <row r="533" spans="1:25" ht="9" customHeight="1" x14ac:dyDescent="0.25">
      <c r="A533" s="261"/>
      <c r="B533" s="242"/>
      <c r="C533" s="225" t="str">
        <f>_xlfn.IFNA(INDEX('Data Dan'!$B$6:$B$501,MATCH(C531,'Data Dan'!$C$6:$C$501,0)),"")</f>
        <v/>
      </c>
      <c r="D533" s="226"/>
      <c r="E533" s="226"/>
      <c r="F533" s="226"/>
      <c r="G533" s="226"/>
      <c r="H533" s="227"/>
      <c r="I533" s="224"/>
      <c r="J533" s="224"/>
      <c r="K533" s="47"/>
      <c r="L533" s="224"/>
      <c r="M533" s="224"/>
      <c r="N533" s="47"/>
      <c r="O533" s="47"/>
      <c r="P533" s="224"/>
      <c r="Q533" s="224"/>
      <c r="R533" s="47"/>
      <c r="S533" s="224"/>
      <c r="T533" s="224"/>
      <c r="U533" s="224"/>
      <c r="V533" s="252"/>
      <c r="W533" s="252"/>
      <c r="Y533" s="214"/>
    </row>
    <row r="534" spans="1:25" ht="9" customHeight="1" x14ac:dyDescent="0.25">
      <c r="A534" s="261"/>
      <c r="B534" s="243"/>
      <c r="C534" s="228"/>
      <c r="D534" s="229"/>
      <c r="E534" s="229"/>
      <c r="F534" s="229"/>
      <c r="G534" s="229"/>
      <c r="H534" s="230"/>
      <c r="I534" s="224"/>
      <c r="J534" s="224"/>
      <c r="K534" s="48"/>
      <c r="L534" s="49"/>
      <c r="M534" s="49"/>
      <c r="N534" s="50"/>
      <c r="O534" s="48"/>
      <c r="P534" s="49"/>
      <c r="Q534" s="49"/>
      <c r="R534" s="50"/>
      <c r="S534" s="224"/>
      <c r="T534" s="224"/>
      <c r="U534" s="224"/>
      <c r="V534" s="252"/>
      <c r="W534" s="252"/>
      <c r="Y534" s="214"/>
    </row>
    <row r="535" spans="1:25" ht="7.5" customHeight="1" x14ac:dyDescent="0.25">
      <c r="B535" s="241">
        <f t="shared" ref="B535:B567" si="72">B531+1</f>
        <v>72</v>
      </c>
      <c r="C535" s="244" t="str">
        <f>IF(AND('Data Dan'!$I$72="1 Dan",'Data Dan'!$N$72="LULUS"),VLOOKUP(B535,'Data Dan'!$A$6:$I$475,3,0),"")</f>
        <v/>
      </c>
      <c r="D535" s="245"/>
      <c r="E535" s="245"/>
      <c r="F535" s="248"/>
      <c r="G535" s="249"/>
      <c r="H535" s="250" t="str">
        <f>_xlfn.IFNA(INDEX('Data Dan'!$I$6:$I$495,MATCH(C535,'Data Dan'!$C$6:$C$495,0)),"")</f>
        <v/>
      </c>
      <c r="I535" s="224" t="str">
        <f>IF(AND(S535&lt;&gt;"",V535&lt;&gt;""),IF(V535&gt;=90,"Excellent",IF(V535&gt;=80,"Very Good",IF(V535&gt;=70,"Good",IF(V535&gt;=60,"Fair","Poor")))),"")</f>
        <v/>
      </c>
      <c r="J535" s="224"/>
      <c r="K535" s="44"/>
      <c r="L535" s="45"/>
      <c r="M535" s="45"/>
      <c r="N535" s="46"/>
      <c r="O535" s="44"/>
      <c r="P535" s="45"/>
      <c r="Q535" s="45"/>
      <c r="R535" s="46"/>
      <c r="S535" s="224"/>
      <c r="T535" s="224"/>
      <c r="U535" s="224"/>
      <c r="V535" s="252"/>
      <c r="W535" s="252"/>
      <c r="Y535" s="214" t="str">
        <f>_xlfn.IFNA(VLOOKUP(C535,'Data Dan'!$C$6:$N$995,12,0),"No Data")</f>
        <v>No Data</v>
      </c>
    </row>
    <row r="536" spans="1:25" ht="12" customHeight="1" x14ac:dyDescent="0.25">
      <c r="B536" s="242"/>
      <c r="C536" s="246"/>
      <c r="D536" s="247"/>
      <c r="E536" s="247"/>
      <c r="F536" s="248"/>
      <c r="G536" s="249"/>
      <c r="H536" s="251"/>
      <c r="I536" s="224"/>
      <c r="J536" s="224"/>
      <c r="K536" s="47"/>
      <c r="L536" s="224" t="str">
        <f>IF(C535&lt;&gt;"","V","")</f>
        <v/>
      </c>
      <c r="M536" s="224"/>
      <c r="N536" s="47"/>
      <c r="O536" s="47"/>
      <c r="P536" s="224" t="str">
        <f>IF(C535&lt;&gt;"","V","")</f>
        <v/>
      </c>
      <c r="Q536" s="224"/>
      <c r="R536" s="47"/>
      <c r="S536" s="224"/>
      <c r="T536" s="224"/>
      <c r="U536" s="224"/>
      <c r="V536" s="252"/>
      <c r="W536" s="252"/>
      <c r="Y536" s="214"/>
    </row>
    <row r="537" spans="1:25" ht="9" customHeight="1" x14ac:dyDescent="0.25">
      <c r="B537" s="242"/>
      <c r="C537" s="225" t="str">
        <f>_xlfn.IFNA(INDEX('Data Dan'!$B$6:$B$501,MATCH(C535,'Data Dan'!$C$6:$C$501,0)),"")</f>
        <v/>
      </c>
      <c r="D537" s="226"/>
      <c r="E537" s="226"/>
      <c r="F537" s="226"/>
      <c r="G537" s="226"/>
      <c r="H537" s="227"/>
      <c r="I537" s="224"/>
      <c r="J537" s="224"/>
      <c r="K537" s="47"/>
      <c r="L537" s="224"/>
      <c r="M537" s="224"/>
      <c r="N537" s="47"/>
      <c r="O537" s="47"/>
      <c r="P537" s="224"/>
      <c r="Q537" s="224"/>
      <c r="R537" s="47"/>
      <c r="S537" s="224"/>
      <c r="T537" s="224"/>
      <c r="U537" s="224"/>
      <c r="V537" s="252"/>
      <c r="W537" s="252"/>
      <c r="Y537" s="214"/>
    </row>
    <row r="538" spans="1:25" ht="9" customHeight="1" x14ac:dyDescent="0.25">
      <c r="B538" s="243"/>
      <c r="C538" s="228"/>
      <c r="D538" s="229"/>
      <c r="E538" s="229"/>
      <c r="F538" s="229"/>
      <c r="G538" s="229"/>
      <c r="H538" s="230"/>
      <c r="I538" s="224"/>
      <c r="J538" s="224"/>
      <c r="K538" s="48"/>
      <c r="L538" s="49"/>
      <c r="M538" s="49"/>
      <c r="N538" s="50"/>
      <c r="O538" s="48"/>
      <c r="P538" s="49"/>
      <c r="Q538" s="49"/>
      <c r="R538" s="50"/>
      <c r="S538" s="224"/>
      <c r="T538" s="224"/>
      <c r="U538" s="224"/>
      <c r="V538" s="252"/>
      <c r="W538" s="252"/>
      <c r="Y538" s="214"/>
    </row>
    <row r="539" spans="1:25" ht="7.5" customHeight="1" x14ac:dyDescent="0.25">
      <c r="B539" s="241">
        <f t="shared" si="72"/>
        <v>73</v>
      </c>
      <c r="C539" s="244" t="str">
        <f>IF(AND('Data Dan'!$I$73="1 Dan",'Data Dan'!$N$73="LULUS"),VLOOKUP(B539,'Data Dan'!$A$6:$I$475,3,0),"")</f>
        <v/>
      </c>
      <c r="D539" s="245"/>
      <c r="E539" s="245"/>
      <c r="F539" s="248"/>
      <c r="G539" s="249"/>
      <c r="H539" s="250" t="str">
        <f>_xlfn.IFNA(INDEX('Data Dan'!$I$6:$I$495,MATCH(C539,'Data Dan'!$C$6:$C$495,0)),"")</f>
        <v/>
      </c>
      <c r="I539" s="224" t="str">
        <f t="shared" ref="I539" si="73">IF(AND(S539&lt;&gt;"",V539&lt;&gt;""),IF(V539&gt;=90,"Excellent",IF(V539&gt;=80,"Very Good",IF(V539&gt;=70,"Good",IF(V539&gt;=60,"Fair","Poor")))),"")</f>
        <v/>
      </c>
      <c r="J539" s="224"/>
      <c r="K539" s="44"/>
      <c r="L539" s="45"/>
      <c r="M539" s="45"/>
      <c r="N539" s="46"/>
      <c r="O539" s="44"/>
      <c r="P539" s="45"/>
      <c r="Q539" s="45"/>
      <c r="R539" s="46"/>
      <c r="S539" s="224"/>
      <c r="T539" s="224"/>
      <c r="U539" s="224"/>
      <c r="V539" s="252"/>
      <c r="W539" s="252"/>
      <c r="Y539" s="214" t="str">
        <f>_xlfn.IFNA(VLOOKUP(C539,'Data Dan'!$C$6:$N$995,12,0),"No Data")</f>
        <v>No Data</v>
      </c>
    </row>
    <row r="540" spans="1:25" ht="12" customHeight="1" x14ac:dyDescent="0.25">
      <c r="B540" s="242"/>
      <c r="C540" s="246"/>
      <c r="D540" s="247"/>
      <c r="E540" s="247"/>
      <c r="F540" s="248"/>
      <c r="G540" s="249"/>
      <c r="H540" s="251"/>
      <c r="I540" s="224"/>
      <c r="J540" s="224"/>
      <c r="K540" s="47"/>
      <c r="L540" s="224" t="str">
        <f>IF(C539&lt;&gt;"","V","")</f>
        <v/>
      </c>
      <c r="M540" s="224"/>
      <c r="N540" s="47"/>
      <c r="O540" s="47"/>
      <c r="P540" s="224" t="str">
        <f>IF(C539&lt;&gt;"","V","")</f>
        <v/>
      </c>
      <c r="Q540" s="224"/>
      <c r="R540" s="47"/>
      <c r="S540" s="224"/>
      <c r="T540" s="224"/>
      <c r="U540" s="224"/>
      <c r="V540" s="252"/>
      <c r="W540" s="252"/>
      <c r="Y540" s="214"/>
    </row>
    <row r="541" spans="1:25" ht="9" customHeight="1" x14ac:dyDescent="0.25">
      <c r="B541" s="242"/>
      <c r="C541" s="225" t="str">
        <f>_xlfn.IFNA(INDEX('Data Dan'!$B$6:$B$501,MATCH(C539,'Data Dan'!$C$6:$C$501,0)),"")</f>
        <v/>
      </c>
      <c r="D541" s="226"/>
      <c r="E541" s="226"/>
      <c r="F541" s="226"/>
      <c r="G541" s="226"/>
      <c r="H541" s="227"/>
      <c r="I541" s="224"/>
      <c r="J541" s="224"/>
      <c r="K541" s="47"/>
      <c r="L541" s="224"/>
      <c r="M541" s="224"/>
      <c r="N541" s="47"/>
      <c r="O541" s="47"/>
      <c r="P541" s="224"/>
      <c r="Q541" s="224"/>
      <c r="R541" s="47"/>
      <c r="S541" s="224"/>
      <c r="T541" s="224"/>
      <c r="U541" s="224"/>
      <c r="V541" s="252"/>
      <c r="W541" s="252"/>
      <c r="Y541" s="214"/>
    </row>
    <row r="542" spans="1:25" ht="9" customHeight="1" x14ac:dyDescent="0.25">
      <c r="B542" s="243"/>
      <c r="C542" s="228"/>
      <c r="D542" s="229"/>
      <c r="E542" s="229"/>
      <c r="F542" s="229"/>
      <c r="G542" s="229"/>
      <c r="H542" s="230"/>
      <c r="I542" s="224"/>
      <c r="J542" s="224"/>
      <c r="K542" s="48"/>
      <c r="L542" s="49"/>
      <c r="M542" s="49"/>
      <c r="N542" s="50"/>
      <c r="O542" s="48"/>
      <c r="P542" s="49"/>
      <c r="Q542" s="49"/>
      <c r="R542" s="50"/>
      <c r="S542" s="224"/>
      <c r="T542" s="224"/>
      <c r="U542" s="224"/>
      <c r="V542" s="252"/>
      <c r="W542" s="252"/>
      <c r="Y542" s="214"/>
    </row>
    <row r="543" spans="1:25" ht="7.5" customHeight="1" x14ac:dyDescent="0.25">
      <c r="B543" s="241">
        <f t="shared" si="72"/>
        <v>74</v>
      </c>
      <c r="C543" s="244" t="str">
        <f>IF(AND('Data Dan'!$I$74="1 Dan",'Data Dan'!$N$74="LULUS"),VLOOKUP(B543,'Data Dan'!$A$6:$I$475,3,0),"")</f>
        <v/>
      </c>
      <c r="D543" s="245"/>
      <c r="E543" s="245"/>
      <c r="F543" s="248"/>
      <c r="G543" s="249"/>
      <c r="H543" s="250" t="str">
        <f>_xlfn.IFNA(INDEX('Data Dan'!$I$6:$I$495,MATCH(C543,'Data Dan'!$C$6:$C$495,0)),"")</f>
        <v/>
      </c>
      <c r="I543" s="224" t="str">
        <f t="shared" ref="I543" si="74">IF(AND(S543&lt;&gt;"",V543&lt;&gt;""),IF(V543&gt;=90,"Excellent",IF(V543&gt;=80,"Very Good",IF(V543&gt;=70,"Good",IF(V543&gt;=60,"Fair","Poor")))),"")</f>
        <v/>
      </c>
      <c r="J543" s="224"/>
      <c r="K543" s="44"/>
      <c r="L543" s="45"/>
      <c r="M543" s="45"/>
      <c r="N543" s="46"/>
      <c r="O543" s="44"/>
      <c r="P543" s="45"/>
      <c r="Q543" s="45"/>
      <c r="R543" s="46"/>
      <c r="S543" s="224"/>
      <c r="T543" s="224"/>
      <c r="U543" s="224"/>
      <c r="V543" s="252"/>
      <c r="W543" s="252"/>
      <c r="Y543" s="214" t="str">
        <f>_xlfn.IFNA(VLOOKUP(C543,'Data Dan'!$C$6:$N$995,12,0),"No Data")</f>
        <v>No Data</v>
      </c>
    </row>
    <row r="544" spans="1:25" ht="12" customHeight="1" x14ac:dyDescent="0.25">
      <c r="B544" s="242"/>
      <c r="C544" s="246"/>
      <c r="D544" s="247"/>
      <c r="E544" s="247"/>
      <c r="F544" s="248"/>
      <c r="G544" s="249"/>
      <c r="H544" s="251"/>
      <c r="I544" s="224"/>
      <c r="J544" s="224"/>
      <c r="K544" s="47"/>
      <c r="L544" s="224" t="str">
        <f>IF(C543&lt;&gt;"","V","")</f>
        <v/>
      </c>
      <c r="M544" s="224"/>
      <c r="N544" s="47"/>
      <c r="O544" s="47"/>
      <c r="P544" s="224" t="str">
        <f>IF(C543&lt;&gt;"","V","")</f>
        <v/>
      </c>
      <c r="Q544" s="224"/>
      <c r="R544" s="47"/>
      <c r="S544" s="224"/>
      <c r="T544" s="224"/>
      <c r="U544" s="224"/>
      <c r="V544" s="252"/>
      <c r="W544" s="252"/>
      <c r="Y544" s="214"/>
    </row>
    <row r="545" spans="2:25" ht="9" customHeight="1" x14ac:dyDescent="0.25">
      <c r="B545" s="242"/>
      <c r="C545" s="225" t="str">
        <f>_xlfn.IFNA(INDEX('Data Dan'!$B$6:$B$501,MATCH(C543,'Data Dan'!$C$6:$C$501,0)),"")</f>
        <v/>
      </c>
      <c r="D545" s="226"/>
      <c r="E545" s="226"/>
      <c r="F545" s="226"/>
      <c r="G545" s="226"/>
      <c r="H545" s="227"/>
      <c r="I545" s="224"/>
      <c r="J545" s="224"/>
      <c r="K545" s="47"/>
      <c r="L545" s="224"/>
      <c r="M545" s="224"/>
      <c r="N545" s="47"/>
      <c r="O545" s="47"/>
      <c r="P545" s="224"/>
      <c r="Q545" s="224"/>
      <c r="R545" s="47"/>
      <c r="S545" s="224"/>
      <c r="T545" s="224"/>
      <c r="U545" s="224"/>
      <c r="V545" s="252"/>
      <c r="W545" s="252"/>
      <c r="Y545" s="214"/>
    </row>
    <row r="546" spans="2:25" ht="9" customHeight="1" x14ac:dyDescent="0.25">
      <c r="B546" s="243"/>
      <c r="C546" s="228"/>
      <c r="D546" s="229"/>
      <c r="E546" s="229"/>
      <c r="F546" s="229"/>
      <c r="G546" s="229"/>
      <c r="H546" s="230"/>
      <c r="I546" s="224"/>
      <c r="J546" s="224"/>
      <c r="K546" s="48"/>
      <c r="L546" s="49"/>
      <c r="M546" s="49"/>
      <c r="N546" s="50"/>
      <c r="O546" s="48"/>
      <c r="P546" s="49"/>
      <c r="Q546" s="49"/>
      <c r="R546" s="50"/>
      <c r="S546" s="224"/>
      <c r="T546" s="224"/>
      <c r="U546" s="224"/>
      <c r="V546" s="252"/>
      <c r="W546" s="252"/>
      <c r="Y546" s="214"/>
    </row>
    <row r="547" spans="2:25" ht="7.5" customHeight="1" x14ac:dyDescent="0.25">
      <c r="B547" s="241">
        <f t="shared" si="72"/>
        <v>75</v>
      </c>
      <c r="C547" s="244" t="str">
        <f>IF(AND('Data Dan'!$I$75="1 Dan",'Data Dan'!$N$75="LULUS"),VLOOKUP(B547,'Data Dan'!$A$6:$I$475,3,0),"")</f>
        <v/>
      </c>
      <c r="D547" s="245"/>
      <c r="E547" s="245"/>
      <c r="F547" s="248"/>
      <c r="G547" s="249"/>
      <c r="H547" s="250" t="str">
        <f>_xlfn.IFNA(INDEX('Data Dan'!$I$6:$I$495,MATCH(C547,'Data Dan'!$C$6:$C$495,0)),"")</f>
        <v/>
      </c>
      <c r="I547" s="224" t="str">
        <f t="shared" ref="I547" si="75">IF(AND(S547&lt;&gt;"",V547&lt;&gt;""),IF(V547&gt;=90,"Excellent",IF(V547&gt;=80,"Very Good",IF(V547&gt;=70,"Good",IF(V547&gt;=60,"Fair","Poor")))),"")</f>
        <v/>
      </c>
      <c r="J547" s="224"/>
      <c r="K547" s="44"/>
      <c r="L547" s="45"/>
      <c r="M547" s="45"/>
      <c r="N547" s="46"/>
      <c r="O547" s="44"/>
      <c r="P547" s="45"/>
      <c r="Q547" s="45"/>
      <c r="R547" s="46"/>
      <c r="S547" s="224"/>
      <c r="T547" s="224"/>
      <c r="U547" s="224"/>
      <c r="V547" s="252"/>
      <c r="W547" s="252"/>
      <c r="Y547" s="214" t="str">
        <f>_xlfn.IFNA(VLOOKUP(C547,'Data Dan'!$C$6:$N$995,12,0),"No Data")</f>
        <v>No Data</v>
      </c>
    </row>
    <row r="548" spans="2:25" ht="12" customHeight="1" x14ac:dyDescent="0.25">
      <c r="B548" s="242"/>
      <c r="C548" s="246"/>
      <c r="D548" s="247"/>
      <c r="E548" s="247"/>
      <c r="F548" s="248"/>
      <c r="G548" s="249"/>
      <c r="H548" s="251"/>
      <c r="I548" s="224"/>
      <c r="J548" s="224"/>
      <c r="K548" s="47"/>
      <c r="L548" s="224" t="str">
        <f>IF(C547&lt;&gt;"","V","")</f>
        <v/>
      </c>
      <c r="M548" s="224"/>
      <c r="N548" s="47"/>
      <c r="O548" s="47"/>
      <c r="P548" s="224" t="str">
        <f>IF(C547&lt;&gt;"","V","")</f>
        <v/>
      </c>
      <c r="Q548" s="224"/>
      <c r="R548" s="47"/>
      <c r="S548" s="224"/>
      <c r="T548" s="224"/>
      <c r="U548" s="224"/>
      <c r="V548" s="252"/>
      <c r="W548" s="252"/>
      <c r="Y548" s="214"/>
    </row>
    <row r="549" spans="2:25" ht="9" customHeight="1" x14ac:dyDescent="0.25">
      <c r="B549" s="242"/>
      <c r="C549" s="225" t="str">
        <f>_xlfn.IFNA(INDEX('Data Dan'!$B$6:$B$501,MATCH(C547,'Data Dan'!$C$6:$C$501,0)),"")</f>
        <v/>
      </c>
      <c r="D549" s="226"/>
      <c r="E549" s="226"/>
      <c r="F549" s="226"/>
      <c r="G549" s="226"/>
      <c r="H549" s="227"/>
      <c r="I549" s="224"/>
      <c r="J549" s="224"/>
      <c r="K549" s="47"/>
      <c r="L549" s="224"/>
      <c r="M549" s="224"/>
      <c r="N549" s="47"/>
      <c r="O549" s="47"/>
      <c r="P549" s="224"/>
      <c r="Q549" s="224"/>
      <c r="R549" s="47"/>
      <c r="S549" s="224"/>
      <c r="T549" s="224"/>
      <c r="U549" s="224"/>
      <c r="V549" s="252"/>
      <c r="W549" s="252"/>
      <c r="Y549" s="214"/>
    </row>
    <row r="550" spans="2:25" ht="9" customHeight="1" x14ac:dyDescent="0.25">
      <c r="B550" s="243"/>
      <c r="C550" s="228"/>
      <c r="D550" s="229"/>
      <c r="E550" s="229"/>
      <c r="F550" s="229"/>
      <c r="G550" s="229"/>
      <c r="H550" s="230"/>
      <c r="I550" s="224"/>
      <c r="J550" s="224"/>
      <c r="K550" s="48"/>
      <c r="L550" s="49"/>
      <c r="M550" s="49"/>
      <c r="N550" s="50"/>
      <c r="O550" s="48"/>
      <c r="P550" s="49"/>
      <c r="Q550" s="49"/>
      <c r="R550" s="50"/>
      <c r="S550" s="224"/>
      <c r="T550" s="224"/>
      <c r="U550" s="224"/>
      <c r="V550" s="252"/>
      <c r="W550" s="252"/>
      <c r="Y550" s="214"/>
    </row>
    <row r="551" spans="2:25" ht="7.5" customHeight="1" x14ac:dyDescent="0.25">
      <c r="B551" s="241">
        <f t="shared" si="72"/>
        <v>76</v>
      </c>
      <c r="C551" s="244" t="str">
        <f>IF(AND('Data Dan'!$I$76="1 Dan",'Data Dan'!$N$76="LULUS"),VLOOKUP(B551,'Data Dan'!$A$6:$I$475,3,0),"")</f>
        <v/>
      </c>
      <c r="D551" s="245"/>
      <c r="E551" s="245"/>
      <c r="F551" s="248"/>
      <c r="G551" s="249"/>
      <c r="H551" s="250" t="str">
        <f>_xlfn.IFNA(INDEX('Data Dan'!$I$6:$I$495,MATCH(C551,'Data Dan'!$C$6:$C$495,0)),"")</f>
        <v/>
      </c>
      <c r="I551" s="224" t="str">
        <f t="shared" ref="I551" si="76">IF(AND(S551&lt;&gt;"",V551&lt;&gt;""),IF(V551&gt;=90,"Excellent",IF(V551&gt;=80,"Very Good",IF(V551&gt;=70,"Good",IF(V551&gt;=60,"Fair","Poor")))),"")</f>
        <v/>
      </c>
      <c r="J551" s="224"/>
      <c r="K551" s="44"/>
      <c r="L551" s="45"/>
      <c r="M551" s="45"/>
      <c r="N551" s="46"/>
      <c r="O551" s="44"/>
      <c r="P551" s="45"/>
      <c r="Q551" s="45"/>
      <c r="R551" s="46"/>
      <c r="S551" s="224"/>
      <c r="T551" s="224"/>
      <c r="U551" s="224"/>
      <c r="V551" s="252"/>
      <c r="W551" s="252"/>
      <c r="Y551" s="214" t="str">
        <f>_xlfn.IFNA(VLOOKUP(C551,'Data Dan'!$C$6:$N$995,12,0),"No Data")</f>
        <v>No Data</v>
      </c>
    </row>
    <row r="552" spans="2:25" ht="12" customHeight="1" x14ac:dyDescent="0.25">
      <c r="B552" s="242"/>
      <c r="C552" s="246"/>
      <c r="D552" s="247"/>
      <c r="E552" s="247"/>
      <c r="F552" s="248"/>
      <c r="G552" s="249"/>
      <c r="H552" s="251"/>
      <c r="I552" s="224"/>
      <c r="J552" s="224"/>
      <c r="K552" s="47"/>
      <c r="L552" s="224" t="str">
        <f>IF(C551&lt;&gt;"","V","")</f>
        <v/>
      </c>
      <c r="M552" s="224"/>
      <c r="N552" s="47"/>
      <c r="O552" s="47"/>
      <c r="P552" s="224" t="str">
        <f>IF(C551&lt;&gt;"","V","")</f>
        <v/>
      </c>
      <c r="Q552" s="224"/>
      <c r="R552" s="47"/>
      <c r="S552" s="224"/>
      <c r="T552" s="224"/>
      <c r="U552" s="224"/>
      <c r="V552" s="252"/>
      <c r="W552" s="252"/>
      <c r="Y552" s="214"/>
    </row>
    <row r="553" spans="2:25" ht="9" customHeight="1" x14ac:dyDescent="0.25">
      <c r="B553" s="242"/>
      <c r="C553" s="225" t="str">
        <f>_xlfn.IFNA(INDEX('Data Dan'!$B$6:$B$501,MATCH(C551,'Data Dan'!$C$6:$C$501,0)),"")</f>
        <v/>
      </c>
      <c r="D553" s="226"/>
      <c r="E553" s="226"/>
      <c r="F553" s="226"/>
      <c r="G553" s="226"/>
      <c r="H553" s="227"/>
      <c r="I553" s="224"/>
      <c r="J553" s="224"/>
      <c r="K553" s="47"/>
      <c r="L553" s="224"/>
      <c r="M553" s="224"/>
      <c r="N553" s="47"/>
      <c r="O553" s="47"/>
      <c r="P553" s="224"/>
      <c r="Q553" s="224"/>
      <c r="R553" s="47"/>
      <c r="S553" s="224"/>
      <c r="T553" s="224"/>
      <c r="U553" s="224"/>
      <c r="V553" s="252"/>
      <c r="W553" s="252"/>
      <c r="Y553" s="214"/>
    </row>
    <row r="554" spans="2:25" ht="9" customHeight="1" x14ac:dyDescent="0.25">
      <c r="B554" s="243"/>
      <c r="C554" s="228"/>
      <c r="D554" s="229"/>
      <c r="E554" s="229"/>
      <c r="F554" s="229"/>
      <c r="G554" s="229"/>
      <c r="H554" s="230"/>
      <c r="I554" s="224"/>
      <c r="J554" s="224"/>
      <c r="K554" s="48"/>
      <c r="L554" s="49"/>
      <c r="M554" s="49"/>
      <c r="N554" s="50"/>
      <c r="O554" s="48"/>
      <c r="P554" s="49"/>
      <c r="Q554" s="49"/>
      <c r="R554" s="50"/>
      <c r="S554" s="224"/>
      <c r="T554" s="224"/>
      <c r="U554" s="224"/>
      <c r="V554" s="252"/>
      <c r="W554" s="252"/>
      <c r="Y554" s="214"/>
    </row>
    <row r="555" spans="2:25" ht="7.5" customHeight="1" x14ac:dyDescent="0.25">
      <c r="B555" s="241">
        <f t="shared" si="72"/>
        <v>77</v>
      </c>
      <c r="C555" s="244" t="str">
        <f>IF(AND('Data Dan'!$I$77="1 Dan",'Data Dan'!$N$77="LULUS"),VLOOKUP(B555,'Data Dan'!$A$6:$I$475,3,0),"")</f>
        <v/>
      </c>
      <c r="D555" s="245"/>
      <c r="E555" s="245"/>
      <c r="F555" s="248"/>
      <c r="G555" s="249"/>
      <c r="H555" s="250" t="str">
        <f>_xlfn.IFNA(INDEX('Data Dan'!$I$6:$I$495,MATCH(C555,'Data Dan'!$C$6:$C$495,0)),"")</f>
        <v/>
      </c>
      <c r="I555" s="224" t="str">
        <f t="shared" ref="I555" si="77">IF(AND(S555&lt;&gt;"",V555&lt;&gt;""),IF(V555&gt;=90,"Excellent",IF(V555&gt;=80,"Very Good",IF(V555&gt;=70,"Good",IF(V555&gt;=60,"Fair","Poor")))),"")</f>
        <v/>
      </c>
      <c r="J555" s="224"/>
      <c r="K555" s="44"/>
      <c r="L555" s="45"/>
      <c r="M555" s="45"/>
      <c r="N555" s="46"/>
      <c r="O555" s="44"/>
      <c r="P555" s="45"/>
      <c r="Q555" s="45"/>
      <c r="R555" s="46"/>
      <c r="S555" s="224"/>
      <c r="T555" s="224"/>
      <c r="U555" s="224"/>
      <c r="V555" s="252"/>
      <c r="W555" s="252"/>
      <c r="Y555" s="214" t="str">
        <f>_xlfn.IFNA(VLOOKUP(C555,'Data Dan'!$C$6:$N$995,12,0),"No Data")</f>
        <v>No Data</v>
      </c>
    </row>
    <row r="556" spans="2:25" ht="12" customHeight="1" x14ac:dyDescent="0.25">
      <c r="B556" s="242"/>
      <c r="C556" s="246"/>
      <c r="D556" s="247"/>
      <c r="E556" s="247"/>
      <c r="F556" s="248"/>
      <c r="G556" s="249"/>
      <c r="H556" s="251"/>
      <c r="I556" s="224"/>
      <c r="J556" s="224"/>
      <c r="K556" s="47"/>
      <c r="L556" s="224" t="str">
        <f>IF(C555&lt;&gt;"","V","")</f>
        <v/>
      </c>
      <c r="M556" s="224"/>
      <c r="N556" s="47"/>
      <c r="O556" s="47"/>
      <c r="P556" s="224" t="str">
        <f>IF(C555&lt;&gt;"","V","")</f>
        <v/>
      </c>
      <c r="Q556" s="224"/>
      <c r="R556" s="47"/>
      <c r="S556" s="224"/>
      <c r="T556" s="224"/>
      <c r="U556" s="224"/>
      <c r="V556" s="252"/>
      <c r="W556" s="252"/>
      <c r="Y556" s="214"/>
    </row>
    <row r="557" spans="2:25" ht="9" customHeight="1" x14ac:dyDescent="0.25">
      <c r="B557" s="242"/>
      <c r="C557" s="225" t="str">
        <f>_xlfn.IFNA(INDEX('Data Dan'!$B$6:$B$501,MATCH(C555,'Data Dan'!$C$6:$C$501,0)),"")</f>
        <v/>
      </c>
      <c r="D557" s="226"/>
      <c r="E557" s="226"/>
      <c r="F557" s="226"/>
      <c r="G557" s="226"/>
      <c r="H557" s="227"/>
      <c r="I557" s="224"/>
      <c r="J557" s="224"/>
      <c r="K557" s="47"/>
      <c r="L557" s="224"/>
      <c r="M557" s="224"/>
      <c r="N557" s="47"/>
      <c r="O557" s="47"/>
      <c r="P557" s="224"/>
      <c r="Q557" s="224"/>
      <c r="R557" s="47"/>
      <c r="S557" s="224"/>
      <c r="T557" s="224"/>
      <c r="U557" s="224"/>
      <c r="V557" s="252"/>
      <c r="W557" s="252"/>
      <c r="Y557" s="214"/>
    </row>
    <row r="558" spans="2:25" ht="9" customHeight="1" x14ac:dyDescent="0.25">
      <c r="B558" s="243"/>
      <c r="C558" s="228"/>
      <c r="D558" s="229"/>
      <c r="E558" s="229"/>
      <c r="F558" s="229"/>
      <c r="G558" s="229"/>
      <c r="H558" s="230"/>
      <c r="I558" s="224"/>
      <c r="J558" s="224"/>
      <c r="K558" s="48"/>
      <c r="L558" s="49"/>
      <c r="M558" s="49"/>
      <c r="N558" s="50"/>
      <c r="O558" s="48"/>
      <c r="P558" s="49"/>
      <c r="Q558" s="49"/>
      <c r="R558" s="50"/>
      <c r="S558" s="224"/>
      <c r="T558" s="224"/>
      <c r="U558" s="224"/>
      <c r="V558" s="252"/>
      <c r="W558" s="252"/>
      <c r="Y558" s="214"/>
    </row>
    <row r="559" spans="2:25" ht="7.5" customHeight="1" x14ac:dyDescent="0.25">
      <c r="B559" s="241">
        <f t="shared" si="72"/>
        <v>78</v>
      </c>
      <c r="C559" s="244" t="str">
        <f>IF(AND('Data Dan'!$I$78="1 Dan",'Data Dan'!$N$78="LULUS"),VLOOKUP(B559,'Data Dan'!$A$6:$I$475,3,0),"")</f>
        <v/>
      </c>
      <c r="D559" s="245"/>
      <c r="E559" s="245"/>
      <c r="F559" s="248"/>
      <c r="G559" s="249"/>
      <c r="H559" s="250" t="str">
        <f>_xlfn.IFNA(INDEX('Data Dan'!$I$6:$I$495,MATCH(C559,'Data Dan'!$C$6:$C$495,0)),"")</f>
        <v/>
      </c>
      <c r="I559" s="224" t="str">
        <f t="shared" ref="I559" si="78">IF(AND(S559&lt;&gt;"",V559&lt;&gt;""),IF(V559&gt;=90,"Excellent",IF(V559&gt;=80,"Very Good",IF(V559&gt;=70,"Good",IF(V559&gt;=60,"Fair","Poor")))),"")</f>
        <v/>
      </c>
      <c r="J559" s="224"/>
      <c r="K559" s="44"/>
      <c r="L559" s="45"/>
      <c r="M559" s="45"/>
      <c r="N559" s="46"/>
      <c r="O559" s="44"/>
      <c r="P559" s="45"/>
      <c r="Q559" s="45"/>
      <c r="R559" s="46"/>
      <c r="S559" s="224"/>
      <c r="T559" s="224"/>
      <c r="U559" s="224"/>
      <c r="V559" s="252"/>
      <c r="W559" s="252"/>
      <c r="Y559" s="214" t="str">
        <f>_xlfn.IFNA(VLOOKUP(C559,'Data Dan'!$C$6:$N$995,12,0),"No Data")</f>
        <v>No Data</v>
      </c>
    </row>
    <row r="560" spans="2:25" ht="12" customHeight="1" x14ac:dyDescent="0.25">
      <c r="B560" s="242"/>
      <c r="C560" s="246"/>
      <c r="D560" s="247"/>
      <c r="E560" s="247"/>
      <c r="F560" s="248"/>
      <c r="G560" s="249"/>
      <c r="H560" s="251"/>
      <c r="I560" s="224"/>
      <c r="J560" s="224"/>
      <c r="K560" s="47"/>
      <c r="L560" s="224" t="str">
        <f>IF(C559&lt;&gt;"","V","")</f>
        <v/>
      </c>
      <c r="M560" s="224"/>
      <c r="N560" s="47"/>
      <c r="O560" s="47"/>
      <c r="P560" s="224" t="str">
        <f>IF(C559&lt;&gt;"","V","")</f>
        <v/>
      </c>
      <c r="Q560" s="224"/>
      <c r="R560" s="47"/>
      <c r="S560" s="224"/>
      <c r="T560" s="224"/>
      <c r="U560" s="224"/>
      <c r="V560" s="252"/>
      <c r="W560" s="252"/>
      <c r="Y560" s="214"/>
    </row>
    <row r="561" spans="2:25" ht="9" customHeight="1" x14ac:dyDescent="0.25">
      <c r="B561" s="242"/>
      <c r="C561" s="225" t="str">
        <f>_xlfn.IFNA(INDEX('Data Dan'!$B$6:$B$501,MATCH(C559,'Data Dan'!$C$6:$C$501,0)),"")</f>
        <v/>
      </c>
      <c r="D561" s="226"/>
      <c r="E561" s="226"/>
      <c r="F561" s="226"/>
      <c r="G561" s="226"/>
      <c r="H561" s="227"/>
      <c r="I561" s="224"/>
      <c r="J561" s="224"/>
      <c r="K561" s="47"/>
      <c r="L561" s="224"/>
      <c r="M561" s="224"/>
      <c r="N561" s="47"/>
      <c r="O561" s="47"/>
      <c r="P561" s="224"/>
      <c r="Q561" s="224"/>
      <c r="R561" s="47"/>
      <c r="S561" s="224"/>
      <c r="T561" s="224"/>
      <c r="U561" s="224"/>
      <c r="V561" s="252"/>
      <c r="W561" s="252"/>
      <c r="Y561" s="214"/>
    </row>
    <row r="562" spans="2:25" ht="9" customHeight="1" x14ac:dyDescent="0.25">
      <c r="B562" s="243"/>
      <c r="C562" s="228"/>
      <c r="D562" s="229"/>
      <c r="E562" s="229"/>
      <c r="F562" s="229"/>
      <c r="G562" s="229"/>
      <c r="H562" s="230"/>
      <c r="I562" s="224"/>
      <c r="J562" s="224"/>
      <c r="K562" s="48"/>
      <c r="L562" s="49"/>
      <c r="M562" s="49"/>
      <c r="N562" s="50"/>
      <c r="O562" s="48"/>
      <c r="P562" s="49"/>
      <c r="Q562" s="49"/>
      <c r="R562" s="50"/>
      <c r="S562" s="224"/>
      <c r="T562" s="224"/>
      <c r="U562" s="224"/>
      <c r="V562" s="252"/>
      <c r="W562" s="252"/>
      <c r="Y562" s="214"/>
    </row>
    <row r="563" spans="2:25" ht="7.5" customHeight="1" x14ac:dyDescent="0.25">
      <c r="B563" s="241">
        <f t="shared" si="72"/>
        <v>79</v>
      </c>
      <c r="C563" s="244" t="str">
        <f>IF(AND('Data Dan'!$I$79="1 Dan",'Data Dan'!$N$79="LULUS"),VLOOKUP(B563,'Data Dan'!$A$6:$I$475,3,0),"")</f>
        <v/>
      </c>
      <c r="D563" s="245"/>
      <c r="E563" s="245"/>
      <c r="F563" s="248"/>
      <c r="G563" s="249"/>
      <c r="H563" s="250" t="str">
        <f>_xlfn.IFNA(INDEX('Data Dan'!$I$6:$I$495,MATCH(C563,'Data Dan'!$C$6:$C$495,0)),"")</f>
        <v/>
      </c>
      <c r="I563" s="224" t="str">
        <f t="shared" ref="I563" si="79">IF(AND(S563&lt;&gt;"",V563&lt;&gt;""),IF(V563&gt;=90,"Excellent",IF(V563&gt;=80,"Very Good",IF(V563&gt;=70,"Good",IF(V563&gt;=60,"Fair","Poor")))),"")</f>
        <v/>
      </c>
      <c r="J563" s="224"/>
      <c r="K563" s="44"/>
      <c r="L563" s="45"/>
      <c r="M563" s="45"/>
      <c r="N563" s="46"/>
      <c r="O563" s="44"/>
      <c r="P563" s="45"/>
      <c r="Q563" s="45"/>
      <c r="R563" s="46"/>
      <c r="S563" s="224"/>
      <c r="T563" s="224"/>
      <c r="U563" s="224"/>
      <c r="V563" s="252"/>
      <c r="W563" s="252"/>
      <c r="Y563" s="214" t="str">
        <f>_xlfn.IFNA(VLOOKUP(C563,'Data Dan'!$C$6:$N$995,12,0),"No Data")</f>
        <v>No Data</v>
      </c>
    </row>
    <row r="564" spans="2:25" ht="12" customHeight="1" x14ac:dyDescent="0.25">
      <c r="B564" s="242"/>
      <c r="C564" s="246"/>
      <c r="D564" s="247"/>
      <c r="E564" s="247"/>
      <c r="F564" s="248"/>
      <c r="G564" s="249"/>
      <c r="H564" s="251"/>
      <c r="I564" s="224"/>
      <c r="J564" s="224"/>
      <c r="K564" s="47"/>
      <c r="L564" s="224" t="str">
        <f>IF(C563&lt;&gt;"","V","")</f>
        <v/>
      </c>
      <c r="M564" s="224"/>
      <c r="N564" s="47"/>
      <c r="O564" s="47"/>
      <c r="P564" s="224" t="str">
        <f>IF(C563&lt;&gt;"","V","")</f>
        <v/>
      </c>
      <c r="Q564" s="224"/>
      <c r="R564" s="47"/>
      <c r="S564" s="224"/>
      <c r="T564" s="224"/>
      <c r="U564" s="224"/>
      <c r="V564" s="252"/>
      <c r="W564" s="252"/>
      <c r="Y564" s="214"/>
    </row>
    <row r="565" spans="2:25" ht="9" customHeight="1" x14ac:dyDescent="0.25">
      <c r="B565" s="242"/>
      <c r="C565" s="225" t="str">
        <f>_xlfn.IFNA(INDEX('Data Dan'!$B$6:$B$501,MATCH(C563,'Data Dan'!$C$6:$C$501,0)),"")</f>
        <v/>
      </c>
      <c r="D565" s="226"/>
      <c r="E565" s="226"/>
      <c r="F565" s="226"/>
      <c r="G565" s="226"/>
      <c r="H565" s="227"/>
      <c r="I565" s="224"/>
      <c r="J565" s="224"/>
      <c r="K565" s="47"/>
      <c r="L565" s="224"/>
      <c r="M565" s="224"/>
      <c r="N565" s="47"/>
      <c r="O565" s="47"/>
      <c r="P565" s="224"/>
      <c r="Q565" s="224"/>
      <c r="R565" s="47"/>
      <c r="S565" s="224"/>
      <c r="T565" s="224"/>
      <c r="U565" s="224"/>
      <c r="V565" s="252"/>
      <c r="W565" s="252"/>
      <c r="Y565" s="214"/>
    </row>
    <row r="566" spans="2:25" ht="9" customHeight="1" x14ac:dyDescent="0.25">
      <c r="B566" s="243"/>
      <c r="C566" s="228"/>
      <c r="D566" s="229"/>
      <c r="E566" s="229"/>
      <c r="F566" s="229"/>
      <c r="G566" s="229"/>
      <c r="H566" s="230"/>
      <c r="I566" s="224"/>
      <c r="J566" s="224"/>
      <c r="K566" s="48"/>
      <c r="L566" s="49"/>
      <c r="M566" s="49"/>
      <c r="N566" s="50"/>
      <c r="O566" s="48"/>
      <c r="P566" s="49"/>
      <c r="Q566" s="49"/>
      <c r="R566" s="50"/>
      <c r="S566" s="224"/>
      <c r="T566" s="224"/>
      <c r="U566" s="224"/>
      <c r="V566" s="252"/>
      <c r="W566" s="252"/>
      <c r="Y566" s="214"/>
    </row>
    <row r="567" spans="2:25" ht="7.5" customHeight="1" x14ac:dyDescent="0.25">
      <c r="B567" s="241">
        <f t="shared" si="72"/>
        <v>80</v>
      </c>
      <c r="C567" s="244" t="str">
        <f>IF(AND('Data Dan'!$I$80="1 Dan",'Data Dan'!$N$80="LULUS"),VLOOKUP(B567,'Data Dan'!$A$6:$I$475,3,0),"")</f>
        <v/>
      </c>
      <c r="D567" s="245"/>
      <c r="E567" s="245"/>
      <c r="F567" s="248"/>
      <c r="G567" s="249"/>
      <c r="H567" s="250" t="str">
        <f>_xlfn.IFNA(INDEX('Data Dan'!$I$6:$I$495,MATCH(C567,'Data Dan'!$C$6:$C$495,0)),"")</f>
        <v/>
      </c>
      <c r="I567" s="224" t="str">
        <f t="shared" ref="I567" si="80">IF(AND(S567&lt;&gt;"",V567&lt;&gt;""),IF(V567&gt;=90,"Excellent",IF(V567&gt;=80,"Very Good",IF(V567&gt;=70,"Good",IF(V567&gt;=60,"Fair","Poor")))),"")</f>
        <v/>
      </c>
      <c r="J567" s="224"/>
      <c r="K567" s="44"/>
      <c r="L567" s="45"/>
      <c r="M567" s="45"/>
      <c r="N567" s="46"/>
      <c r="O567" s="44"/>
      <c r="P567" s="45"/>
      <c r="Q567" s="45"/>
      <c r="R567" s="46"/>
      <c r="S567" s="224"/>
      <c r="T567" s="224"/>
      <c r="U567" s="224"/>
      <c r="V567" s="252"/>
      <c r="W567" s="252"/>
      <c r="Y567" s="214" t="str">
        <f>_xlfn.IFNA(VLOOKUP(C567,'Data Dan'!$C$6:$N$995,12,0),"No Data")</f>
        <v>No Data</v>
      </c>
    </row>
    <row r="568" spans="2:25" ht="12" customHeight="1" x14ac:dyDescent="0.25">
      <c r="B568" s="242"/>
      <c r="C568" s="246"/>
      <c r="D568" s="247"/>
      <c r="E568" s="247"/>
      <c r="F568" s="248"/>
      <c r="G568" s="249"/>
      <c r="H568" s="251"/>
      <c r="I568" s="224"/>
      <c r="J568" s="224"/>
      <c r="K568" s="47"/>
      <c r="L568" s="224" t="str">
        <f>IF(C567&lt;&gt;"","V","")</f>
        <v/>
      </c>
      <c r="M568" s="224"/>
      <c r="N568" s="47"/>
      <c r="O568" s="47"/>
      <c r="P568" s="224" t="str">
        <f>IF(C567&lt;&gt;"","V","")</f>
        <v/>
      </c>
      <c r="Q568" s="224"/>
      <c r="R568" s="47"/>
      <c r="S568" s="224"/>
      <c r="T568" s="224"/>
      <c r="U568" s="224"/>
      <c r="V568" s="252"/>
      <c r="W568" s="252"/>
      <c r="Y568" s="214"/>
    </row>
    <row r="569" spans="2:25" ht="9" customHeight="1" x14ac:dyDescent="0.25">
      <c r="B569" s="242"/>
      <c r="C569" s="225" t="str">
        <f>_xlfn.IFNA(INDEX('Data Dan'!$B$6:$B$501,MATCH(C567,'Data Dan'!$C$6:$C$501,0)),"")</f>
        <v/>
      </c>
      <c r="D569" s="226"/>
      <c r="E569" s="226"/>
      <c r="F569" s="226"/>
      <c r="G569" s="226"/>
      <c r="H569" s="227"/>
      <c r="I569" s="224"/>
      <c r="J569" s="224"/>
      <c r="K569" s="47"/>
      <c r="L569" s="224"/>
      <c r="M569" s="224"/>
      <c r="N569" s="47"/>
      <c r="O569" s="47"/>
      <c r="P569" s="224"/>
      <c r="Q569" s="224"/>
      <c r="R569" s="47"/>
      <c r="S569" s="224"/>
      <c r="T569" s="224"/>
      <c r="U569" s="224"/>
      <c r="V569" s="252"/>
      <c r="W569" s="252"/>
      <c r="Y569" s="214"/>
    </row>
    <row r="570" spans="2:25" ht="9" customHeight="1" x14ac:dyDescent="0.25">
      <c r="B570" s="243"/>
      <c r="C570" s="228"/>
      <c r="D570" s="229"/>
      <c r="E570" s="229"/>
      <c r="F570" s="229"/>
      <c r="G570" s="229"/>
      <c r="H570" s="230"/>
      <c r="I570" s="224"/>
      <c r="J570" s="224"/>
      <c r="K570" s="48"/>
      <c r="L570" s="49"/>
      <c r="M570" s="49"/>
      <c r="N570" s="50"/>
      <c r="O570" s="48"/>
      <c r="P570" s="49"/>
      <c r="Q570" s="49"/>
      <c r="R570" s="50"/>
      <c r="S570" s="224"/>
      <c r="T570" s="224"/>
      <c r="U570" s="224"/>
      <c r="V570" s="252"/>
      <c r="W570" s="252"/>
      <c r="Y570" s="214"/>
    </row>
    <row r="571" spans="2:25" ht="7.5" customHeight="1" x14ac:dyDescent="0.25"/>
    <row r="572" spans="2:25" s="34" customFormat="1" x14ac:dyDescent="0.25">
      <c r="C572" s="35" t="s">
        <v>60</v>
      </c>
      <c r="I572" s="262" t="s">
        <v>28</v>
      </c>
      <c r="J572" s="262"/>
    </row>
    <row r="573" spans="2:25" x14ac:dyDescent="0.25">
      <c r="C573" s="33" t="s">
        <v>31</v>
      </c>
      <c r="D573" s="149"/>
      <c r="E573" s="149"/>
      <c r="F573" s="149"/>
      <c r="G573" s="149"/>
      <c r="H573" s="149"/>
      <c r="I573" s="263" t="s">
        <v>29</v>
      </c>
      <c r="J573" s="263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</row>
    <row r="574" spans="2:25" ht="6.75" customHeight="1" x14ac:dyDescent="0.25">
      <c r="D574" s="34"/>
      <c r="E574" s="34"/>
      <c r="F574" s="34"/>
      <c r="G574" s="34"/>
      <c r="H574" s="34"/>
    </row>
    <row r="575" spans="2:25" s="34" customFormat="1" x14ac:dyDescent="0.25">
      <c r="C575" s="35" t="s">
        <v>61</v>
      </c>
      <c r="I575" s="262" t="s">
        <v>36</v>
      </c>
      <c r="J575" s="262"/>
    </row>
    <row r="576" spans="2:25" x14ac:dyDescent="0.25">
      <c r="C576" s="33" t="s">
        <v>33</v>
      </c>
      <c r="D576" s="149"/>
      <c r="E576" s="149"/>
      <c r="F576" s="149"/>
      <c r="G576" s="149"/>
      <c r="H576" s="149"/>
      <c r="I576" s="263" t="s">
        <v>29</v>
      </c>
      <c r="J576" s="263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</row>
    <row r="577" spans="2:25" ht="6.75" customHeight="1" x14ac:dyDescent="0.25">
      <c r="D577" s="34"/>
      <c r="E577" s="34"/>
      <c r="F577" s="34"/>
      <c r="G577" s="34"/>
      <c r="H577" s="34"/>
    </row>
    <row r="578" spans="2:25" s="34" customFormat="1" ht="13.8" x14ac:dyDescent="0.25">
      <c r="C578" s="35" t="s">
        <v>62</v>
      </c>
      <c r="D578" s="177" t="s">
        <v>195</v>
      </c>
      <c r="E578" s="177"/>
      <c r="F578" s="177"/>
      <c r="G578" s="177"/>
      <c r="H578" s="177"/>
      <c r="I578" s="262" t="s">
        <v>28</v>
      </c>
      <c r="J578" s="262"/>
      <c r="Y578" s="70" t="s">
        <v>106</v>
      </c>
    </row>
    <row r="579" spans="2:25" ht="13.8" x14ac:dyDescent="0.25">
      <c r="C579" s="33" t="s">
        <v>35</v>
      </c>
      <c r="D579" s="178"/>
      <c r="E579" s="178"/>
      <c r="F579" s="178"/>
      <c r="G579" s="178"/>
      <c r="H579" s="178"/>
      <c r="I579" s="263" t="s">
        <v>29</v>
      </c>
      <c r="J579" s="263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Y579" s="70" t="s">
        <v>105</v>
      </c>
    </row>
    <row r="580" spans="2:25" ht="12.75" customHeight="1" thickBot="1" x14ac:dyDescent="0.3"/>
    <row r="581" spans="2:25" ht="13.8" thickTop="1" x14ac:dyDescent="0.25">
      <c r="B581" s="34" t="s">
        <v>37</v>
      </c>
      <c r="F581" s="150" t="s">
        <v>40</v>
      </c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</row>
    <row r="582" spans="2:25" x14ac:dyDescent="0.25">
      <c r="B582" s="34" t="s">
        <v>38</v>
      </c>
      <c r="F582" s="152"/>
      <c r="G582" s="153"/>
      <c r="H582" s="153"/>
      <c r="I582" s="153"/>
      <c r="J582" s="153"/>
      <c r="K582" s="153"/>
      <c r="L582" s="153"/>
      <c r="M582" s="153"/>
      <c r="N582" s="153"/>
      <c r="O582" s="153"/>
      <c r="P582" s="153"/>
      <c r="Q582" s="153"/>
      <c r="R582" s="153"/>
      <c r="S582" s="153"/>
      <c r="T582" s="153"/>
      <c r="U582" s="153"/>
      <c r="V582" s="153"/>
      <c r="W582" s="153"/>
    </row>
    <row r="583" spans="2:25" ht="11.25" customHeight="1" x14ac:dyDescent="0.25">
      <c r="B583" s="163" t="s">
        <v>39</v>
      </c>
      <c r="C583" s="163"/>
      <c r="D583" s="163"/>
      <c r="F583" s="37" t="s">
        <v>41</v>
      </c>
    </row>
    <row r="584" spans="2:25" ht="15" customHeight="1" x14ac:dyDescent="0.25">
      <c r="B584" s="163"/>
      <c r="C584" s="163"/>
      <c r="D584" s="163"/>
      <c r="F584" s="38" t="s">
        <v>42</v>
      </c>
    </row>
    <row r="585" spans="2:25" ht="11.25" customHeight="1" x14ac:dyDescent="0.25">
      <c r="B585" s="163"/>
      <c r="C585" s="163"/>
      <c r="D585" s="163"/>
      <c r="F585" s="36"/>
    </row>
    <row r="586" spans="2:25" x14ac:dyDescent="0.25">
      <c r="B586" s="163"/>
      <c r="C586" s="163"/>
      <c r="D586" s="163"/>
      <c r="F586" s="36"/>
    </row>
    <row r="587" spans="2:25" x14ac:dyDescent="0.25">
      <c r="F587" s="36"/>
    </row>
    <row r="588" spans="2:25" x14ac:dyDescent="0.25">
      <c r="F588" s="36"/>
    </row>
    <row r="589" spans="2:25" x14ac:dyDescent="0.25">
      <c r="F589" s="36"/>
    </row>
    <row r="590" spans="2:25" x14ac:dyDescent="0.25">
      <c r="F590" s="36"/>
    </row>
    <row r="591" spans="2:25" ht="13.8" x14ac:dyDescent="0.25">
      <c r="F591" s="157" t="s">
        <v>201</v>
      </c>
      <c r="G591" s="158"/>
      <c r="H591" s="158"/>
      <c r="I591" s="158"/>
      <c r="J591" s="158"/>
      <c r="K591" s="158"/>
      <c r="L591" s="158"/>
      <c r="M591" s="158"/>
      <c r="N591" s="158"/>
      <c r="O591" s="158"/>
      <c r="P591" s="158"/>
      <c r="Q591" s="158"/>
      <c r="R591" s="158"/>
      <c r="S591" s="158"/>
      <c r="T591" s="158"/>
      <c r="U591" s="158"/>
      <c r="V591" s="158"/>
      <c r="W591" s="158"/>
    </row>
    <row r="592" spans="2:25" x14ac:dyDescent="0.25">
      <c r="F592" s="36"/>
    </row>
    <row r="593" spans="1:26" ht="28.5" customHeight="1" x14ac:dyDescent="0.3">
      <c r="B593" s="193" t="s">
        <v>46</v>
      </c>
      <c r="C593" s="194"/>
      <c r="D593" s="194"/>
      <c r="E593" s="194"/>
      <c r="F593" s="194"/>
      <c r="G593" s="2"/>
      <c r="H593" s="2"/>
      <c r="I593" s="13" t="s">
        <v>47</v>
      </c>
      <c r="J593" s="195" t="s">
        <v>14</v>
      </c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7"/>
      <c r="Y593" s="1"/>
    </row>
    <row r="594" spans="1:26" ht="26.25" customHeight="1" x14ac:dyDescent="0.4">
      <c r="B594" s="39" t="s">
        <v>48</v>
      </c>
      <c r="C594" s="2"/>
      <c r="D594" s="2"/>
      <c r="E594" s="2"/>
      <c r="F594" s="2"/>
      <c r="G594" s="2"/>
      <c r="H594" s="2"/>
      <c r="I594" s="29" t="s">
        <v>13</v>
      </c>
      <c r="J594" s="15">
        <v>4</v>
      </c>
      <c r="K594" s="215">
        <v>1</v>
      </c>
      <c r="L594" s="216"/>
      <c r="M594" s="15">
        <v>0</v>
      </c>
      <c r="N594" s="198">
        <v>0</v>
      </c>
      <c r="O594" s="199"/>
      <c r="P594" s="217">
        <v>0</v>
      </c>
      <c r="Q594" s="218"/>
      <c r="R594" s="219">
        <v>1</v>
      </c>
      <c r="S594" s="220"/>
      <c r="U594" s="6"/>
      <c r="V594" s="6"/>
      <c r="W594" s="7"/>
      <c r="Y594" s="1"/>
    </row>
    <row r="595" spans="1:26" ht="21" customHeight="1" x14ac:dyDescent="0.25">
      <c r="B595" s="26" t="s">
        <v>237</v>
      </c>
      <c r="C595" s="25"/>
      <c r="D595" s="25"/>
      <c r="E595" s="25"/>
      <c r="F595" s="25"/>
      <c r="G595" s="25"/>
      <c r="H595" s="25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Y595" s="1"/>
    </row>
    <row r="596" spans="1:26" ht="13.5" customHeight="1" x14ac:dyDescent="0.25">
      <c r="B596" s="40" t="s">
        <v>24</v>
      </c>
      <c r="C596" s="25"/>
      <c r="D596" s="25"/>
      <c r="E596" s="25"/>
      <c r="F596" s="25"/>
      <c r="G596" s="25"/>
      <c r="H596" s="25"/>
      <c r="I596" s="28" t="s">
        <v>6</v>
      </c>
      <c r="J596" s="231">
        <f>$J$4</f>
        <v>2026</v>
      </c>
      <c r="K596" s="232"/>
      <c r="L596" s="28"/>
      <c r="M596" s="204" t="s">
        <v>15</v>
      </c>
      <c r="N596" s="204"/>
      <c r="O596" s="204"/>
      <c r="P596" s="239">
        <f>$P$4</f>
        <v>2</v>
      </c>
      <c r="Q596" s="240"/>
      <c r="R596" s="86"/>
      <c r="S596" s="233" t="s">
        <v>16</v>
      </c>
      <c r="T596" s="233"/>
      <c r="U596" s="239">
        <f>$U$4</f>
        <v>10</v>
      </c>
      <c r="V596" s="240"/>
      <c r="X596" s="1"/>
    </row>
    <row r="597" spans="1:26" ht="9.75" customHeight="1" x14ac:dyDescent="0.25"/>
    <row r="598" spans="1:26" ht="11.25" customHeight="1" x14ac:dyDescent="0.25">
      <c r="B598" s="24" t="s">
        <v>49</v>
      </c>
    </row>
    <row r="599" spans="1:26" ht="11.25" customHeight="1" x14ac:dyDescent="0.25">
      <c r="B599" s="8" t="s">
        <v>50</v>
      </c>
    </row>
    <row r="600" spans="1:26" x14ac:dyDescent="0.25">
      <c r="B600" s="8"/>
    </row>
    <row r="601" spans="1:26" ht="15.75" customHeight="1" x14ac:dyDescent="0.25">
      <c r="B601" s="234" t="s">
        <v>51</v>
      </c>
      <c r="C601" s="234"/>
      <c r="D601" s="234"/>
      <c r="E601" s="234"/>
      <c r="F601" s="18" t="s">
        <v>6</v>
      </c>
      <c r="G601" s="120">
        <f>$G$9</f>
        <v>2026</v>
      </c>
      <c r="H601" s="9" t="s">
        <v>15</v>
      </c>
      <c r="I601" s="121">
        <f>$I$9</f>
        <v>2</v>
      </c>
      <c r="J601" s="235" t="s">
        <v>16</v>
      </c>
      <c r="K601" s="236"/>
      <c r="L601" s="237">
        <f>$L$9</f>
        <v>8</v>
      </c>
      <c r="M601" s="238"/>
      <c r="N601" s="84"/>
      <c r="O601" s="85"/>
      <c r="P601" s="43"/>
      <c r="Q601" s="43"/>
      <c r="Y601" s="32"/>
    </row>
    <row r="602" spans="1:26" ht="17.25" customHeight="1" x14ac:dyDescent="0.25">
      <c r="C602" s="8"/>
      <c r="Z602" s="32"/>
    </row>
    <row r="603" spans="1:26" ht="18.75" customHeight="1" x14ac:dyDescent="0.25">
      <c r="B603" s="255" t="s">
        <v>52</v>
      </c>
      <c r="C603" s="257" t="s">
        <v>53</v>
      </c>
      <c r="D603" s="258"/>
      <c r="E603" s="258"/>
      <c r="F603" s="221" t="s">
        <v>54</v>
      </c>
      <c r="G603" s="223"/>
      <c r="H603" s="223"/>
      <c r="I603" s="259" t="s">
        <v>55</v>
      </c>
      <c r="J603" s="221"/>
      <c r="K603" s="221" t="s">
        <v>56</v>
      </c>
      <c r="L603" s="221"/>
      <c r="M603" s="221"/>
      <c r="N603" s="221"/>
      <c r="O603" s="222" t="s">
        <v>231</v>
      </c>
      <c r="P603" s="222"/>
      <c r="Q603" s="222"/>
      <c r="R603" s="223"/>
      <c r="S603" s="221" t="s">
        <v>57</v>
      </c>
      <c r="T603" s="223"/>
      <c r="U603" s="223"/>
      <c r="V603" s="221" t="s">
        <v>58</v>
      </c>
      <c r="W603" s="223"/>
    </row>
    <row r="604" spans="1:26" ht="26.25" customHeight="1" x14ac:dyDescent="0.25">
      <c r="B604" s="256"/>
      <c r="C604" s="253" t="s">
        <v>59</v>
      </c>
      <c r="D604" s="254"/>
      <c r="E604" s="254"/>
      <c r="F604" s="254"/>
      <c r="G604" s="254"/>
      <c r="H604" s="254"/>
      <c r="I604" s="221"/>
      <c r="J604" s="221"/>
      <c r="K604" s="221"/>
      <c r="L604" s="221"/>
      <c r="M604" s="221"/>
      <c r="N604" s="221"/>
      <c r="O604" s="223"/>
      <c r="P604" s="223"/>
      <c r="Q604" s="223"/>
      <c r="R604" s="223"/>
      <c r="S604" s="223"/>
      <c r="T604" s="223"/>
      <c r="U604" s="223"/>
      <c r="V604" s="223"/>
      <c r="W604" s="223"/>
      <c r="Y604" s="122" t="s">
        <v>242</v>
      </c>
    </row>
    <row r="605" spans="1:26" ht="7.5" customHeight="1" x14ac:dyDescent="0.25">
      <c r="A605" s="260"/>
      <c r="B605" s="241">
        <f>B567+1</f>
        <v>81</v>
      </c>
      <c r="C605" s="244" t="str">
        <f>IF(AND('Data Dan'!$I$81="1 Dan",'Data Dan'!$N$81="LULUS"),VLOOKUP(B605,'Data Dan'!$A$6:$I$475,3,0),"")</f>
        <v/>
      </c>
      <c r="D605" s="245"/>
      <c r="E605" s="245"/>
      <c r="F605" s="248"/>
      <c r="G605" s="249"/>
      <c r="H605" s="250" t="str">
        <f>_xlfn.IFNA(INDEX('Data Dan'!$I$6:$I$495,MATCH(C605,'Data Dan'!$C$6:$C$495,0)),"")</f>
        <v/>
      </c>
      <c r="I605" s="224" t="str">
        <f>IF(AND(S605&lt;&gt;"",V605&lt;&gt;""),IF(V605&gt;=90,"Excellent",IF(V605&gt;=80,"Very Good",IF(V605&gt;=70,"Good",IF(V605&gt;=60,"Fair","Poor")))),"")</f>
        <v/>
      </c>
      <c r="J605" s="224"/>
      <c r="K605" s="44"/>
      <c r="L605" s="45"/>
      <c r="M605" s="45"/>
      <c r="N605" s="46"/>
      <c r="O605" s="44"/>
      <c r="P605" s="45"/>
      <c r="Q605" s="45"/>
      <c r="R605" s="46"/>
      <c r="S605" s="224"/>
      <c r="T605" s="224"/>
      <c r="U605" s="224"/>
      <c r="V605" s="252"/>
      <c r="W605" s="252"/>
      <c r="Y605" s="214" t="str">
        <f>_xlfn.IFNA(VLOOKUP(C605,'Data Dan'!$C$6:$N$995,12,0),"No Data")</f>
        <v>No Data</v>
      </c>
    </row>
    <row r="606" spans="1:26" ht="12" customHeight="1" x14ac:dyDescent="0.25">
      <c r="A606" s="261"/>
      <c r="B606" s="242"/>
      <c r="C606" s="246"/>
      <c r="D606" s="247"/>
      <c r="E606" s="247"/>
      <c r="F606" s="248"/>
      <c r="G606" s="249"/>
      <c r="H606" s="251"/>
      <c r="I606" s="224"/>
      <c r="J606" s="224"/>
      <c r="K606" s="47"/>
      <c r="L606" s="224" t="str">
        <f>IF(C605&lt;&gt;"","V","")</f>
        <v/>
      </c>
      <c r="M606" s="224"/>
      <c r="N606" s="47"/>
      <c r="O606" s="47"/>
      <c r="P606" s="224" t="str">
        <f>IF(C605&lt;&gt;"","V","")</f>
        <v/>
      </c>
      <c r="Q606" s="224"/>
      <c r="R606" s="47"/>
      <c r="S606" s="224"/>
      <c r="T606" s="224"/>
      <c r="U606" s="224"/>
      <c r="V606" s="252"/>
      <c r="W606" s="252"/>
      <c r="Y606" s="214"/>
    </row>
    <row r="607" spans="1:26" ht="9" customHeight="1" x14ac:dyDescent="0.25">
      <c r="A607" s="261"/>
      <c r="B607" s="242"/>
      <c r="C607" s="225" t="str">
        <f>_xlfn.IFNA(INDEX('Data Dan'!$B$6:$B$501,MATCH(C605,'Data Dan'!$C$6:$C$501,0)),"")</f>
        <v/>
      </c>
      <c r="D607" s="226"/>
      <c r="E607" s="226"/>
      <c r="F607" s="226"/>
      <c r="G607" s="226"/>
      <c r="H607" s="227"/>
      <c r="I607" s="224"/>
      <c r="J607" s="224"/>
      <c r="K607" s="47"/>
      <c r="L607" s="224"/>
      <c r="M607" s="224"/>
      <c r="N607" s="47"/>
      <c r="O607" s="47"/>
      <c r="P607" s="224"/>
      <c r="Q607" s="224"/>
      <c r="R607" s="47"/>
      <c r="S607" s="224"/>
      <c r="T607" s="224"/>
      <c r="U607" s="224"/>
      <c r="V607" s="252"/>
      <c r="W607" s="252"/>
      <c r="Y607" s="214"/>
    </row>
    <row r="608" spans="1:26" ht="9" customHeight="1" x14ac:dyDescent="0.25">
      <c r="A608" s="261"/>
      <c r="B608" s="243"/>
      <c r="C608" s="228"/>
      <c r="D608" s="229"/>
      <c r="E608" s="229"/>
      <c r="F608" s="229"/>
      <c r="G608" s="229"/>
      <c r="H608" s="230"/>
      <c r="I608" s="224"/>
      <c r="J608" s="224"/>
      <c r="K608" s="48"/>
      <c r="L608" s="49"/>
      <c r="M608" s="49"/>
      <c r="N608" s="50"/>
      <c r="O608" s="48"/>
      <c r="P608" s="49"/>
      <c r="Q608" s="49"/>
      <c r="R608" s="50"/>
      <c r="S608" s="224"/>
      <c r="T608" s="224"/>
      <c r="U608" s="224"/>
      <c r="V608" s="252"/>
      <c r="W608" s="252"/>
      <c r="Y608" s="214"/>
    </row>
    <row r="609" spans="2:25" ht="7.5" customHeight="1" x14ac:dyDescent="0.25">
      <c r="B609" s="241">
        <f t="shared" ref="B609:B641" si="81">B605+1</f>
        <v>82</v>
      </c>
      <c r="C609" s="244" t="str">
        <f>IF(AND('Data Dan'!$I$82="1 Dan",'Data Dan'!$N$82="LULUS"),VLOOKUP(B609,'Data Dan'!$A$6:$I$475,3,0),"")</f>
        <v/>
      </c>
      <c r="D609" s="245"/>
      <c r="E609" s="245"/>
      <c r="F609" s="248"/>
      <c r="G609" s="249"/>
      <c r="H609" s="250" t="str">
        <f>_xlfn.IFNA(INDEX('Data Dan'!$I$6:$I$495,MATCH(C609,'Data Dan'!$C$6:$C$495,0)),"")</f>
        <v/>
      </c>
      <c r="I609" s="224" t="str">
        <f>IF(AND(S609&lt;&gt;"",V609&lt;&gt;""),IF(V609&gt;=90,"Excellent",IF(V609&gt;=80,"Very Good",IF(V609&gt;=70,"Good",IF(V609&gt;=60,"Fair","Poor")))),"")</f>
        <v/>
      </c>
      <c r="J609" s="224"/>
      <c r="K609" s="44"/>
      <c r="L609" s="45"/>
      <c r="M609" s="45"/>
      <c r="N609" s="46"/>
      <c r="O609" s="44"/>
      <c r="P609" s="45"/>
      <c r="Q609" s="45"/>
      <c r="R609" s="46"/>
      <c r="S609" s="224"/>
      <c r="T609" s="224"/>
      <c r="U609" s="224"/>
      <c r="V609" s="252"/>
      <c r="W609" s="252"/>
      <c r="Y609" s="214" t="str">
        <f>_xlfn.IFNA(VLOOKUP(C609,'Data Dan'!$C$6:$N$995,12,0),"No Data")</f>
        <v>No Data</v>
      </c>
    </row>
    <row r="610" spans="2:25" ht="12" customHeight="1" x14ac:dyDescent="0.25">
      <c r="B610" s="242"/>
      <c r="C610" s="246"/>
      <c r="D610" s="247"/>
      <c r="E610" s="247"/>
      <c r="F610" s="248"/>
      <c r="G610" s="249"/>
      <c r="H610" s="251"/>
      <c r="I610" s="224"/>
      <c r="J610" s="224"/>
      <c r="K610" s="47"/>
      <c r="L610" s="224" t="str">
        <f>IF(C609&lt;&gt;"","V","")</f>
        <v/>
      </c>
      <c r="M610" s="224"/>
      <c r="N610" s="47"/>
      <c r="O610" s="47"/>
      <c r="P610" s="224" t="str">
        <f>IF(C609&lt;&gt;"","V","")</f>
        <v/>
      </c>
      <c r="Q610" s="224"/>
      <c r="R610" s="47"/>
      <c r="S610" s="224"/>
      <c r="T610" s="224"/>
      <c r="U610" s="224"/>
      <c r="V610" s="252"/>
      <c r="W610" s="252"/>
      <c r="Y610" s="214"/>
    </row>
    <row r="611" spans="2:25" ht="9" customHeight="1" x14ac:dyDescent="0.25">
      <c r="B611" s="242"/>
      <c r="C611" s="225" t="str">
        <f>_xlfn.IFNA(INDEX('Data Dan'!$B$6:$B$501,MATCH(C609,'Data Dan'!$C$6:$C$501,0)),"")</f>
        <v/>
      </c>
      <c r="D611" s="226"/>
      <c r="E611" s="226"/>
      <c r="F611" s="226"/>
      <c r="G611" s="226"/>
      <c r="H611" s="227"/>
      <c r="I611" s="224"/>
      <c r="J611" s="224"/>
      <c r="K611" s="47"/>
      <c r="L611" s="224"/>
      <c r="M611" s="224"/>
      <c r="N611" s="47"/>
      <c r="O611" s="47"/>
      <c r="P611" s="224"/>
      <c r="Q611" s="224"/>
      <c r="R611" s="47"/>
      <c r="S611" s="224"/>
      <c r="T611" s="224"/>
      <c r="U611" s="224"/>
      <c r="V611" s="252"/>
      <c r="W611" s="252"/>
      <c r="Y611" s="214"/>
    </row>
    <row r="612" spans="2:25" ht="9" customHeight="1" x14ac:dyDescent="0.25">
      <c r="B612" s="243"/>
      <c r="C612" s="228"/>
      <c r="D612" s="229"/>
      <c r="E612" s="229"/>
      <c r="F612" s="229"/>
      <c r="G612" s="229"/>
      <c r="H612" s="230"/>
      <c r="I612" s="224"/>
      <c r="J612" s="224"/>
      <c r="K612" s="48"/>
      <c r="L612" s="49"/>
      <c r="M612" s="49"/>
      <c r="N612" s="50"/>
      <c r="O612" s="48"/>
      <c r="P612" s="49"/>
      <c r="Q612" s="49"/>
      <c r="R612" s="50"/>
      <c r="S612" s="224"/>
      <c r="T612" s="224"/>
      <c r="U612" s="224"/>
      <c r="V612" s="252"/>
      <c r="W612" s="252"/>
      <c r="Y612" s="214"/>
    </row>
    <row r="613" spans="2:25" ht="7.5" customHeight="1" x14ac:dyDescent="0.25">
      <c r="B613" s="241">
        <f t="shared" si="81"/>
        <v>83</v>
      </c>
      <c r="C613" s="244" t="str">
        <f>IF(AND('Data Dan'!$I$83="1 Dan",'Data Dan'!$N$83="LULUS"),VLOOKUP(B613,'Data Dan'!$A$6:$I$475,3,0),"")</f>
        <v/>
      </c>
      <c r="D613" s="245"/>
      <c r="E613" s="245"/>
      <c r="F613" s="248"/>
      <c r="G613" s="249"/>
      <c r="H613" s="250" t="str">
        <f>_xlfn.IFNA(INDEX('Data Dan'!$I$6:$I$495,MATCH(C613,'Data Dan'!$C$6:$C$495,0)),"")</f>
        <v/>
      </c>
      <c r="I613" s="224" t="str">
        <f t="shared" ref="I613" si="82">IF(AND(S613&lt;&gt;"",V613&lt;&gt;""),IF(V613&gt;=90,"Excellent",IF(V613&gt;=80,"Very Good",IF(V613&gt;=70,"Good",IF(V613&gt;=60,"Fair","Poor")))),"")</f>
        <v/>
      </c>
      <c r="J613" s="224"/>
      <c r="K613" s="44"/>
      <c r="L613" s="45"/>
      <c r="M613" s="45"/>
      <c r="N613" s="46"/>
      <c r="O613" s="44"/>
      <c r="P613" s="45"/>
      <c r="Q613" s="45"/>
      <c r="R613" s="46"/>
      <c r="S613" s="224"/>
      <c r="T613" s="224"/>
      <c r="U613" s="224"/>
      <c r="V613" s="252"/>
      <c r="W613" s="252"/>
      <c r="Y613" s="214" t="str">
        <f>_xlfn.IFNA(VLOOKUP(C613,'Data Dan'!$C$6:$N$995,12,0),"No Data")</f>
        <v>No Data</v>
      </c>
    </row>
    <row r="614" spans="2:25" ht="12" customHeight="1" x14ac:dyDescent="0.25">
      <c r="B614" s="242"/>
      <c r="C614" s="246"/>
      <c r="D614" s="247"/>
      <c r="E614" s="247"/>
      <c r="F614" s="248"/>
      <c r="G614" s="249"/>
      <c r="H614" s="251"/>
      <c r="I614" s="224"/>
      <c r="J614" s="224"/>
      <c r="K614" s="47"/>
      <c r="L614" s="224" t="str">
        <f>IF(C613&lt;&gt;"","V","")</f>
        <v/>
      </c>
      <c r="M614" s="224"/>
      <c r="N614" s="47"/>
      <c r="O614" s="47"/>
      <c r="P614" s="224" t="str">
        <f>IF(C613&lt;&gt;"","V","")</f>
        <v/>
      </c>
      <c r="Q614" s="224"/>
      <c r="R614" s="47"/>
      <c r="S614" s="224"/>
      <c r="T614" s="224"/>
      <c r="U614" s="224"/>
      <c r="V614" s="252"/>
      <c r="W614" s="252"/>
      <c r="Y614" s="214"/>
    </row>
    <row r="615" spans="2:25" ht="9" customHeight="1" x14ac:dyDescent="0.25">
      <c r="B615" s="242"/>
      <c r="C615" s="225" t="str">
        <f>_xlfn.IFNA(INDEX('Data Dan'!$B$6:$B$501,MATCH(C613,'Data Dan'!$C$6:$C$501,0)),"")</f>
        <v/>
      </c>
      <c r="D615" s="226"/>
      <c r="E615" s="226"/>
      <c r="F615" s="226"/>
      <c r="G615" s="226"/>
      <c r="H615" s="227"/>
      <c r="I615" s="224"/>
      <c r="J615" s="224"/>
      <c r="K615" s="47"/>
      <c r="L615" s="224"/>
      <c r="M615" s="224"/>
      <c r="N615" s="47"/>
      <c r="O615" s="47"/>
      <c r="P615" s="224"/>
      <c r="Q615" s="224"/>
      <c r="R615" s="47"/>
      <c r="S615" s="224"/>
      <c r="T615" s="224"/>
      <c r="U615" s="224"/>
      <c r="V615" s="252"/>
      <c r="W615" s="252"/>
      <c r="Y615" s="214"/>
    </row>
    <row r="616" spans="2:25" ht="9" customHeight="1" x14ac:dyDescent="0.25">
      <c r="B616" s="243"/>
      <c r="C616" s="228"/>
      <c r="D616" s="229"/>
      <c r="E616" s="229"/>
      <c r="F616" s="229"/>
      <c r="G616" s="229"/>
      <c r="H616" s="230"/>
      <c r="I616" s="224"/>
      <c r="J616" s="224"/>
      <c r="K616" s="48"/>
      <c r="L616" s="49"/>
      <c r="M616" s="49"/>
      <c r="N616" s="50"/>
      <c r="O616" s="48"/>
      <c r="P616" s="49"/>
      <c r="Q616" s="49"/>
      <c r="R616" s="50"/>
      <c r="S616" s="224"/>
      <c r="T616" s="224"/>
      <c r="U616" s="224"/>
      <c r="V616" s="252"/>
      <c r="W616" s="252"/>
      <c r="Y616" s="214"/>
    </row>
    <row r="617" spans="2:25" ht="7.5" customHeight="1" x14ac:dyDescent="0.25">
      <c r="B617" s="241">
        <f t="shared" si="81"/>
        <v>84</v>
      </c>
      <c r="C617" s="244" t="str">
        <f>IF(AND('Data Dan'!$I$84="1 Dan",'Data Dan'!$N$84="LULUS"),VLOOKUP(B617,'Data Dan'!$A$6:$I$475,3,0),"")</f>
        <v/>
      </c>
      <c r="D617" s="245"/>
      <c r="E617" s="245"/>
      <c r="F617" s="248"/>
      <c r="G617" s="249"/>
      <c r="H617" s="250" t="str">
        <f>_xlfn.IFNA(INDEX('Data Dan'!$I$6:$I$495,MATCH(C617,'Data Dan'!$C$6:$C$495,0)),"")</f>
        <v/>
      </c>
      <c r="I617" s="224" t="str">
        <f t="shared" ref="I617" si="83">IF(AND(S617&lt;&gt;"",V617&lt;&gt;""),IF(V617&gt;=90,"Excellent",IF(V617&gt;=80,"Very Good",IF(V617&gt;=70,"Good",IF(V617&gt;=60,"Fair","Poor")))),"")</f>
        <v/>
      </c>
      <c r="J617" s="224"/>
      <c r="K617" s="44"/>
      <c r="L617" s="45"/>
      <c r="M617" s="45"/>
      <c r="N617" s="46"/>
      <c r="O617" s="44"/>
      <c r="P617" s="45"/>
      <c r="Q617" s="45"/>
      <c r="R617" s="46"/>
      <c r="S617" s="224"/>
      <c r="T617" s="224"/>
      <c r="U617" s="224"/>
      <c r="V617" s="252"/>
      <c r="W617" s="252"/>
      <c r="Y617" s="214" t="str">
        <f>_xlfn.IFNA(VLOOKUP(C617,'Data Dan'!$C$6:$N$995,12,0),"No Data")</f>
        <v>No Data</v>
      </c>
    </row>
    <row r="618" spans="2:25" ht="12" customHeight="1" x14ac:dyDescent="0.25">
      <c r="B618" s="242"/>
      <c r="C618" s="246"/>
      <c r="D618" s="247"/>
      <c r="E618" s="247"/>
      <c r="F618" s="248"/>
      <c r="G618" s="249"/>
      <c r="H618" s="251"/>
      <c r="I618" s="224"/>
      <c r="J618" s="224"/>
      <c r="K618" s="47"/>
      <c r="L618" s="224" t="str">
        <f>IF(C617&lt;&gt;"","V","")</f>
        <v/>
      </c>
      <c r="M618" s="224"/>
      <c r="N618" s="47"/>
      <c r="O618" s="47"/>
      <c r="P618" s="224" t="str">
        <f>IF(C617&lt;&gt;"","V","")</f>
        <v/>
      </c>
      <c r="Q618" s="224"/>
      <c r="R618" s="47"/>
      <c r="S618" s="224"/>
      <c r="T618" s="224"/>
      <c r="U618" s="224"/>
      <c r="V618" s="252"/>
      <c r="W618" s="252"/>
      <c r="Y618" s="214"/>
    </row>
    <row r="619" spans="2:25" ht="9" customHeight="1" x14ac:dyDescent="0.25">
      <c r="B619" s="242"/>
      <c r="C619" s="225" t="str">
        <f>_xlfn.IFNA(INDEX('Data Dan'!$B$6:$B$501,MATCH(C617,'Data Dan'!$C$6:$C$501,0)),"")</f>
        <v/>
      </c>
      <c r="D619" s="226"/>
      <c r="E619" s="226"/>
      <c r="F619" s="226"/>
      <c r="G619" s="226"/>
      <c r="H619" s="227"/>
      <c r="I619" s="224"/>
      <c r="J619" s="224"/>
      <c r="K619" s="47"/>
      <c r="L619" s="224"/>
      <c r="M619" s="224"/>
      <c r="N619" s="47"/>
      <c r="O619" s="47"/>
      <c r="P619" s="224"/>
      <c r="Q619" s="224"/>
      <c r="R619" s="47"/>
      <c r="S619" s="224"/>
      <c r="T619" s="224"/>
      <c r="U619" s="224"/>
      <c r="V619" s="252"/>
      <c r="W619" s="252"/>
      <c r="Y619" s="214"/>
    </row>
    <row r="620" spans="2:25" ht="9" customHeight="1" x14ac:dyDescent="0.25">
      <c r="B620" s="243"/>
      <c r="C620" s="228"/>
      <c r="D620" s="229"/>
      <c r="E620" s="229"/>
      <c r="F620" s="229"/>
      <c r="G620" s="229"/>
      <c r="H620" s="230"/>
      <c r="I620" s="224"/>
      <c r="J620" s="224"/>
      <c r="K620" s="48"/>
      <c r="L620" s="49"/>
      <c r="M620" s="49"/>
      <c r="N620" s="50"/>
      <c r="O620" s="48"/>
      <c r="P620" s="49"/>
      <c r="Q620" s="49"/>
      <c r="R620" s="50"/>
      <c r="S620" s="224"/>
      <c r="T620" s="224"/>
      <c r="U620" s="224"/>
      <c r="V620" s="252"/>
      <c r="W620" s="252"/>
      <c r="Y620" s="214"/>
    </row>
    <row r="621" spans="2:25" ht="7.5" customHeight="1" x14ac:dyDescent="0.25">
      <c r="B621" s="241">
        <f t="shared" si="81"/>
        <v>85</v>
      </c>
      <c r="C621" s="244" t="str">
        <f>IF(AND('Data Dan'!$I$85="1 Dan",'Data Dan'!$N$85="LULUS"),VLOOKUP(B621,'Data Dan'!$A$6:$I$475,3,0),"")</f>
        <v/>
      </c>
      <c r="D621" s="245"/>
      <c r="E621" s="245"/>
      <c r="F621" s="248"/>
      <c r="G621" s="249"/>
      <c r="H621" s="250" t="str">
        <f>_xlfn.IFNA(INDEX('Data Dan'!$I$6:$I$495,MATCH(C621,'Data Dan'!$C$6:$C$495,0)),"")</f>
        <v/>
      </c>
      <c r="I621" s="224" t="str">
        <f t="shared" ref="I621" si="84">IF(AND(S621&lt;&gt;"",V621&lt;&gt;""),IF(V621&gt;=90,"Excellent",IF(V621&gt;=80,"Very Good",IF(V621&gt;=70,"Good",IF(V621&gt;=60,"Fair","Poor")))),"")</f>
        <v/>
      </c>
      <c r="J621" s="224"/>
      <c r="K621" s="44"/>
      <c r="L621" s="45"/>
      <c r="M621" s="45"/>
      <c r="N621" s="46"/>
      <c r="O621" s="44"/>
      <c r="P621" s="45"/>
      <c r="Q621" s="45"/>
      <c r="R621" s="46"/>
      <c r="S621" s="224"/>
      <c r="T621" s="224"/>
      <c r="U621" s="224"/>
      <c r="V621" s="252"/>
      <c r="W621" s="252"/>
      <c r="Y621" s="214" t="str">
        <f>_xlfn.IFNA(VLOOKUP(C621,'Data Dan'!$C$6:$N$995,12,0),"No Data")</f>
        <v>No Data</v>
      </c>
    </row>
    <row r="622" spans="2:25" ht="12" customHeight="1" x14ac:dyDescent="0.25">
      <c r="B622" s="242"/>
      <c r="C622" s="246"/>
      <c r="D622" s="247"/>
      <c r="E622" s="247"/>
      <c r="F622" s="248"/>
      <c r="G622" s="249"/>
      <c r="H622" s="251"/>
      <c r="I622" s="224"/>
      <c r="J622" s="224"/>
      <c r="K622" s="47"/>
      <c r="L622" s="224" t="str">
        <f>IF(C621&lt;&gt;"","V","")</f>
        <v/>
      </c>
      <c r="M622" s="224"/>
      <c r="N622" s="47"/>
      <c r="O622" s="47"/>
      <c r="P622" s="224" t="str">
        <f>IF(C621&lt;&gt;"","V","")</f>
        <v/>
      </c>
      <c r="Q622" s="224"/>
      <c r="R622" s="47"/>
      <c r="S622" s="224"/>
      <c r="T622" s="224"/>
      <c r="U622" s="224"/>
      <c r="V622" s="252"/>
      <c r="W622" s="252"/>
      <c r="Y622" s="214"/>
    </row>
    <row r="623" spans="2:25" ht="9" customHeight="1" x14ac:dyDescent="0.25">
      <c r="B623" s="242"/>
      <c r="C623" s="225" t="str">
        <f>_xlfn.IFNA(INDEX('Data Dan'!$B$6:$B$501,MATCH(C621,'Data Dan'!$C$6:$C$501,0)),"")</f>
        <v/>
      </c>
      <c r="D623" s="226"/>
      <c r="E623" s="226"/>
      <c r="F623" s="226"/>
      <c r="G623" s="226"/>
      <c r="H623" s="227"/>
      <c r="I623" s="224"/>
      <c r="J623" s="224"/>
      <c r="K623" s="47"/>
      <c r="L623" s="224"/>
      <c r="M623" s="224"/>
      <c r="N623" s="47"/>
      <c r="O623" s="47"/>
      <c r="P623" s="224"/>
      <c r="Q623" s="224"/>
      <c r="R623" s="47"/>
      <c r="S623" s="224"/>
      <c r="T623" s="224"/>
      <c r="U623" s="224"/>
      <c r="V623" s="252"/>
      <c r="W623" s="252"/>
      <c r="Y623" s="214"/>
    </row>
    <row r="624" spans="2:25" ht="9" customHeight="1" x14ac:dyDescent="0.25">
      <c r="B624" s="243"/>
      <c r="C624" s="228"/>
      <c r="D624" s="229"/>
      <c r="E624" s="229"/>
      <c r="F624" s="229"/>
      <c r="G624" s="229"/>
      <c r="H624" s="230"/>
      <c r="I624" s="224"/>
      <c r="J624" s="224"/>
      <c r="K624" s="48"/>
      <c r="L624" s="49"/>
      <c r="M624" s="49"/>
      <c r="N624" s="50"/>
      <c r="O624" s="48"/>
      <c r="P624" s="49"/>
      <c r="Q624" s="49"/>
      <c r="R624" s="50"/>
      <c r="S624" s="224"/>
      <c r="T624" s="224"/>
      <c r="U624" s="224"/>
      <c r="V624" s="252"/>
      <c r="W624" s="252"/>
      <c r="Y624" s="214"/>
    </row>
    <row r="625" spans="2:25" ht="7.5" customHeight="1" x14ac:dyDescent="0.25">
      <c r="B625" s="241">
        <f t="shared" si="81"/>
        <v>86</v>
      </c>
      <c r="C625" s="244" t="str">
        <f>IF(AND('Data Dan'!$I$86="1 Dan",'Data Dan'!$N$86="LULUS"),VLOOKUP(B625,'Data Dan'!$A$6:$I$475,3,0),"")</f>
        <v/>
      </c>
      <c r="D625" s="245"/>
      <c r="E625" s="245"/>
      <c r="F625" s="248"/>
      <c r="G625" s="249"/>
      <c r="H625" s="250" t="str">
        <f>_xlfn.IFNA(INDEX('Data Dan'!$I$6:$I$495,MATCH(C625,'Data Dan'!$C$6:$C$495,0)),"")</f>
        <v/>
      </c>
      <c r="I625" s="224" t="str">
        <f t="shared" ref="I625" si="85">IF(AND(S625&lt;&gt;"",V625&lt;&gt;""),IF(V625&gt;=90,"Excellent",IF(V625&gt;=80,"Very Good",IF(V625&gt;=70,"Good",IF(V625&gt;=60,"Fair","Poor")))),"")</f>
        <v/>
      </c>
      <c r="J625" s="224"/>
      <c r="K625" s="44"/>
      <c r="L625" s="45"/>
      <c r="M625" s="45"/>
      <c r="N625" s="46"/>
      <c r="O625" s="44"/>
      <c r="P625" s="45"/>
      <c r="Q625" s="45"/>
      <c r="R625" s="46"/>
      <c r="S625" s="224"/>
      <c r="T625" s="224"/>
      <c r="U625" s="224"/>
      <c r="V625" s="252"/>
      <c r="W625" s="252"/>
      <c r="Y625" s="214" t="str">
        <f>_xlfn.IFNA(VLOOKUP(C625,'Data Dan'!$C$6:$N$995,12,0),"No Data")</f>
        <v>No Data</v>
      </c>
    </row>
    <row r="626" spans="2:25" ht="12" customHeight="1" x14ac:dyDescent="0.25">
      <c r="B626" s="242"/>
      <c r="C626" s="246"/>
      <c r="D626" s="247"/>
      <c r="E626" s="247"/>
      <c r="F626" s="248"/>
      <c r="G626" s="249"/>
      <c r="H626" s="251"/>
      <c r="I626" s="224"/>
      <c r="J626" s="224"/>
      <c r="K626" s="47"/>
      <c r="L626" s="224" t="str">
        <f>IF(C625&lt;&gt;"","V","")</f>
        <v/>
      </c>
      <c r="M626" s="224"/>
      <c r="N626" s="47"/>
      <c r="O626" s="47"/>
      <c r="P626" s="224" t="str">
        <f>IF(C625&lt;&gt;"","V","")</f>
        <v/>
      </c>
      <c r="Q626" s="224"/>
      <c r="R626" s="47"/>
      <c r="S626" s="224"/>
      <c r="T626" s="224"/>
      <c r="U626" s="224"/>
      <c r="V626" s="252"/>
      <c r="W626" s="252"/>
      <c r="Y626" s="214"/>
    </row>
    <row r="627" spans="2:25" ht="9" customHeight="1" x14ac:dyDescent="0.25">
      <c r="B627" s="242"/>
      <c r="C627" s="225" t="str">
        <f>_xlfn.IFNA(INDEX('Data Dan'!$B$6:$B$501,MATCH(C625,'Data Dan'!$C$6:$C$501,0)),"")</f>
        <v/>
      </c>
      <c r="D627" s="226"/>
      <c r="E627" s="226"/>
      <c r="F627" s="226"/>
      <c r="G627" s="226"/>
      <c r="H627" s="227"/>
      <c r="I627" s="224"/>
      <c r="J627" s="224"/>
      <c r="K627" s="47"/>
      <c r="L627" s="224"/>
      <c r="M627" s="224"/>
      <c r="N627" s="47"/>
      <c r="O627" s="47"/>
      <c r="P627" s="224"/>
      <c r="Q627" s="224"/>
      <c r="R627" s="47"/>
      <c r="S627" s="224"/>
      <c r="T627" s="224"/>
      <c r="U627" s="224"/>
      <c r="V627" s="252"/>
      <c r="W627" s="252"/>
      <c r="Y627" s="214"/>
    </row>
    <row r="628" spans="2:25" ht="9" customHeight="1" x14ac:dyDescent="0.25">
      <c r="B628" s="243"/>
      <c r="C628" s="228"/>
      <c r="D628" s="229"/>
      <c r="E628" s="229"/>
      <c r="F628" s="229"/>
      <c r="G628" s="229"/>
      <c r="H628" s="230"/>
      <c r="I628" s="224"/>
      <c r="J628" s="224"/>
      <c r="K628" s="48"/>
      <c r="L628" s="49"/>
      <c r="M628" s="49"/>
      <c r="N628" s="50"/>
      <c r="O628" s="48"/>
      <c r="P628" s="49"/>
      <c r="Q628" s="49"/>
      <c r="R628" s="50"/>
      <c r="S628" s="224"/>
      <c r="T628" s="224"/>
      <c r="U628" s="224"/>
      <c r="V628" s="252"/>
      <c r="W628" s="252"/>
      <c r="Y628" s="214"/>
    </row>
    <row r="629" spans="2:25" ht="7.5" customHeight="1" x14ac:dyDescent="0.25">
      <c r="B629" s="241">
        <f t="shared" si="81"/>
        <v>87</v>
      </c>
      <c r="C629" s="244" t="str">
        <f>IF(AND('Data Dan'!$I$87="1 Dan",'Data Dan'!$N$87="LULUS"),VLOOKUP(B629,'Data Dan'!$A$6:$I$475,3,0),"")</f>
        <v/>
      </c>
      <c r="D629" s="245"/>
      <c r="E629" s="245"/>
      <c r="F629" s="248"/>
      <c r="G629" s="249"/>
      <c r="H629" s="250" t="str">
        <f>_xlfn.IFNA(INDEX('Data Dan'!$I$6:$I$495,MATCH(C629,'Data Dan'!$C$6:$C$495,0)),"")</f>
        <v/>
      </c>
      <c r="I629" s="224" t="str">
        <f t="shared" ref="I629" si="86">IF(AND(S629&lt;&gt;"",V629&lt;&gt;""),IF(V629&gt;=90,"Excellent",IF(V629&gt;=80,"Very Good",IF(V629&gt;=70,"Good",IF(V629&gt;=60,"Fair","Poor")))),"")</f>
        <v/>
      </c>
      <c r="J629" s="224"/>
      <c r="K629" s="44"/>
      <c r="L629" s="45"/>
      <c r="M629" s="45"/>
      <c r="N629" s="46"/>
      <c r="O629" s="44"/>
      <c r="P629" s="45"/>
      <c r="Q629" s="45"/>
      <c r="R629" s="46"/>
      <c r="S629" s="224"/>
      <c r="T629" s="224"/>
      <c r="U629" s="224"/>
      <c r="V629" s="252"/>
      <c r="W629" s="252"/>
      <c r="Y629" s="214" t="str">
        <f>_xlfn.IFNA(VLOOKUP(C629,'Data Dan'!$C$6:$N$995,12,0),"No Data")</f>
        <v>No Data</v>
      </c>
    </row>
    <row r="630" spans="2:25" ht="12" customHeight="1" x14ac:dyDescent="0.25">
      <c r="B630" s="242"/>
      <c r="C630" s="246"/>
      <c r="D630" s="247"/>
      <c r="E630" s="247"/>
      <c r="F630" s="248"/>
      <c r="G630" s="249"/>
      <c r="H630" s="251"/>
      <c r="I630" s="224"/>
      <c r="J630" s="224"/>
      <c r="K630" s="47"/>
      <c r="L630" s="224" t="str">
        <f>IF(C629&lt;&gt;"","V","")</f>
        <v/>
      </c>
      <c r="M630" s="224"/>
      <c r="N630" s="47"/>
      <c r="O630" s="47"/>
      <c r="P630" s="224" t="str">
        <f>IF(C629&lt;&gt;"","V","")</f>
        <v/>
      </c>
      <c r="Q630" s="224"/>
      <c r="R630" s="47"/>
      <c r="S630" s="224"/>
      <c r="T630" s="224"/>
      <c r="U630" s="224"/>
      <c r="V630" s="252"/>
      <c r="W630" s="252"/>
      <c r="Y630" s="214"/>
    </row>
    <row r="631" spans="2:25" ht="9" customHeight="1" x14ac:dyDescent="0.25">
      <c r="B631" s="242"/>
      <c r="C631" s="225" t="str">
        <f>_xlfn.IFNA(INDEX('Data Dan'!$B$6:$B$501,MATCH(C629,'Data Dan'!$C$6:$C$501,0)),"")</f>
        <v/>
      </c>
      <c r="D631" s="226"/>
      <c r="E631" s="226"/>
      <c r="F631" s="226"/>
      <c r="G631" s="226"/>
      <c r="H631" s="227"/>
      <c r="I631" s="224"/>
      <c r="J631" s="224"/>
      <c r="K631" s="47"/>
      <c r="L631" s="224"/>
      <c r="M631" s="224"/>
      <c r="N631" s="47"/>
      <c r="O631" s="47"/>
      <c r="P631" s="224"/>
      <c r="Q631" s="224"/>
      <c r="R631" s="47"/>
      <c r="S631" s="224"/>
      <c r="T631" s="224"/>
      <c r="U631" s="224"/>
      <c r="V631" s="252"/>
      <c r="W631" s="252"/>
      <c r="Y631" s="214"/>
    </row>
    <row r="632" spans="2:25" ht="9" customHeight="1" x14ac:dyDescent="0.25">
      <c r="B632" s="243"/>
      <c r="C632" s="228"/>
      <c r="D632" s="229"/>
      <c r="E632" s="229"/>
      <c r="F632" s="229"/>
      <c r="G632" s="229"/>
      <c r="H632" s="230"/>
      <c r="I632" s="224"/>
      <c r="J632" s="224"/>
      <c r="K632" s="48"/>
      <c r="L632" s="49"/>
      <c r="M632" s="49"/>
      <c r="N632" s="50"/>
      <c r="O632" s="48"/>
      <c r="P632" s="49"/>
      <c r="Q632" s="49"/>
      <c r="R632" s="50"/>
      <c r="S632" s="224"/>
      <c r="T632" s="224"/>
      <c r="U632" s="224"/>
      <c r="V632" s="252"/>
      <c r="W632" s="252"/>
      <c r="Y632" s="214"/>
    </row>
    <row r="633" spans="2:25" ht="7.5" customHeight="1" x14ac:dyDescent="0.25">
      <c r="B633" s="241">
        <f t="shared" si="81"/>
        <v>88</v>
      </c>
      <c r="C633" s="244" t="str">
        <f>IF(AND('Data Dan'!$I$88="1 Dan",'Data Dan'!$N$88="LULUS"),VLOOKUP(B633,'Data Dan'!$A$6:$I$475,3,0),"")</f>
        <v/>
      </c>
      <c r="D633" s="245"/>
      <c r="E633" s="245"/>
      <c r="F633" s="248"/>
      <c r="G633" s="249"/>
      <c r="H633" s="250" t="str">
        <f>_xlfn.IFNA(INDEX('Data Dan'!$I$6:$I$495,MATCH(C633,'Data Dan'!$C$6:$C$495,0)),"")</f>
        <v/>
      </c>
      <c r="I633" s="224" t="str">
        <f t="shared" ref="I633" si="87">IF(AND(S633&lt;&gt;"",V633&lt;&gt;""),IF(V633&gt;=90,"Excellent",IF(V633&gt;=80,"Very Good",IF(V633&gt;=70,"Good",IF(V633&gt;=60,"Fair","Poor")))),"")</f>
        <v/>
      </c>
      <c r="J633" s="224"/>
      <c r="K633" s="44"/>
      <c r="L633" s="45"/>
      <c r="M633" s="45"/>
      <c r="N633" s="46"/>
      <c r="O633" s="44"/>
      <c r="P633" s="45"/>
      <c r="Q633" s="45"/>
      <c r="R633" s="46"/>
      <c r="S633" s="224"/>
      <c r="T633" s="224"/>
      <c r="U633" s="224"/>
      <c r="V633" s="252"/>
      <c r="W633" s="252"/>
      <c r="Y633" s="214" t="str">
        <f>_xlfn.IFNA(VLOOKUP(C633,'Data Dan'!$C$6:$N$995,12,0),"No Data")</f>
        <v>No Data</v>
      </c>
    </row>
    <row r="634" spans="2:25" ht="12" customHeight="1" x14ac:dyDescent="0.25">
      <c r="B634" s="242"/>
      <c r="C634" s="246"/>
      <c r="D634" s="247"/>
      <c r="E634" s="247"/>
      <c r="F634" s="248"/>
      <c r="G634" s="249"/>
      <c r="H634" s="251"/>
      <c r="I634" s="224"/>
      <c r="J634" s="224"/>
      <c r="K634" s="47"/>
      <c r="L634" s="224" t="str">
        <f>IF(C633&lt;&gt;"","V","")</f>
        <v/>
      </c>
      <c r="M634" s="224"/>
      <c r="N634" s="47"/>
      <c r="O634" s="47"/>
      <c r="P634" s="224" t="str">
        <f>IF(C633&lt;&gt;"","V","")</f>
        <v/>
      </c>
      <c r="Q634" s="224"/>
      <c r="R634" s="47"/>
      <c r="S634" s="224"/>
      <c r="T634" s="224"/>
      <c r="U634" s="224"/>
      <c r="V634" s="252"/>
      <c r="W634" s="252"/>
      <c r="Y634" s="214"/>
    </row>
    <row r="635" spans="2:25" ht="9" customHeight="1" x14ac:dyDescent="0.25">
      <c r="B635" s="242"/>
      <c r="C635" s="225" t="str">
        <f>_xlfn.IFNA(INDEX('Data Dan'!$B$6:$B$501,MATCH(C633,'Data Dan'!$C$6:$C$501,0)),"")</f>
        <v/>
      </c>
      <c r="D635" s="226"/>
      <c r="E635" s="226"/>
      <c r="F635" s="226"/>
      <c r="G635" s="226"/>
      <c r="H635" s="227"/>
      <c r="I635" s="224"/>
      <c r="J635" s="224"/>
      <c r="K635" s="47"/>
      <c r="L635" s="224"/>
      <c r="M635" s="224"/>
      <c r="N635" s="47"/>
      <c r="O635" s="47"/>
      <c r="P635" s="224"/>
      <c r="Q635" s="224"/>
      <c r="R635" s="47"/>
      <c r="S635" s="224"/>
      <c r="T635" s="224"/>
      <c r="U635" s="224"/>
      <c r="V635" s="252"/>
      <c r="W635" s="252"/>
      <c r="Y635" s="214"/>
    </row>
    <row r="636" spans="2:25" ht="9" customHeight="1" x14ac:dyDescent="0.25">
      <c r="B636" s="243"/>
      <c r="C636" s="228"/>
      <c r="D636" s="229"/>
      <c r="E636" s="229"/>
      <c r="F636" s="229"/>
      <c r="G636" s="229"/>
      <c r="H636" s="230"/>
      <c r="I636" s="224"/>
      <c r="J636" s="224"/>
      <c r="K636" s="48"/>
      <c r="L636" s="49"/>
      <c r="M636" s="49"/>
      <c r="N636" s="50"/>
      <c r="O636" s="48"/>
      <c r="P636" s="49"/>
      <c r="Q636" s="49"/>
      <c r="R636" s="50"/>
      <c r="S636" s="224"/>
      <c r="T636" s="224"/>
      <c r="U636" s="224"/>
      <c r="V636" s="252"/>
      <c r="W636" s="252"/>
      <c r="Y636" s="214"/>
    </row>
    <row r="637" spans="2:25" ht="7.5" customHeight="1" x14ac:dyDescent="0.25">
      <c r="B637" s="241">
        <f t="shared" si="81"/>
        <v>89</v>
      </c>
      <c r="C637" s="244" t="str">
        <f>IF(AND('Data Dan'!$I$89="1 Dan",'Data Dan'!$N$89="LULUS"),VLOOKUP(B637,'Data Dan'!$A$6:$I$475,3,0),"")</f>
        <v/>
      </c>
      <c r="D637" s="245"/>
      <c r="E637" s="245"/>
      <c r="F637" s="248"/>
      <c r="G637" s="249"/>
      <c r="H637" s="250" t="str">
        <f>_xlfn.IFNA(INDEX('Data Dan'!$I$6:$I$495,MATCH(C637,'Data Dan'!$C$6:$C$495,0)),"")</f>
        <v/>
      </c>
      <c r="I637" s="224" t="str">
        <f t="shared" ref="I637" si="88">IF(AND(S637&lt;&gt;"",V637&lt;&gt;""),IF(V637&gt;=90,"Excellent",IF(V637&gt;=80,"Very Good",IF(V637&gt;=70,"Good",IF(V637&gt;=60,"Fair","Poor")))),"")</f>
        <v/>
      </c>
      <c r="J637" s="224"/>
      <c r="K637" s="44"/>
      <c r="L637" s="45"/>
      <c r="M637" s="45"/>
      <c r="N637" s="46"/>
      <c r="O637" s="44"/>
      <c r="P637" s="45"/>
      <c r="Q637" s="45"/>
      <c r="R637" s="46"/>
      <c r="S637" s="224"/>
      <c r="T637" s="224"/>
      <c r="U637" s="224"/>
      <c r="V637" s="252"/>
      <c r="W637" s="252"/>
      <c r="Y637" s="214" t="str">
        <f>_xlfn.IFNA(VLOOKUP(C637,'Data Dan'!$C$6:$N$995,12,0),"No Data")</f>
        <v>No Data</v>
      </c>
    </row>
    <row r="638" spans="2:25" ht="12" customHeight="1" x14ac:dyDescent="0.25">
      <c r="B638" s="242"/>
      <c r="C638" s="246"/>
      <c r="D638" s="247"/>
      <c r="E638" s="247"/>
      <c r="F638" s="248"/>
      <c r="G638" s="249"/>
      <c r="H638" s="251"/>
      <c r="I638" s="224"/>
      <c r="J638" s="224"/>
      <c r="K638" s="47"/>
      <c r="L638" s="224" t="str">
        <f>IF(C637&lt;&gt;"","V","")</f>
        <v/>
      </c>
      <c r="M638" s="224"/>
      <c r="N638" s="47"/>
      <c r="O638" s="47"/>
      <c r="P638" s="224" t="str">
        <f>IF(C637&lt;&gt;"","V","")</f>
        <v/>
      </c>
      <c r="Q638" s="224"/>
      <c r="R638" s="47"/>
      <c r="S638" s="224"/>
      <c r="T638" s="224"/>
      <c r="U638" s="224"/>
      <c r="V638" s="252"/>
      <c r="W638" s="252"/>
      <c r="Y638" s="214"/>
    </row>
    <row r="639" spans="2:25" ht="9" customHeight="1" x14ac:dyDescent="0.25">
      <c r="B639" s="242"/>
      <c r="C639" s="225" t="str">
        <f>_xlfn.IFNA(INDEX('Data Dan'!$B$6:$B$501,MATCH(C637,'Data Dan'!$C$6:$C$501,0)),"")</f>
        <v/>
      </c>
      <c r="D639" s="226"/>
      <c r="E639" s="226"/>
      <c r="F639" s="226"/>
      <c r="G639" s="226"/>
      <c r="H639" s="227"/>
      <c r="I639" s="224"/>
      <c r="J639" s="224"/>
      <c r="K639" s="47"/>
      <c r="L639" s="224"/>
      <c r="M639" s="224"/>
      <c r="N639" s="47"/>
      <c r="O639" s="47"/>
      <c r="P639" s="224"/>
      <c r="Q639" s="224"/>
      <c r="R639" s="47"/>
      <c r="S639" s="224"/>
      <c r="T639" s="224"/>
      <c r="U639" s="224"/>
      <c r="V639" s="252"/>
      <c r="W639" s="252"/>
      <c r="Y639" s="214"/>
    </row>
    <row r="640" spans="2:25" ht="9" customHeight="1" x14ac:dyDescent="0.25">
      <c r="B640" s="243"/>
      <c r="C640" s="228"/>
      <c r="D640" s="229"/>
      <c r="E640" s="229"/>
      <c r="F640" s="229"/>
      <c r="G640" s="229"/>
      <c r="H640" s="230"/>
      <c r="I640" s="224"/>
      <c r="J640" s="224"/>
      <c r="K640" s="48"/>
      <c r="L640" s="49"/>
      <c r="M640" s="49"/>
      <c r="N640" s="50"/>
      <c r="O640" s="48"/>
      <c r="P640" s="49"/>
      <c r="Q640" s="49"/>
      <c r="R640" s="50"/>
      <c r="S640" s="224"/>
      <c r="T640" s="224"/>
      <c r="U640" s="224"/>
      <c r="V640" s="252"/>
      <c r="W640" s="252"/>
      <c r="Y640" s="214"/>
    </row>
    <row r="641" spans="2:25" ht="7.5" customHeight="1" x14ac:dyDescent="0.25">
      <c r="B641" s="241">
        <f t="shared" si="81"/>
        <v>90</v>
      </c>
      <c r="C641" s="244" t="str">
        <f>IF(AND('Data Dan'!$I$90="1 Dan",'Data Dan'!$N$90="LULUS"),VLOOKUP(B641,'Data Dan'!$A$6:$I$475,3,0),"")</f>
        <v/>
      </c>
      <c r="D641" s="245"/>
      <c r="E641" s="245"/>
      <c r="F641" s="248"/>
      <c r="G641" s="249"/>
      <c r="H641" s="250" t="str">
        <f>_xlfn.IFNA(INDEX('Data Dan'!$I$6:$I$495,MATCH(C641,'Data Dan'!$C$6:$C$495,0)),"")</f>
        <v/>
      </c>
      <c r="I641" s="224" t="str">
        <f t="shared" ref="I641" si="89">IF(AND(S641&lt;&gt;"",V641&lt;&gt;""),IF(V641&gt;=90,"Excellent",IF(V641&gt;=80,"Very Good",IF(V641&gt;=70,"Good",IF(V641&gt;=60,"Fair","Poor")))),"")</f>
        <v/>
      </c>
      <c r="J641" s="224"/>
      <c r="K641" s="44"/>
      <c r="L641" s="45"/>
      <c r="M641" s="45"/>
      <c r="N641" s="46"/>
      <c r="O641" s="44"/>
      <c r="P641" s="45"/>
      <c r="Q641" s="45"/>
      <c r="R641" s="46"/>
      <c r="S641" s="224"/>
      <c r="T641" s="224"/>
      <c r="U641" s="224"/>
      <c r="V641" s="252"/>
      <c r="W641" s="252"/>
      <c r="Y641" s="214" t="str">
        <f>_xlfn.IFNA(VLOOKUP(C641,'Data Dan'!$C$6:$N$995,12,0),"No Data")</f>
        <v>No Data</v>
      </c>
    </row>
    <row r="642" spans="2:25" ht="12" customHeight="1" x14ac:dyDescent="0.25">
      <c r="B642" s="242"/>
      <c r="C642" s="246"/>
      <c r="D642" s="247"/>
      <c r="E642" s="247"/>
      <c r="F642" s="248"/>
      <c r="G642" s="249"/>
      <c r="H642" s="251"/>
      <c r="I642" s="224"/>
      <c r="J642" s="224"/>
      <c r="K642" s="47"/>
      <c r="L642" s="224" t="str">
        <f>IF(C641&lt;&gt;"","V","")</f>
        <v/>
      </c>
      <c r="M642" s="224"/>
      <c r="N642" s="47"/>
      <c r="O642" s="47"/>
      <c r="P642" s="224" t="str">
        <f>IF(C641&lt;&gt;"","V","")</f>
        <v/>
      </c>
      <c r="Q642" s="224"/>
      <c r="R642" s="47"/>
      <c r="S642" s="224"/>
      <c r="T642" s="224"/>
      <c r="U642" s="224"/>
      <c r="V642" s="252"/>
      <c r="W642" s="252"/>
      <c r="Y642" s="214"/>
    </row>
    <row r="643" spans="2:25" ht="9" customHeight="1" x14ac:dyDescent="0.25">
      <c r="B643" s="242"/>
      <c r="C643" s="225" t="str">
        <f>_xlfn.IFNA(INDEX('Data Dan'!$B$6:$B$501,MATCH(C641,'Data Dan'!$C$6:$C$501,0)),"")</f>
        <v/>
      </c>
      <c r="D643" s="226"/>
      <c r="E643" s="226"/>
      <c r="F643" s="226"/>
      <c r="G643" s="226"/>
      <c r="H643" s="227"/>
      <c r="I643" s="224"/>
      <c r="J643" s="224"/>
      <c r="K643" s="47"/>
      <c r="L643" s="224"/>
      <c r="M643" s="224"/>
      <c r="N643" s="47"/>
      <c r="O643" s="47"/>
      <c r="P643" s="224"/>
      <c r="Q643" s="224"/>
      <c r="R643" s="47"/>
      <c r="S643" s="224"/>
      <c r="T643" s="224"/>
      <c r="U643" s="224"/>
      <c r="V643" s="252"/>
      <c r="W643" s="252"/>
      <c r="Y643" s="214"/>
    </row>
    <row r="644" spans="2:25" ht="9" customHeight="1" x14ac:dyDescent="0.25">
      <c r="B644" s="243"/>
      <c r="C644" s="228"/>
      <c r="D644" s="229"/>
      <c r="E644" s="229"/>
      <c r="F644" s="229"/>
      <c r="G644" s="229"/>
      <c r="H644" s="230"/>
      <c r="I644" s="224"/>
      <c r="J644" s="224"/>
      <c r="K644" s="48"/>
      <c r="L644" s="49"/>
      <c r="M644" s="49"/>
      <c r="N644" s="50"/>
      <c r="O644" s="48"/>
      <c r="P644" s="49"/>
      <c r="Q644" s="49"/>
      <c r="R644" s="50"/>
      <c r="S644" s="224"/>
      <c r="T644" s="224"/>
      <c r="U644" s="224"/>
      <c r="V644" s="252"/>
      <c r="W644" s="252"/>
      <c r="Y644" s="214"/>
    </row>
    <row r="645" spans="2:25" ht="7.5" customHeight="1" x14ac:dyDescent="0.25"/>
    <row r="646" spans="2:25" s="34" customFormat="1" x14ac:dyDescent="0.25">
      <c r="C646" s="35" t="s">
        <v>60</v>
      </c>
      <c r="I646" s="262" t="s">
        <v>28</v>
      </c>
      <c r="J646" s="262"/>
    </row>
    <row r="647" spans="2:25" x14ac:dyDescent="0.25">
      <c r="C647" s="33" t="s">
        <v>31</v>
      </c>
      <c r="D647" s="149"/>
      <c r="E647" s="149"/>
      <c r="F647" s="149"/>
      <c r="G647" s="149"/>
      <c r="H647" s="149"/>
      <c r="I647" s="263" t="s">
        <v>29</v>
      </c>
      <c r="J647" s="263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</row>
    <row r="648" spans="2:25" ht="6.75" customHeight="1" x14ac:dyDescent="0.25">
      <c r="D648" s="34"/>
      <c r="E648" s="34"/>
      <c r="F648" s="34"/>
      <c r="G648" s="34"/>
      <c r="H648" s="34"/>
    </row>
    <row r="649" spans="2:25" s="34" customFormat="1" x14ac:dyDescent="0.25">
      <c r="C649" s="35" t="s">
        <v>61</v>
      </c>
      <c r="I649" s="262" t="s">
        <v>36</v>
      </c>
      <c r="J649" s="262"/>
    </row>
    <row r="650" spans="2:25" x14ac:dyDescent="0.25">
      <c r="C650" s="33" t="s">
        <v>33</v>
      </c>
      <c r="D650" s="149"/>
      <c r="E650" s="149"/>
      <c r="F650" s="149"/>
      <c r="G650" s="149"/>
      <c r="H650" s="149"/>
      <c r="I650" s="263" t="s">
        <v>29</v>
      </c>
      <c r="J650" s="263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</row>
    <row r="651" spans="2:25" ht="6.75" customHeight="1" x14ac:dyDescent="0.25">
      <c r="D651" s="34"/>
      <c r="E651" s="34"/>
      <c r="F651" s="34"/>
      <c r="G651" s="34"/>
      <c r="H651" s="34"/>
    </row>
    <row r="652" spans="2:25" s="34" customFormat="1" ht="13.8" x14ac:dyDescent="0.25">
      <c r="C652" s="35" t="s">
        <v>62</v>
      </c>
      <c r="D652" s="177" t="s">
        <v>195</v>
      </c>
      <c r="E652" s="177"/>
      <c r="F652" s="177"/>
      <c r="G652" s="177"/>
      <c r="H652" s="177"/>
      <c r="I652" s="262" t="s">
        <v>28</v>
      </c>
      <c r="J652" s="262"/>
      <c r="Y652" s="70" t="s">
        <v>106</v>
      </c>
    </row>
    <row r="653" spans="2:25" ht="13.8" x14ac:dyDescent="0.25">
      <c r="C653" s="33" t="s">
        <v>35</v>
      </c>
      <c r="D653" s="178"/>
      <c r="E653" s="178"/>
      <c r="F653" s="178"/>
      <c r="G653" s="178"/>
      <c r="H653" s="178"/>
      <c r="I653" s="263" t="s">
        <v>29</v>
      </c>
      <c r="J653" s="263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Y653" s="70" t="s">
        <v>105</v>
      </c>
    </row>
    <row r="654" spans="2:25" ht="12.75" customHeight="1" thickBot="1" x14ac:dyDescent="0.3"/>
    <row r="655" spans="2:25" ht="13.8" thickTop="1" x14ac:dyDescent="0.25">
      <c r="B655" s="34" t="s">
        <v>37</v>
      </c>
      <c r="F655" s="150" t="s">
        <v>40</v>
      </c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</row>
    <row r="656" spans="2:25" x14ac:dyDescent="0.25">
      <c r="B656" s="34" t="s">
        <v>38</v>
      </c>
      <c r="F656" s="152"/>
      <c r="G656" s="153"/>
      <c r="H656" s="153"/>
      <c r="I656" s="153"/>
      <c r="J656" s="153"/>
      <c r="K656" s="153"/>
      <c r="L656" s="153"/>
      <c r="M656" s="153"/>
      <c r="N656" s="153"/>
      <c r="O656" s="153"/>
      <c r="P656" s="153"/>
      <c r="Q656" s="153"/>
      <c r="R656" s="153"/>
      <c r="S656" s="153"/>
      <c r="T656" s="153"/>
      <c r="U656" s="153"/>
      <c r="V656" s="153"/>
      <c r="W656" s="153"/>
    </row>
    <row r="657" spans="2:25" ht="11.25" customHeight="1" x14ac:dyDescent="0.25">
      <c r="B657" s="163" t="s">
        <v>39</v>
      </c>
      <c r="C657" s="163"/>
      <c r="D657" s="163"/>
      <c r="F657" s="37" t="s">
        <v>41</v>
      </c>
    </row>
    <row r="658" spans="2:25" ht="15" customHeight="1" x14ac:dyDescent="0.25">
      <c r="B658" s="163"/>
      <c r="C658" s="163"/>
      <c r="D658" s="163"/>
      <c r="F658" s="38" t="s">
        <v>42</v>
      </c>
    </row>
    <row r="659" spans="2:25" ht="11.25" customHeight="1" x14ac:dyDescent="0.25">
      <c r="B659" s="163"/>
      <c r="C659" s="163"/>
      <c r="D659" s="163"/>
      <c r="F659" s="36"/>
    </row>
    <row r="660" spans="2:25" x14ac:dyDescent="0.25">
      <c r="B660" s="163"/>
      <c r="C660" s="163"/>
      <c r="D660" s="163"/>
      <c r="F660" s="36"/>
    </row>
    <row r="661" spans="2:25" x14ac:dyDescent="0.25">
      <c r="F661" s="36"/>
    </row>
    <row r="662" spans="2:25" x14ac:dyDescent="0.25">
      <c r="F662" s="36"/>
    </row>
    <row r="663" spans="2:25" x14ac:dyDescent="0.25">
      <c r="F663" s="36"/>
    </row>
    <row r="664" spans="2:25" x14ac:dyDescent="0.25">
      <c r="F664" s="36"/>
    </row>
    <row r="665" spans="2:25" ht="13.8" x14ac:dyDescent="0.25">
      <c r="F665" s="157" t="s">
        <v>201</v>
      </c>
      <c r="G665" s="158"/>
      <c r="H665" s="158"/>
      <c r="I665" s="158"/>
      <c r="J665" s="158"/>
      <c r="K665" s="158"/>
      <c r="L665" s="158"/>
      <c r="M665" s="158"/>
      <c r="N665" s="158"/>
      <c r="O665" s="158"/>
      <c r="P665" s="158"/>
      <c r="Q665" s="158"/>
      <c r="R665" s="158"/>
      <c r="S665" s="158"/>
      <c r="T665" s="158"/>
      <c r="U665" s="158"/>
      <c r="V665" s="158"/>
      <c r="W665" s="158"/>
    </row>
    <row r="666" spans="2:25" x14ac:dyDescent="0.25">
      <c r="F666" s="36"/>
    </row>
    <row r="667" spans="2:25" ht="28.5" customHeight="1" x14ac:dyDescent="0.3">
      <c r="B667" s="193" t="s">
        <v>46</v>
      </c>
      <c r="C667" s="194"/>
      <c r="D667" s="194"/>
      <c r="E667" s="194"/>
      <c r="F667" s="194"/>
      <c r="G667" s="2"/>
      <c r="H667" s="2"/>
      <c r="I667" s="13" t="s">
        <v>47</v>
      </c>
      <c r="J667" s="195" t="s">
        <v>14</v>
      </c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7"/>
      <c r="Y667" s="1"/>
    </row>
    <row r="668" spans="2:25" ht="26.25" customHeight="1" x14ac:dyDescent="0.4">
      <c r="B668" s="39" t="s">
        <v>48</v>
      </c>
      <c r="C668" s="2"/>
      <c r="D668" s="2"/>
      <c r="E668" s="2"/>
      <c r="F668" s="2"/>
      <c r="G668" s="2"/>
      <c r="H668" s="2"/>
      <c r="I668" s="29" t="s">
        <v>13</v>
      </c>
      <c r="J668" s="15">
        <v>4</v>
      </c>
      <c r="K668" s="215">
        <v>1</v>
      </c>
      <c r="L668" s="216"/>
      <c r="M668" s="15">
        <v>0</v>
      </c>
      <c r="N668" s="198">
        <v>0</v>
      </c>
      <c r="O668" s="199"/>
      <c r="P668" s="217">
        <v>0</v>
      </c>
      <c r="Q668" s="218"/>
      <c r="R668" s="219">
        <v>1</v>
      </c>
      <c r="S668" s="220"/>
      <c r="U668" s="6"/>
      <c r="V668" s="6"/>
      <c r="W668" s="7"/>
      <c r="Y668" s="1"/>
    </row>
    <row r="669" spans="2:25" ht="21" customHeight="1" x14ac:dyDescent="0.25">
      <c r="B669" s="26" t="s">
        <v>237</v>
      </c>
      <c r="C669" s="25"/>
      <c r="D669" s="25"/>
      <c r="E669" s="25"/>
      <c r="F669" s="25"/>
      <c r="G669" s="25"/>
      <c r="H669" s="25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Y669" s="1"/>
    </row>
    <row r="670" spans="2:25" ht="13.5" customHeight="1" x14ac:dyDescent="0.25">
      <c r="B670" s="40" t="s">
        <v>24</v>
      </c>
      <c r="C670" s="25"/>
      <c r="D670" s="25"/>
      <c r="E670" s="25"/>
      <c r="F670" s="25"/>
      <c r="G670" s="25"/>
      <c r="H670" s="25"/>
      <c r="I670" s="28" t="s">
        <v>6</v>
      </c>
      <c r="J670" s="231">
        <f>$J$4</f>
        <v>2026</v>
      </c>
      <c r="K670" s="232"/>
      <c r="L670" s="28"/>
      <c r="M670" s="204" t="s">
        <v>15</v>
      </c>
      <c r="N670" s="204"/>
      <c r="O670" s="204"/>
      <c r="P670" s="239">
        <f>$P$4</f>
        <v>2</v>
      </c>
      <c r="Q670" s="240"/>
      <c r="R670" s="86"/>
      <c r="S670" s="233" t="s">
        <v>16</v>
      </c>
      <c r="T670" s="233"/>
      <c r="U670" s="239">
        <f>$U$4</f>
        <v>10</v>
      </c>
      <c r="V670" s="240"/>
      <c r="X670" s="1"/>
    </row>
    <row r="671" spans="2:25" ht="9.75" customHeight="1" x14ac:dyDescent="0.25"/>
    <row r="672" spans="2:25" ht="11.25" customHeight="1" x14ac:dyDescent="0.25">
      <c r="B672" s="24" t="s">
        <v>49</v>
      </c>
    </row>
    <row r="673" spans="1:26" ht="11.25" customHeight="1" x14ac:dyDescent="0.25">
      <c r="B673" s="8" t="s">
        <v>50</v>
      </c>
    </row>
    <row r="674" spans="1:26" x14ac:dyDescent="0.25">
      <c r="B674" s="8"/>
    </row>
    <row r="675" spans="1:26" ht="15.75" customHeight="1" x14ac:dyDescent="0.25">
      <c r="B675" s="234" t="s">
        <v>51</v>
      </c>
      <c r="C675" s="234"/>
      <c r="D675" s="234"/>
      <c r="E675" s="234"/>
      <c r="F675" s="18" t="s">
        <v>6</v>
      </c>
      <c r="G675" s="120">
        <f>$G$9</f>
        <v>2026</v>
      </c>
      <c r="H675" s="9" t="s">
        <v>15</v>
      </c>
      <c r="I675" s="121">
        <f>$I$9</f>
        <v>2</v>
      </c>
      <c r="J675" s="235" t="s">
        <v>16</v>
      </c>
      <c r="K675" s="236"/>
      <c r="L675" s="237">
        <f>$L$9</f>
        <v>8</v>
      </c>
      <c r="M675" s="238"/>
      <c r="N675" s="84"/>
      <c r="O675" s="85"/>
      <c r="P675" s="43"/>
      <c r="Q675" s="43"/>
      <c r="Y675" s="32"/>
    </row>
    <row r="676" spans="1:26" ht="17.25" customHeight="1" x14ac:dyDescent="0.25">
      <c r="C676" s="8"/>
      <c r="Z676" s="32"/>
    </row>
    <row r="677" spans="1:26" ht="18.75" customHeight="1" x14ac:dyDescent="0.25">
      <c r="B677" s="255" t="s">
        <v>52</v>
      </c>
      <c r="C677" s="257" t="s">
        <v>53</v>
      </c>
      <c r="D677" s="258"/>
      <c r="E677" s="258"/>
      <c r="F677" s="221" t="s">
        <v>54</v>
      </c>
      <c r="G677" s="223"/>
      <c r="H677" s="223"/>
      <c r="I677" s="259" t="s">
        <v>55</v>
      </c>
      <c r="J677" s="221"/>
      <c r="K677" s="221" t="s">
        <v>56</v>
      </c>
      <c r="L677" s="221"/>
      <c r="M677" s="221"/>
      <c r="N677" s="221"/>
      <c r="O677" s="222" t="s">
        <v>231</v>
      </c>
      <c r="P677" s="222"/>
      <c r="Q677" s="222"/>
      <c r="R677" s="223"/>
      <c r="S677" s="221" t="s">
        <v>57</v>
      </c>
      <c r="T677" s="223"/>
      <c r="U677" s="223"/>
      <c r="V677" s="221" t="s">
        <v>58</v>
      </c>
      <c r="W677" s="223"/>
    </row>
    <row r="678" spans="1:26" ht="26.25" customHeight="1" x14ac:dyDescent="0.25">
      <c r="B678" s="256"/>
      <c r="C678" s="253" t="s">
        <v>59</v>
      </c>
      <c r="D678" s="254"/>
      <c r="E678" s="254"/>
      <c r="F678" s="254"/>
      <c r="G678" s="254"/>
      <c r="H678" s="254"/>
      <c r="I678" s="221"/>
      <c r="J678" s="221"/>
      <c r="K678" s="221"/>
      <c r="L678" s="221"/>
      <c r="M678" s="221"/>
      <c r="N678" s="221"/>
      <c r="O678" s="223"/>
      <c r="P678" s="223"/>
      <c r="Q678" s="223"/>
      <c r="R678" s="223"/>
      <c r="S678" s="223"/>
      <c r="T678" s="223"/>
      <c r="U678" s="223"/>
      <c r="V678" s="223"/>
      <c r="W678" s="223"/>
      <c r="Y678" s="122" t="s">
        <v>242</v>
      </c>
    </row>
    <row r="679" spans="1:26" ht="7.5" customHeight="1" x14ac:dyDescent="0.25">
      <c r="A679" s="260"/>
      <c r="B679" s="241">
        <f>B641+1</f>
        <v>91</v>
      </c>
      <c r="C679" s="244" t="str">
        <f>IF(AND('Data Dan'!$I$91="1 Dan",'Data Dan'!$N$91="LULUS"),VLOOKUP(B679,'Data Dan'!$A$6:$I$475,3,0),"")</f>
        <v/>
      </c>
      <c r="D679" s="245"/>
      <c r="E679" s="245"/>
      <c r="F679" s="248"/>
      <c r="G679" s="249"/>
      <c r="H679" s="250" t="str">
        <f>_xlfn.IFNA(INDEX('Data Dan'!$I$6:$I$495,MATCH(C679,'Data Dan'!$C$6:$C$495,0)),"")</f>
        <v/>
      </c>
      <c r="I679" s="224" t="str">
        <f>IF(AND(S679&lt;&gt;"",V679&lt;&gt;""),IF(V679&gt;=90,"Excellent",IF(V679&gt;=80,"Very Good",IF(V679&gt;=70,"Good",IF(V679&gt;=60,"Fair","Poor")))),"")</f>
        <v/>
      </c>
      <c r="J679" s="224"/>
      <c r="K679" s="44"/>
      <c r="L679" s="45"/>
      <c r="M679" s="45"/>
      <c r="N679" s="46"/>
      <c r="O679" s="44"/>
      <c r="P679" s="45"/>
      <c r="Q679" s="45"/>
      <c r="R679" s="46"/>
      <c r="S679" s="224"/>
      <c r="T679" s="224"/>
      <c r="U679" s="224"/>
      <c r="V679" s="252"/>
      <c r="W679" s="252"/>
      <c r="Y679" s="214" t="str">
        <f>_xlfn.IFNA(VLOOKUP(C679,'Data Dan'!$C$6:$N$995,12,0),"No Data")</f>
        <v>No Data</v>
      </c>
    </row>
    <row r="680" spans="1:26" ht="12" customHeight="1" x14ac:dyDescent="0.25">
      <c r="A680" s="261"/>
      <c r="B680" s="242"/>
      <c r="C680" s="246"/>
      <c r="D680" s="247"/>
      <c r="E680" s="247"/>
      <c r="F680" s="248"/>
      <c r="G680" s="249"/>
      <c r="H680" s="251"/>
      <c r="I680" s="224"/>
      <c r="J680" s="224"/>
      <c r="K680" s="47"/>
      <c r="L680" s="224" t="str">
        <f>IF(C679&lt;&gt;"","V","")</f>
        <v/>
      </c>
      <c r="M680" s="224"/>
      <c r="N680" s="47"/>
      <c r="O680" s="47"/>
      <c r="P680" s="224" t="str">
        <f>IF(C679&lt;&gt;"","V","")</f>
        <v/>
      </c>
      <c r="Q680" s="224"/>
      <c r="R680" s="47"/>
      <c r="S680" s="224"/>
      <c r="T680" s="224"/>
      <c r="U680" s="224"/>
      <c r="V680" s="252"/>
      <c r="W680" s="252"/>
      <c r="Y680" s="214"/>
    </row>
    <row r="681" spans="1:26" ht="9" customHeight="1" x14ac:dyDescent="0.25">
      <c r="A681" s="261"/>
      <c r="B681" s="242"/>
      <c r="C681" s="225" t="str">
        <f>_xlfn.IFNA(INDEX('Data Dan'!$B$6:$B$501,MATCH(C679,'Data Dan'!$C$6:$C$501,0)),"")</f>
        <v/>
      </c>
      <c r="D681" s="226"/>
      <c r="E681" s="226"/>
      <c r="F681" s="226"/>
      <c r="G681" s="226"/>
      <c r="H681" s="227"/>
      <c r="I681" s="224"/>
      <c r="J681" s="224"/>
      <c r="K681" s="47"/>
      <c r="L681" s="224"/>
      <c r="M681" s="224"/>
      <c r="N681" s="47"/>
      <c r="O681" s="47"/>
      <c r="P681" s="224"/>
      <c r="Q681" s="224"/>
      <c r="R681" s="47"/>
      <c r="S681" s="224"/>
      <c r="T681" s="224"/>
      <c r="U681" s="224"/>
      <c r="V681" s="252"/>
      <c r="W681" s="252"/>
      <c r="Y681" s="214"/>
    </row>
    <row r="682" spans="1:26" ht="9" customHeight="1" x14ac:dyDescent="0.25">
      <c r="A682" s="261"/>
      <c r="B682" s="243"/>
      <c r="C682" s="228"/>
      <c r="D682" s="229"/>
      <c r="E682" s="229"/>
      <c r="F682" s="229"/>
      <c r="G682" s="229"/>
      <c r="H682" s="230"/>
      <c r="I682" s="224"/>
      <c r="J682" s="224"/>
      <c r="K682" s="48"/>
      <c r="L682" s="49"/>
      <c r="M682" s="49"/>
      <c r="N682" s="50"/>
      <c r="O682" s="48"/>
      <c r="P682" s="49"/>
      <c r="Q682" s="49"/>
      <c r="R682" s="50"/>
      <c r="S682" s="224"/>
      <c r="T682" s="224"/>
      <c r="U682" s="224"/>
      <c r="V682" s="252"/>
      <c r="W682" s="252"/>
      <c r="Y682" s="214"/>
    </row>
    <row r="683" spans="1:26" ht="7.5" customHeight="1" x14ac:dyDescent="0.25">
      <c r="B683" s="241">
        <f t="shared" ref="B683:B715" si="90">B679+1</f>
        <v>92</v>
      </c>
      <c r="C683" s="244" t="str">
        <f>IF(AND('Data Dan'!$I$92="1 Dan",'Data Dan'!$N$92="LULUS"),VLOOKUP(B683,'Data Dan'!$A$6:$I$475,3,0),"")</f>
        <v/>
      </c>
      <c r="D683" s="245"/>
      <c r="E683" s="245"/>
      <c r="F683" s="248"/>
      <c r="G683" s="249"/>
      <c r="H683" s="250" t="str">
        <f>_xlfn.IFNA(INDEX('Data Dan'!$I$6:$I$495,MATCH(C683,'Data Dan'!$C$6:$C$495,0)),"")</f>
        <v/>
      </c>
      <c r="I683" s="224" t="str">
        <f>IF(AND(S683&lt;&gt;"",V683&lt;&gt;""),IF(V683&gt;=90,"Excellent",IF(V683&gt;=80,"Very Good",IF(V683&gt;=70,"Good",IF(V683&gt;=60,"Fair","Poor")))),"")</f>
        <v/>
      </c>
      <c r="J683" s="224"/>
      <c r="K683" s="44"/>
      <c r="L683" s="45"/>
      <c r="M683" s="45"/>
      <c r="N683" s="46"/>
      <c r="O683" s="44"/>
      <c r="P683" s="45"/>
      <c r="Q683" s="45"/>
      <c r="R683" s="46"/>
      <c r="S683" s="224"/>
      <c r="T683" s="224"/>
      <c r="U683" s="224"/>
      <c r="V683" s="252"/>
      <c r="W683" s="252"/>
      <c r="Y683" s="214" t="str">
        <f>_xlfn.IFNA(VLOOKUP(C683,'Data Dan'!$C$6:$N$995,12,0),"No Data")</f>
        <v>No Data</v>
      </c>
    </row>
    <row r="684" spans="1:26" ht="12" customHeight="1" x14ac:dyDescent="0.25">
      <c r="B684" s="242"/>
      <c r="C684" s="246"/>
      <c r="D684" s="247"/>
      <c r="E684" s="247"/>
      <c r="F684" s="248"/>
      <c r="G684" s="249"/>
      <c r="H684" s="251"/>
      <c r="I684" s="224"/>
      <c r="J684" s="224"/>
      <c r="K684" s="47"/>
      <c r="L684" s="224" t="str">
        <f>IF(C683&lt;&gt;"","V","")</f>
        <v/>
      </c>
      <c r="M684" s="224"/>
      <c r="N684" s="47"/>
      <c r="O684" s="47"/>
      <c r="P684" s="224" t="str">
        <f>IF(C683&lt;&gt;"","V","")</f>
        <v/>
      </c>
      <c r="Q684" s="224"/>
      <c r="R684" s="47"/>
      <c r="S684" s="224"/>
      <c r="T684" s="224"/>
      <c r="U684" s="224"/>
      <c r="V684" s="252"/>
      <c r="W684" s="252"/>
      <c r="Y684" s="214"/>
    </row>
    <row r="685" spans="1:26" ht="9" customHeight="1" x14ac:dyDescent="0.25">
      <c r="B685" s="242"/>
      <c r="C685" s="225" t="str">
        <f>_xlfn.IFNA(INDEX('Data Dan'!$B$6:$B$501,MATCH(C683,'Data Dan'!$C$6:$C$501,0)),"")</f>
        <v/>
      </c>
      <c r="D685" s="226"/>
      <c r="E685" s="226"/>
      <c r="F685" s="226"/>
      <c r="G685" s="226"/>
      <c r="H685" s="227"/>
      <c r="I685" s="224"/>
      <c r="J685" s="224"/>
      <c r="K685" s="47"/>
      <c r="L685" s="224"/>
      <c r="M685" s="224"/>
      <c r="N685" s="47"/>
      <c r="O685" s="47"/>
      <c r="P685" s="224"/>
      <c r="Q685" s="224"/>
      <c r="R685" s="47"/>
      <c r="S685" s="224"/>
      <c r="T685" s="224"/>
      <c r="U685" s="224"/>
      <c r="V685" s="252"/>
      <c r="W685" s="252"/>
      <c r="Y685" s="214"/>
    </row>
    <row r="686" spans="1:26" ht="9" customHeight="1" x14ac:dyDescent="0.25">
      <c r="B686" s="243"/>
      <c r="C686" s="228"/>
      <c r="D686" s="229"/>
      <c r="E686" s="229"/>
      <c r="F686" s="229"/>
      <c r="G686" s="229"/>
      <c r="H686" s="230"/>
      <c r="I686" s="224"/>
      <c r="J686" s="224"/>
      <c r="K686" s="48"/>
      <c r="L686" s="49"/>
      <c r="M686" s="49"/>
      <c r="N686" s="50"/>
      <c r="O686" s="48"/>
      <c r="P686" s="49"/>
      <c r="Q686" s="49"/>
      <c r="R686" s="50"/>
      <c r="S686" s="224"/>
      <c r="T686" s="224"/>
      <c r="U686" s="224"/>
      <c r="V686" s="252"/>
      <c r="W686" s="252"/>
      <c r="Y686" s="214"/>
    </row>
    <row r="687" spans="1:26" ht="7.5" customHeight="1" x14ac:dyDescent="0.25">
      <c r="B687" s="241">
        <f t="shared" si="90"/>
        <v>93</v>
      </c>
      <c r="C687" s="244" t="str">
        <f>IF(AND('Data Dan'!$I$93="1 Dan",'Data Dan'!$N$93="LULUS"),VLOOKUP(B687,'Data Dan'!$A$6:$I$475,3,0),"")</f>
        <v/>
      </c>
      <c r="D687" s="245"/>
      <c r="E687" s="245"/>
      <c r="F687" s="248"/>
      <c r="G687" s="249"/>
      <c r="H687" s="250" t="str">
        <f>_xlfn.IFNA(INDEX('Data Dan'!$I$6:$I$495,MATCH(C687,'Data Dan'!$C$6:$C$495,0)),"")</f>
        <v/>
      </c>
      <c r="I687" s="224" t="str">
        <f t="shared" ref="I687" si="91">IF(AND(S687&lt;&gt;"",V687&lt;&gt;""),IF(V687&gt;=90,"Excellent",IF(V687&gt;=80,"Very Good",IF(V687&gt;=70,"Good",IF(V687&gt;=60,"Fair","Poor")))),"")</f>
        <v/>
      </c>
      <c r="J687" s="224"/>
      <c r="K687" s="44"/>
      <c r="L687" s="45"/>
      <c r="M687" s="45"/>
      <c r="N687" s="46"/>
      <c r="O687" s="44"/>
      <c r="P687" s="45"/>
      <c r="Q687" s="45"/>
      <c r="R687" s="46"/>
      <c r="S687" s="224"/>
      <c r="T687" s="224"/>
      <c r="U687" s="224"/>
      <c r="V687" s="252"/>
      <c r="W687" s="252"/>
      <c r="Y687" s="214" t="str">
        <f>_xlfn.IFNA(VLOOKUP(C687,'Data Dan'!$C$6:$N$995,12,0),"No Data")</f>
        <v>No Data</v>
      </c>
    </row>
    <row r="688" spans="1:26" ht="12" customHeight="1" x14ac:dyDescent="0.25">
      <c r="B688" s="242"/>
      <c r="C688" s="246"/>
      <c r="D688" s="247"/>
      <c r="E688" s="247"/>
      <c r="F688" s="248"/>
      <c r="G688" s="249"/>
      <c r="H688" s="251"/>
      <c r="I688" s="224"/>
      <c r="J688" s="224"/>
      <c r="K688" s="47"/>
      <c r="L688" s="224" t="str">
        <f>IF(C687&lt;&gt;"","V","")</f>
        <v/>
      </c>
      <c r="M688" s="224"/>
      <c r="N688" s="47"/>
      <c r="O688" s="47"/>
      <c r="P688" s="224" t="str">
        <f>IF(C687&lt;&gt;"","V","")</f>
        <v/>
      </c>
      <c r="Q688" s="224"/>
      <c r="R688" s="47"/>
      <c r="S688" s="224"/>
      <c r="T688" s="224"/>
      <c r="U688" s="224"/>
      <c r="V688" s="252"/>
      <c r="W688" s="252"/>
      <c r="Y688" s="214"/>
    </row>
    <row r="689" spans="2:25" ht="9" customHeight="1" x14ac:dyDescent="0.25">
      <c r="B689" s="242"/>
      <c r="C689" s="225" t="str">
        <f>_xlfn.IFNA(INDEX('Data Dan'!$B$6:$B$501,MATCH(C687,'Data Dan'!$C$6:$C$501,0)),"")</f>
        <v/>
      </c>
      <c r="D689" s="226"/>
      <c r="E689" s="226"/>
      <c r="F689" s="226"/>
      <c r="G689" s="226"/>
      <c r="H689" s="227"/>
      <c r="I689" s="224"/>
      <c r="J689" s="224"/>
      <c r="K689" s="47"/>
      <c r="L689" s="224"/>
      <c r="M689" s="224"/>
      <c r="N689" s="47"/>
      <c r="O689" s="47"/>
      <c r="P689" s="224"/>
      <c r="Q689" s="224"/>
      <c r="R689" s="47"/>
      <c r="S689" s="224"/>
      <c r="T689" s="224"/>
      <c r="U689" s="224"/>
      <c r="V689" s="252"/>
      <c r="W689" s="252"/>
      <c r="Y689" s="214"/>
    </row>
    <row r="690" spans="2:25" ht="9" customHeight="1" x14ac:dyDescent="0.25">
      <c r="B690" s="243"/>
      <c r="C690" s="228"/>
      <c r="D690" s="229"/>
      <c r="E690" s="229"/>
      <c r="F690" s="229"/>
      <c r="G690" s="229"/>
      <c r="H690" s="230"/>
      <c r="I690" s="224"/>
      <c r="J690" s="224"/>
      <c r="K690" s="48"/>
      <c r="L690" s="49"/>
      <c r="M690" s="49"/>
      <c r="N690" s="50"/>
      <c r="O690" s="48"/>
      <c r="P690" s="49"/>
      <c r="Q690" s="49"/>
      <c r="R690" s="50"/>
      <c r="S690" s="224"/>
      <c r="T690" s="224"/>
      <c r="U690" s="224"/>
      <c r="V690" s="252"/>
      <c r="W690" s="252"/>
      <c r="Y690" s="214"/>
    </row>
    <row r="691" spans="2:25" ht="7.5" customHeight="1" x14ac:dyDescent="0.25">
      <c r="B691" s="241">
        <f t="shared" si="90"/>
        <v>94</v>
      </c>
      <c r="C691" s="244" t="str">
        <f>IF(AND('Data Dan'!$I$94="1 Dan",'Data Dan'!$N$94="LULUS"),VLOOKUP(B691,'Data Dan'!$A$6:$I$475,3,0),"")</f>
        <v/>
      </c>
      <c r="D691" s="245"/>
      <c r="E691" s="245"/>
      <c r="F691" s="248"/>
      <c r="G691" s="249"/>
      <c r="H691" s="250" t="str">
        <f>_xlfn.IFNA(INDEX('Data Dan'!$I$6:$I$495,MATCH(C691,'Data Dan'!$C$6:$C$495,0)),"")</f>
        <v/>
      </c>
      <c r="I691" s="224" t="str">
        <f t="shared" ref="I691" si="92">IF(AND(S691&lt;&gt;"",V691&lt;&gt;""),IF(V691&gt;=90,"Excellent",IF(V691&gt;=80,"Very Good",IF(V691&gt;=70,"Good",IF(V691&gt;=60,"Fair","Poor")))),"")</f>
        <v/>
      </c>
      <c r="J691" s="224"/>
      <c r="K691" s="44"/>
      <c r="L691" s="45"/>
      <c r="M691" s="45"/>
      <c r="N691" s="46"/>
      <c r="O691" s="44"/>
      <c r="P691" s="45"/>
      <c r="Q691" s="45"/>
      <c r="R691" s="46"/>
      <c r="S691" s="224"/>
      <c r="T691" s="224"/>
      <c r="U691" s="224"/>
      <c r="V691" s="252"/>
      <c r="W691" s="252"/>
      <c r="Y691" s="214" t="str">
        <f>_xlfn.IFNA(VLOOKUP(C691,'Data Dan'!$C$6:$N$995,12,0),"No Data")</f>
        <v>No Data</v>
      </c>
    </row>
    <row r="692" spans="2:25" ht="12" customHeight="1" x14ac:dyDescent="0.25">
      <c r="B692" s="242"/>
      <c r="C692" s="246"/>
      <c r="D692" s="247"/>
      <c r="E692" s="247"/>
      <c r="F692" s="248"/>
      <c r="G692" s="249"/>
      <c r="H692" s="251"/>
      <c r="I692" s="224"/>
      <c r="J692" s="224"/>
      <c r="K692" s="47"/>
      <c r="L692" s="224" t="str">
        <f>IF(C691&lt;&gt;"","V","")</f>
        <v/>
      </c>
      <c r="M692" s="224"/>
      <c r="N692" s="47"/>
      <c r="O692" s="47"/>
      <c r="P692" s="224" t="str">
        <f>IF(C691&lt;&gt;"","V","")</f>
        <v/>
      </c>
      <c r="Q692" s="224"/>
      <c r="R692" s="47"/>
      <c r="S692" s="224"/>
      <c r="T692" s="224"/>
      <c r="U692" s="224"/>
      <c r="V692" s="252"/>
      <c r="W692" s="252"/>
      <c r="Y692" s="214"/>
    </row>
    <row r="693" spans="2:25" ht="9" customHeight="1" x14ac:dyDescent="0.25">
      <c r="B693" s="242"/>
      <c r="C693" s="225" t="str">
        <f>_xlfn.IFNA(INDEX('Data Dan'!$B$6:$B$501,MATCH(C691,'Data Dan'!$C$6:$C$501,0)),"")</f>
        <v/>
      </c>
      <c r="D693" s="226"/>
      <c r="E693" s="226"/>
      <c r="F693" s="226"/>
      <c r="G693" s="226"/>
      <c r="H693" s="227"/>
      <c r="I693" s="224"/>
      <c r="J693" s="224"/>
      <c r="K693" s="47"/>
      <c r="L693" s="224"/>
      <c r="M693" s="224"/>
      <c r="N693" s="47"/>
      <c r="O693" s="47"/>
      <c r="P693" s="224"/>
      <c r="Q693" s="224"/>
      <c r="R693" s="47"/>
      <c r="S693" s="224"/>
      <c r="T693" s="224"/>
      <c r="U693" s="224"/>
      <c r="V693" s="252"/>
      <c r="W693" s="252"/>
      <c r="Y693" s="214"/>
    </row>
    <row r="694" spans="2:25" ht="9" customHeight="1" x14ac:dyDescent="0.25">
      <c r="B694" s="243"/>
      <c r="C694" s="228"/>
      <c r="D694" s="229"/>
      <c r="E694" s="229"/>
      <c r="F694" s="229"/>
      <c r="G694" s="229"/>
      <c r="H694" s="230"/>
      <c r="I694" s="224"/>
      <c r="J694" s="224"/>
      <c r="K694" s="48"/>
      <c r="L694" s="49"/>
      <c r="M694" s="49"/>
      <c r="N694" s="50"/>
      <c r="O694" s="48"/>
      <c r="P694" s="49"/>
      <c r="Q694" s="49"/>
      <c r="R694" s="50"/>
      <c r="S694" s="224"/>
      <c r="T694" s="224"/>
      <c r="U694" s="224"/>
      <c r="V694" s="252"/>
      <c r="W694" s="252"/>
      <c r="Y694" s="214"/>
    </row>
    <row r="695" spans="2:25" ht="7.5" customHeight="1" x14ac:dyDescent="0.25">
      <c r="B695" s="241">
        <f t="shared" si="90"/>
        <v>95</v>
      </c>
      <c r="C695" s="244" t="str">
        <f>IF(AND('Data Dan'!$I$95="1 Dan",'Data Dan'!$N$95="LULUS"),VLOOKUP(B695,'Data Dan'!$A$6:$I$475,3,0),"")</f>
        <v/>
      </c>
      <c r="D695" s="245"/>
      <c r="E695" s="245"/>
      <c r="F695" s="248"/>
      <c r="G695" s="249"/>
      <c r="H695" s="250" t="str">
        <f>_xlfn.IFNA(INDEX('Data Dan'!$I$6:$I$495,MATCH(C695,'Data Dan'!$C$6:$C$495,0)),"")</f>
        <v/>
      </c>
      <c r="I695" s="224" t="str">
        <f t="shared" ref="I695" si="93">IF(AND(S695&lt;&gt;"",V695&lt;&gt;""),IF(V695&gt;=90,"Excellent",IF(V695&gt;=80,"Very Good",IF(V695&gt;=70,"Good",IF(V695&gt;=60,"Fair","Poor")))),"")</f>
        <v/>
      </c>
      <c r="J695" s="224"/>
      <c r="K695" s="44"/>
      <c r="L695" s="45"/>
      <c r="M695" s="45"/>
      <c r="N695" s="46"/>
      <c r="O695" s="44"/>
      <c r="P695" s="45"/>
      <c r="Q695" s="45"/>
      <c r="R695" s="46"/>
      <c r="S695" s="224"/>
      <c r="T695" s="224"/>
      <c r="U695" s="224"/>
      <c r="V695" s="252"/>
      <c r="W695" s="252"/>
      <c r="Y695" s="214" t="str">
        <f>_xlfn.IFNA(VLOOKUP(C695,'Data Dan'!$C$6:$N$995,12,0),"No Data")</f>
        <v>No Data</v>
      </c>
    </row>
    <row r="696" spans="2:25" ht="12" customHeight="1" x14ac:dyDescent="0.25">
      <c r="B696" s="242"/>
      <c r="C696" s="246"/>
      <c r="D696" s="247"/>
      <c r="E696" s="247"/>
      <c r="F696" s="248"/>
      <c r="G696" s="249"/>
      <c r="H696" s="251"/>
      <c r="I696" s="224"/>
      <c r="J696" s="224"/>
      <c r="K696" s="47"/>
      <c r="L696" s="224" t="str">
        <f>IF(C695&lt;&gt;"","V","")</f>
        <v/>
      </c>
      <c r="M696" s="224"/>
      <c r="N696" s="47"/>
      <c r="O696" s="47"/>
      <c r="P696" s="224" t="str">
        <f>IF(C695&lt;&gt;"","V","")</f>
        <v/>
      </c>
      <c r="Q696" s="224"/>
      <c r="R696" s="47"/>
      <c r="S696" s="224"/>
      <c r="T696" s="224"/>
      <c r="U696" s="224"/>
      <c r="V696" s="252"/>
      <c r="W696" s="252"/>
      <c r="Y696" s="214"/>
    </row>
    <row r="697" spans="2:25" ht="9" customHeight="1" x14ac:dyDescent="0.25">
      <c r="B697" s="242"/>
      <c r="C697" s="225" t="str">
        <f>_xlfn.IFNA(INDEX('Data Dan'!$B$6:$B$501,MATCH(C695,'Data Dan'!$C$6:$C$501,0)),"")</f>
        <v/>
      </c>
      <c r="D697" s="226"/>
      <c r="E697" s="226"/>
      <c r="F697" s="226"/>
      <c r="G697" s="226"/>
      <c r="H697" s="227"/>
      <c r="I697" s="224"/>
      <c r="J697" s="224"/>
      <c r="K697" s="47"/>
      <c r="L697" s="224"/>
      <c r="M697" s="224"/>
      <c r="N697" s="47"/>
      <c r="O697" s="47"/>
      <c r="P697" s="224"/>
      <c r="Q697" s="224"/>
      <c r="R697" s="47"/>
      <c r="S697" s="224"/>
      <c r="T697" s="224"/>
      <c r="U697" s="224"/>
      <c r="V697" s="252"/>
      <c r="W697" s="252"/>
      <c r="Y697" s="214"/>
    </row>
    <row r="698" spans="2:25" ht="9" customHeight="1" x14ac:dyDescent="0.25">
      <c r="B698" s="243"/>
      <c r="C698" s="228"/>
      <c r="D698" s="229"/>
      <c r="E698" s="229"/>
      <c r="F698" s="229"/>
      <c r="G698" s="229"/>
      <c r="H698" s="230"/>
      <c r="I698" s="224"/>
      <c r="J698" s="224"/>
      <c r="K698" s="48"/>
      <c r="L698" s="49"/>
      <c r="M698" s="49"/>
      <c r="N698" s="50"/>
      <c r="O698" s="48"/>
      <c r="P698" s="49"/>
      <c r="Q698" s="49"/>
      <c r="R698" s="50"/>
      <c r="S698" s="224"/>
      <c r="T698" s="224"/>
      <c r="U698" s="224"/>
      <c r="V698" s="252"/>
      <c r="W698" s="252"/>
      <c r="Y698" s="214"/>
    </row>
    <row r="699" spans="2:25" ht="7.5" customHeight="1" x14ac:dyDescent="0.25">
      <c r="B699" s="241">
        <f t="shared" si="90"/>
        <v>96</v>
      </c>
      <c r="C699" s="244" t="str">
        <f>IF(AND('Data Dan'!$I$96="1 Dan",'Data Dan'!$N$96="LULUS"),VLOOKUP(B699,'Data Dan'!$A$6:$I$475,3,0),"")</f>
        <v/>
      </c>
      <c r="D699" s="245"/>
      <c r="E699" s="245"/>
      <c r="F699" s="248"/>
      <c r="G699" s="249"/>
      <c r="H699" s="250" t="str">
        <f>_xlfn.IFNA(INDEX('Data Dan'!$I$6:$I$495,MATCH(C699,'Data Dan'!$C$6:$C$495,0)),"")</f>
        <v/>
      </c>
      <c r="I699" s="224" t="str">
        <f t="shared" ref="I699" si="94">IF(AND(S699&lt;&gt;"",V699&lt;&gt;""),IF(V699&gt;=90,"Excellent",IF(V699&gt;=80,"Very Good",IF(V699&gt;=70,"Good",IF(V699&gt;=60,"Fair","Poor")))),"")</f>
        <v/>
      </c>
      <c r="J699" s="224"/>
      <c r="K699" s="44"/>
      <c r="L699" s="45"/>
      <c r="M699" s="45"/>
      <c r="N699" s="46"/>
      <c r="O699" s="44"/>
      <c r="P699" s="45"/>
      <c r="Q699" s="45"/>
      <c r="R699" s="46"/>
      <c r="S699" s="224"/>
      <c r="T699" s="224"/>
      <c r="U699" s="224"/>
      <c r="V699" s="252"/>
      <c r="W699" s="252"/>
      <c r="Y699" s="214" t="str">
        <f>_xlfn.IFNA(VLOOKUP(C699,'Data Dan'!$C$6:$N$995,12,0),"No Data")</f>
        <v>No Data</v>
      </c>
    </row>
    <row r="700" spans="2:25" ht="12" customHeight="1" x14ac:dyDescent="0.25">
      <c r="B700" s="242"/>
      <c r="C700" s="246"/>
      <c r="D700" s="247"/>
      <c r="E700" s="247"/>
      <c r="F700" s="248"/>
      <c r="G700" s="249"/>
      <c r="H700" s="251"/>
      <c r="I700" s="224"/>
      <c r="J700" s="224"/>
      <c r="K700" s="47"/>
      <c r="L700" s="224" t="str">
        <f>IF(C699&lt;&gt;"","V","")</f>
        <v/>
      </c>
      <c r="M700" s="224"/>
      <c r="N700" s="47"/>
      <c r="O700" s="47"/>
      <c r="P700" s="224" t="str">
        <f>IF(C699&lt;&gt;"","V","")</f>
        <v/>
      </c>
      <c r="Q700" s="224"/>
      <c r="R700" s="47"/>
      <c r="S700" s="224"/>
      <c r="T700" s="224"/>
      <c r="U700" s="224"/>
      <c r="V700" s="252"/>
      <c r="W700" s="252"/>
      <c r="Y700" s="214"/>
    </row>
    <row r="701" spans="2:25" ht="9" customHeight="1" x14ac:dyDescent="0.25">
      <c r="B701" s="242"/>
      <c r="C701" s="225" t="str">
        <f>_xlfn.IFNA(INDEX('Data Dan'!$B$6:$B$501,MATCH(C699,'Data Dan'!$C$6:$C$501,0)),"")</f>
        <v/>
      </c>
      <c r="D701" s="226"/>
      <c r="E701" s="226"/>
      <c r="F701" s="226"/>
      <c r="G701" s="226"/>
      <c r="H701" s="227"/>
      <c r="I701" s="224"/>
      <c r="J701" s="224"/>
      <c r="K701" s="47"/>
      <c r="L701" s="224"/>
      <c r="M701" s="224"/>
      <c r="N701" s="47"/>
      <c r="O701" s="47"/>
      <c r="P701" s="224"/>
      <c r="Q701" s="224"/>
      <c r="R701" s="47"/>
      <c r="S701" s="224"/>
      <c r="T701" s="224"/>
      <c r="U701" s="224"/>
      <c r="V701" s="252"/>
      <c r="W701" s="252"/>
      <c r="Y701" s="214"/>
    </row>
    <row r="702" spans="2:25" ht="9" customHeight="1" x14ac:dyDescent="0.25">
      <c r="B702" s="243"/>
      <c r="C702" s="228"/>
      <c r="D702" s="229"/>
      <c r="E702" s="229"/>
      <c r="F702" s="229"/>
      <c r="G702" s="229"/>
      <c r="H702" s="230"/>
      <c r="I702" s="224"/>
      <c r="J702" s="224"/>
      <c r="K702" s="48"/>
      <c r="L702" s="49"/>
      <c r="M702" s="49"/>
      <c r="N702" s="50"/>
      <c r="O702" s="48"/>
      <c r="P702" s="49"/>
      <c r="Q702" s="49"/>
      <c r="R702" s="50"/>
      <c r="S702" s="224"/>
      <c r="T702" s="224"/>
      <c r="U702" s="224"/>
      <c r="V702" s="252"/>
      <c r="W702" s="252"/>
      <c r="Y702" s="214"/>
    </row>
    <row r="703" spans="2:25" ht="7.5" customHeight="1" x14ac:dyDescent="0.25">
      <c r="B703" s="241">
        <f t="shared" si="90"/>
        <v>97</v>
      </c>
      <c r="C703" s="244" t="str">
        <f>IF(AND('Data Dan'!$I$97="1 Dan",'Data Dan'!$N$97="LULUS"),VLOOKUP(B703,'Data Dan'!$A$6:$I$475,3,0),"")</f>
        <v/>
      </c>
      <c r="D703" s="245"/>
      <c r="E703" s="245"/>
      <c r="F703" s="248"/>
      <c r="G703" s="249"/>
      <c r="H703" s="250" t="str">
        <f>_xlfn.IFNA(INDEX('Data Dan'!$I$6:$I$495,MATCH(C703,'Data Dan'!$C$6:$C$495,0)),"")</f>
        <v/>
      </c>
      <c r="I703" s="224" t="str">
        <f t="shared" ref="I703" si="95">IF(AND(S703&lt;&gt;"",V703&lt;&gt;""),IF(V703&gt;=90,"Excellent",IF(V703&gt;=80,"Very Good",IF(V703&gt;=70,"Good",IF(V703&gt;=60,"Fair","Poor")))),"")</f>
        <v/>
      </c>
      <c r="J703" s="224"/>
      <c r="K703" s="44"/>
      <c r="L703" s="45"/>
      <c r="M703" s="45"/>
      <c r="N703" s="46"/>
      <c r="O703" s="44"/>
      <c r="P703" s="45"/>
      <c r="Q703" s="45"/>
      <c r="R703" s="46"/>
      <c r="S703" s="224"/>
      <c r="T703" s="224"/>
      <c r="U703" s="224"/>
      <c r="V703" s="252"/>
      <c r="W703" s="252"/>
      <c r="Y703" s="214" t="str">
        <f>_xlfn.IFNA(VLOOKUP(C703,'Data Dan'!$C$6:$N$995,12,0),"No Data")</f>
        <v>No Data</v>
      </c>
    </row>
    <row r="704" spans="2:25" ht="12" customHeight="1" x14ac:dyDescent="0.25">
      <c r="B704" s="242"/>
      <c r="C704" s="246"/>
      <c r="D704" s="247"/>
      <c r="E704" s="247"/>
      <c r="F704" s="248"/>
      <c r="G704" s="249"/>
      <c r="H704" s="251"/>
      <c r="I704" s="224"/>
      <c r="J704" s="224"/>
      <c r="K704" s="47"/>
      <c r="L704" s="224" t="str">
        <f>IF(C703&lt;&gt;"","V","")</f>
        <v/>
      </c>
      <c r="M704" s="224"/>
      <c r="N704" s="47"/>
      <c r="O704" s="47"/>
      <c r="P704" s="224" t="str">
        <f>IF(C703&lt;&gt;"","V","")</f>
        <v/>
      </c>
      <c r="Q704" s="224"/>
      <c r="R704" s="47"/>
      <c r="S704" s="224"/>
      <c r="T704" s="224"/>
      <c r="U704" s="224"/>
      <c r="V704" s="252"/>
      <c r="W704" s="252"/>
      <c r="Y704" s="214"/>
    </row>
    <row r="705" spans="2:25" ht="9" customHeight="1" x14ac:dyDescent="0.25">
      <c r="B705" s="242"/>
      <c r="C705" s="225" t="str">
        <f>_xlfn.IFNA(INDEX('Data Dan'!$B$6:$B$501,MATCH(C703,'Data Dan'!$C$6:$C$501,0)),"")</f>
        <v/>
      </c>
      <c r="D705" s="226"/>
      <c r="E705" s="226"/>
      <c r="F705" s="226"/>
      <c r="G705" s="226"/>
      <c r="H705" s="227"/>
      <c r="I705" s="224"/>
      <c r="J705" s="224"/>
      <c r="K705" s="47"/>
      <c r="L705" s="224"/>
      <c r="M705" s="224"/>
      <c r="N705" s="47"/>
      <c r="O705" s="47"/>
      <c r="P705" s="224"/>
      <c r="Q705" s="224"/>
      <c r="R705" s="47"/>
      <c r="S705" s="224"/>
      <c r="T705" s="224"/>
      <c r="U705" s="224"/>
      <c r="V705" s="252"/>
      <c r="W705" s="252"/>
      <c r="Y705" s="214"/>
    </row>
    <row r="706" spans="2:25" ht="9" customHeight="1" x14ac:dyDescent="0.25">
      <c r="B706" s="243"/>
      <c r="C706" s="228"/>
      <c r="D706" s="229"/>
      <c r="E706" s="229"/>
      <c r="F706" s="229"/>
      <c r="G706" s="229"/>
      <c r="H706" s="230"/>
      <c r="I706" s="224"/>
      <c r="J706" s="224"/>
      <c r="K706" s="48"/>
      <c r="L706" s="49"/>
      <c r="M706" s="49"/>
      <c r="N706" s="50"/>
      <c r="O706" s="48"/>
      <c r="P706" s="49"/>
      <c r="Q706" s="49"/>
      <c r="R706" s="50"/>
      <c r="S706" s="224"/>
      <c r="T706" s="224"/>
      <c r="U706" s="224"/>
      <c r="V706" s="252"/>
      <c r="W706" s="252"/>
      <c r="Y706" s="214"/>
    </row>
    <row r="707" spans="2:25" ht="7.5" customHeight="1" x14ac:dyDescent="0.25">
      <c r="B707" s="241">
        <f t="shared" si="90"/>
        <v>98</v>
      </c>
      <c r="C707" s="244" t="str">
        <f>IF(AND('Data Dan'!$I$98="1 Dan",'Data Dan'!$N$98="LULUS"),VLOOKUP(B707,'Data Dan'!$A$6:$I$475,3,0),"")</f>
        <v/>
      </c>
      <c r="D707" s="245"/>
      <c r="E707" s="245"/>
      <c r="F707" s="248"/>
      <c r="G707" s="249"/>
      <c r="H707" s="250" t="str">
        <f>_xlfn.IFNA(INDEX('Data Dan'!$I$6:$I$495,MATCH(C707,'Data Dan'!$C$6:$C$495,0)),"")</f>
        <v/>
      </c>
      <c r="I707" s="224" t="str">
        <f t="shared" ref="I707" si="96">IF(AND(S707&lt;&gt;"",V707&lt;&gt;""),IF(V707&gt;=90,"Excellent",IF(V707&gt;=80,"Very Good",IF(V707&gt;=70,"Good",IF(V707&gt;=60,"Fair","Poor")))),"")</f>
        <v/>
      </c>
      <c r="J707" s="224"/>
      <c r="K707" s="44"/>
      <c r="L707" s="45"/>
      <c r="M707" s="45"/>
      <c r="N707" s="46"/>
      <c r="O707" s="44"/>
      <c r="P707" s="45"/>
      <c r="Q707" s="45"/>
      <c r="R707" s="46"/>
      <c r="S707" s="224"/>
      <c r="T707" s="224"/>
      <c r="U707" s="224"/>
      <c r="V707" s="252"/>
      <c r="W707" s="252"/>
      <c r="Y707" s="214" t="str">
        <f>_xlfn.IFNA(VLOOKUP(C707,'Data Dan'!$C$6:$N$995,12,0),"No Data")</f>
        <v>No Data</v>
      </c>
    </row>
    <row r="708" spans="2:25" ht="12" customHeight="1" x14ac:dyDescent="0.25">
      <c r="B708" s="242"/>
      <c r="C708" s="246"/>
      <c r="D708" s="247"/>
      <c r="E708" s="247"/>
      <c r="F708" s="248"/>
      <c r="G708" s="249"/>
      <c r="H708" s="251"/>
      <c r="I708" s="224"/>
      <c r="J708" s="224"/>
      <c r="K708" s="47"/>
      <c r="L708" s="224" t="str">
        <f>IF(C707&lt;&gt;"","V","")</f>
        <v/>
      </c>
      <c r="M708" s="224"/>
      <c r="N708" s="47"/>
      <c r="O708" s="47"/>
      <c r="P708" s="224" t="str">
        <f>IF(C707&lt;&gt;"","V","")</f>
        <v/>
      </c>
      <c r="Q708" s="224"/>
      <c r="R708" s="47"/>
      <c r="S708" s="224"/>
      <c r="T708" s="224"/>
      <c r="U708" s="224"/>
      <c r="V708" s="252"/>
      <c r="W708" s="252"/>
      <c r="Y708" s="214"/>
    </row>
    <row r="709" spans="2:25" ht="9" customHeight="1" x14ac:dyDescent="0.25">
      <c r="B709" s="242"/>
      <c r="C709" s="225" t="str">
        <f>_xlfn.IFNA(INDEX('Data Dan'!$B$6:$B$501,MATCH(C707,'Data Dan'!$C$6:$C$501,0)),"")</f>
        <v/>
      </c>
      <c r="D709" s="226"/>
      <c r="E709" s="226"/>
      <c r="F709" s="226"/>
      <c r="G709" s="226"/>
      <c r="H709" s="227"/>
      <c r="I709" s="224"/>
      <c r="J709" s="224"/>
      <c r="K709" s="47"/>
      <c r="L709" s="224"/>
      <c r="M709" s="224"/>
      <c r="N709" s="47"/>
      <c r="O709" s="47"/>
      <c r="P709" s="224"/>
      <c r="Q709" s="224"/>
      <c r="R709" s="47"/>
      <c r="S709" s="224"/>
      <c r="T709" s="224"/>
      <c r="U709" s="224"/>
      <c r="V709" s="252"/>
      <c r="W709" s="252"/>
      <c r="Y709" s="214"/>
    </row>
    <row r="710" spans="2:25" ht="9" customHeight="1" x14ac:dyDescent="0.25">
      <c r="B710" s="243"/>
      <c r="C710" s="228"/>
      <c r="D710" s="229"/>
      <c r="E710" s="229"/>
      <c r="F710" s="229"/>
      <c r="G710" s="229"/>
      <c r="H710" s="230"/>
      <c r="I710" s="224"/>
      <c r="J710" s="224"/>
      <c r="K710" s="48"/>
      <c r="L710" s="49"/>
      <c r="M710" s="49"/>
      <c r="N710" s="50"/>
      <c r="O710" s="48"/>
      <c r="P710" s="49"/>
      <c r="Q710" s="49"/>
      <c r="R710" s="50"/>
      <c r="S710" s="224"/>
      <c r="T710" s="224"/>
      <c r="U710" s="224"/>
      <c r="V710" s="252"/>
      <c r="W710" s="252"/>
      <c r="Y710" s="214"/>
    </row>
    <row r="711" spans="2:25" ht="7.5" customHeight="1" x14ac:dyDescent="0.25">
      <c r="B711" s="241">
        <f t="shared" si="90"/>
        <v>99</v>
      </c>
      <c r="C711" s="244" t="str">
        <f>IF(AND('Data Dan'!$I$99="1 Dan",'Data Dan'!$N$99="LULUS"),VLOOKUP(B711,'Data Dan'!$A$6:$I$475,3,0),"")</f>
        <v/>
      </c>
      <c r="D711" s="245"/>
      <c r="E711" s="245"/>
      <c r="F711" s="248"/>
      <c r="G711" s="249"/>
      <c r="H711" s="250" t="str">
        <f>_xlfn.IFNA(INDEX('Data Dan'!$I$6:$I$495,MATCH(C711,'Data Dan'!$C$6:$C$495,0)),"")</f>
        <v/>
      </c>
      <c r="I711" s="224" t="str">
        <f t="shared" ref="I711" si="97">IF(AND(S711&lt;&gt;"",V711&lt;&gt;""),IF(V711&gt;=90,"Excellent",IF(V711&gt;=80,"Very Good",IF(V711&gt;=70,"Good",IF(V711&gt;=60,"Fair","Poor")))),"")</f>
        <v/>
      </c>
      <c r="J711" s="224"/>
      <c r="K711" s="44"/>
      <c r="L711" s="45"/>
      <c r="M711" s="45"/>
      <c r="N711" s="46"/>
      <c r="O711" s="44"/>
      <c r="P711" s="45"/>
      <c r="Q711" s="45"/>
      <c r="R711" s="46"/>
      <c r="S711" s="224"/>
      <c r="T711" s="224"/>
      <c r="U711" s="224"/>
      <c r="V711" s="252"/>
      <c r="W711" s="252"/>
      <c r="Y711" s="214" t="str">
        <f>_xlfn.IFNA(VLOOKUP(C711,'Data Dan'!$C$6:$N$995,12,0),"No Data")</f>
        <v>No Data</v>
      </c>
    </row>
    <row r="712" spans="2:25" ht="12" customHeight="1" x14ac:dyDescent="0.25">
      <c r="B712" s="242"/>
      <c r="C712" s="246"/>
      <c r="D712" s="247"/>
      <c r="E712" s="247"/>
      <c r="F712" s="248"/>
      <c r="G712" s="249"/>
      <c r="H712" s="251"/>
      <c r="I712" s="224"/>
      <c r="J712" s="224"/>
      <c r="K712" s="47"/>
      <c r="L712" s="224" t="str">
        <f>IF(C711&lt;&gt;"","V","")</f>
        <v/>
      </c>
      <c r="M712" s="224"/>
      <c r="N712" s="47"/>
      <c r="O712" s="47"/>
      <c r="P712" s="224" t="str">
        <f>IF(C711&lt;&gt;"","V","")</f>
        <v/>
      </c>
      <c r="Q712" s="224"/>
      <c r="R712" s="47"/>
      <c r="S712" s="224"/>
      <c r="T712" s="224"/>
      <c r="U712" s="224"/>
      <c r="V712" s="252"/>
      <c r="W712" s="252"/>
      <c r="Y712" s="214"/>
    </row>
    <row r="713" spans="2:25" ht="9" customHeight="1" x14ac:dyDescent="0.25">
      <c r="B713" s="242"/>
      <c r="C713" s="225" t="str">
        <f>_xlfn.IFNA(INDEX('Data Dan'!$B$6:$B$501,MATCH(C711,'Data Dan'!$C$6:$C$501,0)),"")</f>
        <v/>
      </c>
      <c r="D713" s="226"/>
      <c r="E713" s="226"/>
      <c r="F713" s="226"/>
      <c r="G713" s="226"/>
      <c r="H713" s="227"/>
      <c r="I713" s="224"/>
      <c r="J713" s="224"/>
      <c r="K713" s="47"/>
      <c r="L713" s="224"/>
      <c r="M713" s="224"/>
      <c r="N713" s="47"/>
      <c r="O713" s="47"/>
      <c r="P713" s="224"/>
      <c r="Q713" s="224"/>
      <c r="R713" s="47"/>
      <c r="S713" s="224"/>
      <c r="T713" s="224"/>
      <c r="U713" s="224"/>
      <c r="V713" s="252"/>
      <c r="W713" s="252"/>
      <c r="Y713" s="214"/>
    </row>
    <row r="714" spans="2:25" ht="9" customHeight="1" x14ac:dyDescent="0.25">
      <c r="B714" s="243"/>
      <c r="C714" s="228"/>
      <c r="D714" s="229"/>
      <c r="E714" s="229"/>
      <c r="F714" s="229"/>
      <c r="G714" s="229"/>
      <c r="H714" s="230"/>
      <c r="I714" s="224"/>
      <c r="J714" s="224"/>
      <c r="K714" s="48"/>
      <c r="L714" s="49"/>
      <c r="M714" s="49"/>
      <c r="N714" s="50"/>
      <c r="O714" s="48"/>
      <c r="P714" s="49"/>
      <c r="Q714" s="49"/>
      <c r="R714" s="50"/>
      <c r="S714" s="224"/>
      <c r="T714" s="224"/>
      <c r="U714" s="224"/>
      <c r="V714" s="252"/>
      <c r="W714" s="252"/>
      <c r="Y714" s="214"/>
    </row>
    <row r="715" spans="2:25" ht="7.5" customHeight="1" x14ac:dyDescent="0.25">
      <c r="B715" s="241">
        <f t="shared" si="90"/>
        <v>100</v>
      </c>
      <c r="C715" s="244" t="str">
        <f>IF(AND('Data Dan'!$I$100="1 Dan",'Data Dan'!$N$100="LULUS"),VLOOKUP(B715,'Data Dan'!$A$6:$I$475,3,0),"")</f>
        <v/>
      </c>
      <c r="D715" s="245"/>
      <c r="E715" s="245"/>
      <c r="F715" s="248"/>
      <c r="G715" s="249"/>
      <c r="H715" s="250" t="str">
        <f>_xlfn.IFNA(INDEX('Data Dan'!$I$6:$I$495,MATCH(C715,'Data Dan'!$C$6:$C$495,0)),"")</f>
        <v/>
      </c>
      <c r="I715" s="224" t="str">
        <f t="shared" ref="I715" si="98">IF(AND(S715&lt;&gt;"",V715&lt;&gt;""),IF(V715&gt;=90,"Excellent",IF(V715&gt;=80,"Very Good",IF(V715&gt;=70,"Good",IF(V715&gt;=60,"Fair","Poor")))),"")</f>
        <v/>
      </c>
      <c r="J715" s="224"/>
      <c r="K715" s="44"/>
      <c r="L715" s="45"/>
      <c r="M715" s="45"/>
      <c r="N715" s="46"/>
      <c r="O715" s="44"/>
      <c r="P715" s="45"/>
      <c r="Q715" s="45"/>
      <c r="R715" s="46"/>
      <c r="S715" s="224"/>
      <c r="T715" s="224"/>
      <c r="U715" s="224"/>
      <c r="V715" s="252"/>
      <c r="W715" s="252"/>
      <c r="Y715" s="214" t="str">
        <f>_xlfn.IFNA(VLOOKUP(C715,'Data Dan'!$C$6:$N$995,12,0),"No Data")</f>
        <v>No Data</v>
      </c>
    </row>
    <row r="716" spans="2:25" ht="12" customHeight="1" x14ac:dyDescent="0.25">
      <c r="B716" s="242"/>
      <c r="C716" s="246"/>
      <c r="D716" s="247"/>
      <c r="E716" s="247"/>
      <c r="F716" s="248"/>
      <c r="G716" s="249"/>
      <c r="H716" s="251"/>
      <c r="I716" s="224"/>
      <c r="J716" s="224"/>
      <c r="K716" s="47"/>
      <c r="L716" s="224" t="str">
        <f>IF(C715&lt;&gt;"","V","")</f>
        <v/>
      </c>
      <c r="M716" s="224"/>
      <c r="N716" s="47"/>
      <c r="O716" s="47"/>
      <c r="P716" s="224" t="str">
        <f>IF(C715&lt;&gt;"","V","")</f>
        <v/>
      </c>
      <c r="Q716" s="224"/>
      <c r="R716" s="47"/>
      <c r="S716" s="224"/>
      <c r="T716" s="224"/>
      <c r="U716" s="224"/>
      <c r="V716" s="252"/>
      <c r="W716" s="252"/>
      <c r="Y716" s="214"/>
    </row>
    <row r="717" spans="2:25" ht="9" customHeight="1" x14ac:dyDescent="0.25">
      <c r="B717" s="242"/>
      <c r="C717" s="225" t="str">
        <f>_xlfn.IFNA(INDEX('Data Dan'!$B$6:$B$501,MATCH(C715,'Data Dan'!$C$6:$C$501,0)),"")</f>
        <v/>
      </c>
      <c r="D717" s="226"/>
      <c r="E717" s="226"/>
      <c r="F717" s="226"/>
      <c r="G717" s="226"/>
      <c r="H717" s="227"/>
      <c r="I717" s="224"/>
      <c r="J717" s="224"/>
      <c r="K717" s="47"/>
      <c r="L717" s="224"/>
      <c r="M717" s="224"/>
      <c r="N717" s="47"/>
      <c r="O717" s="47"/>
      <c r="P717" s="224"/>
      <c r="Q717" s="224"/>
      <c r="R717" s="47"/>
      <c r="S717" s="224"/>
      <c r="T717" s="224"/>
      <c r="U717" s="224"/>
      <c r="V717" s="252"/>
      <c r="W717" s="252"/>
      <c r="Y717" s="214"/>
    </row>
    <row r="718" spans="2:25" ht="9" customHeight="1" x14ac:dyDescent="0.25">
      <c r="B718" s="243"/>
      <c r="C718" s="228"/>
      <c r="D718" s="229"/>
      <c r="E718" s="229"/>
      <c r="F718" s="229"/>
      <c r="G718" s="229"/>
      <c r="H718" s="230"/>
      <c r="I718" s="224"/>
      <c r="J718" s="224"/>
      <c r="K718" s="48"/>
      <c r="L718" s="49"/>
      <c r="M718" s="49"/>
      <c r="N718" s="50"/>
      <c r="O718" s="48"/>
      <c r="P718" s="49"/>
      <c r="Q718" s="49"/>
      <c r="R718" s="50"/>
      <c r="S718" s="224"/>
      <c r="T718" s="224"/>
      <c r="U718" s="224"/>
      <c r="V718" s="252"/>
      <c r="W718" s="252"/>
      <c r="Y718" s="214"/>
    </row>
    <row r="719" spans="2:25" ht="7.5" customHeight="1" x14ac:dyDescent="0.25"/>
    <row r="720" spans="2:25" s="34" customFormat="1" x14ac:dyDescent="0.25">
      <c r="C720" s="35" t="s">
        <v>60</v>
      </c>
      <c r="I720" s="262" t="s">
        <v>28</v>
      </c>
      <c r="J720" s="262"/>
    </row>
    <row r="721" spans="2:25" x14ac:dyDescent="0.25">
      <c r="C721" s="33" t="s">
        <v>31</v>
      </c>
      <c r="D721" s="149"/>
      <c r="E721" s="149"/>
      <c r="F721" s="149"/>
      <c r="G721" s="149"/>
      <c r="H721" s="149"/>
      <c r="I721" s="263" t="s">
        <v>29</v>
      </c>
      <c r="J721" s="263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</row>
    <row r="722" spans="2:25" ht="6.75" customHeight="1" x14ac:dyDescent="0.25">
      <c r="D722" s="34"/>
      <c r="E722" s="34"/>
      <c r="F722" s="34"/>
      <c r="G722" s="34"/>
      <c r="H722" s="34"/>
    </row>
    <row r="723" spans="2:25" s="34" customFormat="1" x14ac:dyDescent="0.25">
      <c r="C723" s="35" t="s">
        <v>61</v>
      </c>
      <c r="I723" s="262" t="s">
        <v>36</v>
      </c>
      <c r="J723" s="262"/>
    </row>
    <row r="724" spans="2:25" x14ac:dyDescent="0.25">
      <c r="C724" s="33" t="s">
        <v>33</v>
      </c>
      <c r="D724" s="149"/>
      <c r="E724" s="149"/>
      <c r="F724" s="149"/>
      <c r="G724" s="149"/>
      <c r="H724" s="149"/>
      <c r="I724" s="263" t="s">
        <v>29</v>
      </c>
      <c r="J724" s="263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</row>
    <row r="725" spans="2:25" ht="6.75" customHeight="1" x14ac:dyDescent="0.25">
      <c r="D725" s="34"/>
      <c r="E725" s="34"/>
      <c r="F725" s="34"/>
      <c r="G725" s="34"/>
      <c r="H725" s="34"/>
    </row>
    <row r="726" spans="2:25" s="34" customFormat="1" ht="13.8" x14ac:dyDescent="0.25">
      <c r="C726" s="35" t="s">
        <v>62</v>
      </c>
      <c r="D726" s="177" t="s">
        <v>195</v>
      </c>
      <c r="E726" s="177"/>
      <c r="F726" s="177"/>
      <c r="G726" s="177"/>
      <c r="H726" s="177"/>
      <c r="I726" s="262" t="s">
        <v>28</v>
      </c>
      <c r="J726" s="262"/>
      <c r="Y726" s="70" t="s">
        <v>106</v>
      </c>
    </row>
    <row r="727" spans="2:25" ht="13.8" x14ac:dyDescent="0.25">
      <c r="C727" s="33" t="s">
        <v>35</v>
      </c>
      <c r="D727" s="178"/>
      <c r="E727" s="178"/>
      <c r="F727" s="178"/>
      <c r="G727" s="178"/>
      <c r="H727" s="178"/>
      <c r="I727" s="263" t="s">
        <v>29</v>
      </c>
      <c r="J727" s="263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Y727" s="70" t="s">
        <v>105</v>
      </c>
    </row>
    <row r="728" spans="2:25" ht="12.75" customHeight="1" thickBot="1" x14ac:dyDescent="0.3"/>
    <row r="729" spans="2:25" ht="13.8" thickTop="1" x14ac:dyDescent="0.25">
      <c r="B729" s="34" t="s">
        <v>37</v>
      </c>
      <c r="F729" s="150" t="s">
        <v>40</v>
      </c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</row>
    <row r="730" spans="2:25" x14ac:dyDescent="0.25">
      <c r="B730" s="34" t="s">
        <v>38</v>
      </c>
      <c r="F730" s="152"/>
      <c r="G730" s="153"/>
      <c r="H730" s="153"/>
      <c r="I730" s="153"/>
      <c r="J730" s="153"/>
      <c r="K730" s="153"/>
      <c r="L730" s="153"/>
      <c r="M730" s="153"/>
      <c r="N730" s="153"/>
      <c r="O730" s="153"/>
      <c r="P730" s="153"/>
      <c r="Q730" s="153"/>
      <c r="R730" s="153"/>
      <c r="S730" s="153"/>
      <c r="T730" s="153"/>
      <c r="U730" s="153"/>
      <c r="V730" s="153"/>
      <c r="W730" s="153"/>
    </row>
    <row r="731" spans="2:25" ht="11.25" customHeight="1" x14ac:dyDescent="0.25">
      <c r="B731" s="163" t="s">
        <v>39</v>
      </c>
      <c r="C731" s="163"/>
      <c r="D731" s="163"/>
      <c r="F731" s="37" t="s">
        <v>41</v>
      </c>
    </row>
    <row r="732" spans="2:25" ht="15" customHeight="1" x14ac:dyDescent="0.25">
      <c r="B732" s="163"/>
      <c r="C732" s="163"/>
      <c r="D732" s="163"/>
      <c r="F732" s="38" t="s">
        <v>42</v>
      </c>
    </row>
    <row r="733" spans="2:25" ht="11.25" customHeight="1" x14ac:dyDescent="0.25">
      <c r="B733" s="163"/>
      <c r="C733" s="163"/>
      <c r="D733" s="163"/>
      <c r="F733" s="36"/>
    </row>
    <row r="734" spans="2:25" x14ac:dyDescent="0.25">
      <c r="B734" s="163"/>
      <c r="C734" s="163"/>
      <c r="D734" s="163"/>
      <c r="F734" s="36"/>
    </row>
    <row r="735" spans="2:25" x14ac:dyDescent="0.25">
      <c r="F735" s="36"/>
    </row>
    <row r="736" spans="2:25" x14ac:dyDescent="0.25">
      <c r="F736" s="36"/>
    </row>
    <row r="737" spans="6:23" x14ac:dyDescent="0.25">
      <c r="F737" s="36"/>
    </row>
    <row r="738" spans="6:23" x14ac:dyDescent="0.25">
      <c r="F738" s="36"/>
    </row>
    <row r="739" spans="6:23" ht="13.8" x14ac:dyDescent="0.25">
      <c r="F739" s="157" t="s">
        <v>201</v>
      </c>
      <c r="G739" s="158"/>
      <c r="H739" s="158"/>
      <c r="I739" s="158"/>
      <c r="J739" s="158"/>
      <c r="K739" s="158"/>
      <c r="L739" s="158"/>
      <c r="M739" s="158"/>
      <c r="N739" s="158"/>
      <c r="O739" s="158"/>
      <c r="P739" s="158"/>
      <c r="Q739" s="158"/>
      <c r="R739" s="158"/>
      <c r="S739" s="158"/>
      <c r="T739" s="158"/>
      <c r="U739" s="158"/>
      <c r="V739" s="158"/>
      <c r="W739" s="158"/>
    </row>
    <row r="740" spans="6:23" x14ac:dyDescent="0.25">
      <c r="F740" s="36"/>
    </row>
  </sheetData>
  <mergeCells count="1460">
    <mergeCell ref="F729:W730"/>
    <mergeCell ref="B731:D734"/>
    <mergeCell ref="F739:W739"/>
    <mergeCell ref="I720:J720"/>
    <mergeCell ref="D721:H721"/>
    <mergeCell ref="I721:J721"/>
    <mergeCell ref="I723:J723"/>
    <mergeCell ref="D724:H724"/>
    <mergeCell ref="I724:J724"/>
    <mergeCell ref="D726:H727"/>
    <mergeCell ref="I726:J726"/>
    <mergeCell ref="I727:J727"/>
    <mergeCell ref="B715:B718"/>
    <mergeCell ref="C715:E716"/>
    <mergeCell ref="F715:G716"/>
    <mergeCell ref="H715:H716"/>
    <mergeCell ref="I715:J718"/>
    <mergeCell ref="S715:U718"/>
    <mergeCell ref="V715:W718"/>
    <mergeCell ref="Y715:Y718"/>
    <mergeCell ref="L716:M717"/>
    <mergeCell ref="P716:Q717"/>
    <mergeCell ref="C717:H718"/>
    <mergeCell ref="B711:B714"/>
    <mergeCell ref="C711:E712"/>
    <mergeCell ref="F711:G712"/>
    <mergeCell ref="H711:H712"/>
    <mergeCell ref="I711:J714"/>
    <mergeCell ref="S711:U714"/>
    <mergeCell ref="V711:W714"/>
    <mergeCell ref="Y711:Y714"/>
    <mergeCell ref="L712:M713"/>
    <mergeCell ref="P712:Q713"/>
    <mergeCell ref="C713:H714"/>
    <mergeCell ref="B707:B710"/>
    <mergeCell ref="C707:E708"/>
    <mergeCell ref="F707:G708"/>
    <mergeCell ref="H707:H708"/>
    <mergeCell ref="I707:J710"/>
    <mergeCell ref="S707:U710"/>
    <mergeCell ref="V707:W710"/>
    <mergeCell ref="Y707:Y710"/>
    <mergeCell ref="L708:M709"/>
    <mergeCell ref="P708:Q709"/>
    <mergeCell ref="C709:H710"/>
    <mergeCell ref="B703:B706"/>
    <mergeCell ref="C703:E704"/>
    <mergeCell ref="F703:G704"/>
    <mergeCell ref="H703:H704"/>
    <mergeCell ref="I703:J706"/>
    <mergeCell ref="S703:U706"/>
    <mergeCell ref="V703:W706"/>
    <mergeCell ref="Y703:Y706"/>
    <mergeCell ref="L704:M705"/>
    <mergeCell ref="P704:Q705"/>
    <mergeCell ref="C705:H706"/>
    <mergeCell ref="B699:B702"/>
    <mergeCell ref="C699:E700"/>
    <mergeCell ref="F699:G700"/>
    <mergeCell ref="H699:H700"/>
    <mergeCell ref="I699:J702"/>
    <mergeCell ref="S699:U702"/>
    <mergeCell ref="V699:W702"/>
    <mergeCell ref="Y699:Y702"/>
    <mergeCell ref="L700:M701"/>
    <mergeCell ref="P700:Q701"/>
    <mergeCell ref="C701:H702"/>
    <mergeCell ref="B695:B698"/>
    <mergeCell ref="C695:E696"/>
    <mergeCell ref="F695:G696"/>
    <mergeCell ref="H695:H696"/>
    <mergeCell ref="I695:J698"/>
    <mergeCell ref="S695:U698"/>
    <mergeCell ref="V695:W698"/>
    <mergeCell ref="Y695:Y698"/>
    <mergeCell ref="L696:M697"/>
    <mergeCell ref="P696:Q697"/>
    <mergeCell ref="C697:H698"/>
    <mergeCell ref="B691:B694"/>
    <mergeCell ref="C691:E692"/>
    <mergeCell ref="F691:G692"/>
    <mergeCell ref="H691:H692"/>
    <mergeCell ref="I691:J694"/>
    <mergeCell ref="S691:U694"/>
    <mergeCell ref="V691:W694"/>
    <mergeCell ref="Y691:Y694"/>
    <mergeCell ref="L692:M693"/>
    <mergeCell ref="P692:Q693"/>
    <mergeCell ref="C693:H694"/>
    <mergeCell ref="B687:B690"/>
    <mergeCell ref="C687:E688"/>
    <mergeCell ref="F687:G688"/>
    <mergeCell ref="H687:H688"/>
    <mergeCell ref="I687:J690"/>
    <mergeCell ref="S687:U690"/>
    <mergeCell ref="V687:W690"/>
    <mergeCell ref="Y687:Y690"/>
    <mergeCell ref="L688:M689"/>
    <mergeCell ref="P688:Q689"/>
    <mergeCell ref="C689:H690"/>
    <mergeCell ref="B683:B686"/>
    <mergeCell ref="C683:E684"/>
    <mergeCell ref="F683:G684"/>
    <mergeCell ref="H683:H684"/>
    <mergeCell ref="I683:J686"/>
    <mergeCell ref="S683:U686"/>
    <mergeCell ref="V683:W686"/>
    <mergeCell ref="Y683:Y686"/>
    <mergeCell ref="L684:M685"/>
    <mergeCell ref="P684:Q685"/>
    <mergeCell ref="C685:H686"/>
    <mergeCell ref="A679:A682"/>
    <mergeCell ref="B679:B682"/>
    <mergeCell ref="C679:E680"/>
    <mergeCell ref="F679:G680"/>
    <mergeCell ref="H679:H680"/>
    <mergeCell ref="I679:J682"/>
    <mergeCell ref="S679:U682"/>
    <mergeCell ref="V679:W682"/>
    <mergeCell ref="Y679:Y682"/>
    <mergeCell ref="L680:M681"/>
    <mergeCell ref="P680:Q681"/>
    <mergeCell ref="C681:H682"/>
    <mergeCell ref="J670:K670"/>
    <mergeCell ref="M670:O670"/>
    <mergeCell ref="P670:Q670"/>
    <mergeCell ref="S670:T670"/>
    <mergeCell ref="U670:V670"/>
    <mergeCell ref="B675:E675"/>
    <mergeCell ref="J675:K675"/>
    <mergeCell ref="L675:M675"/>
    <mergeCell ref="B677:B678"/>
    <mergeCell ref="C677:E677"/>
    <mergeCell ref="F677:H677"/>
    <mergeCell ref="I677:J678"/>
    <mergeCell ref="K677:N678"/>
    <mergeCell ref="O677:R678"/>
    <mergeCell ref="S677:U678"/>
    <mergeCell ref="V677:W678"/>
    <mergeCell ref="C678:H678"/>
    <mergeCell ref="F655:W656"/>
    <mergeCell ref="B657:D660"/>
    <mergeCell ref="F665:W665"/>
    <mergeCell ref="B667:F667"/>
    <mergeCell ref="J667:W667"/>
    <mergeCell ref="K668:L668"/>
    <mergeCell ref="N668:O668"/>
    <mergeCell ref="P668:Q668"/>
    <mergeCell ref="R668:S668"/>
    <mergeCell ref="I646:J646"/>
    <mergeCell ref="D647:H647"/>
    <mergeCell ref="I647:J647"/>
    <mergeCell ref="I649:J649"/>
    <mergeCell ref="D650:H650"/>
    <mergeCell ref="I650:J650"/>
    <mergeCell ref="D652:H653"/>
    <mergeCell ref="I652:J652"/>
    <mergeCell ref="I653:J653"/>
    <mergeCell ref="B641:B644"/>
    <mergeCell ref="C641:E642"/>
    <mergeCell ref="F641:G642"/>
    <mergeCell ref="H641:H642"/>
    <mergeCell ref="I641:J644"/>
    <mergeCell ref="S641:U644"/>
    <mergeCell ref="V641:W644"/>
    <mergeCell ref="Y641:Y644"/>
    <mergeCell ref="L642:M643"/>
    <mergeCell ref="P642:Q643"/>
    <mergeCell ref="C643:H644"/>
    <mergeCell ref="B637:B640"/>
    <mergeCell ref="C637:E638"/>
    <mergeCell ref="F637:G638"/>
    <mergeCell ref="H637:H638"/>
    <mergeCell ref="I637:J640"/>
    <mergeCell ref="S637:U640"/>
    <mergeCell ref="V637:W640"/>
    <mergeCell ref="Y637:Y640"/>
    <mergeCell ref="L638:M639"/>
    <mergeCell ref="P638:Q639"/>
    <mergeCell ref="C639:H640"/>
    <mergeCell ref="B633:B636"/>
    <mergeCell ref="C633:E634"/>
    <mergeCell ref="F633:G634"/>
    <mergeCell ref="H633:H634"/>
    <mergeCell ref="I633:J636"/>
    <mergeCell ref="S633:U636"/>
    <mergeCell ref="V633:W636"/>
    <mergeCell ref="Y633:Y636"/>
    <mergeCell ref="L634:M635"/>
    <mergeCell ref="P634:Q635"/>
    <mergeCell ref="C635:H636"/>
    <mergeCell ref="B629:B632"/>
    <mergeCell ref="C629:E630"/>
    <mergeCell ref="F629:G630"/>
    <mergeCell ref="H629:H630"/>
    <mergeCell ref="I629:J632"/>
    <mergeCell ref="S629:U632"/>
    <mergeCell ref="V629:W632"/>
    <mergeCell ref="Y629:Y632"/>
    <mergeCell ref="L630:M631"/>
    <mergeCell ref="P630:Q631"/>
    <mergeCell ref="C631:H632"/>
    <mergeCell ref="B625:B628"/>
    <mergeCell ref="C625:E626"/>
    <mergeCell ref="F625:G626"/>
    <mergeCell ref="H625:H626"/>
    <mergeCell ref="I625:J628"/>
    <mergeCell ref="S625:U628"/>
    <mergeCell ref="V625:W628"/>
    <mergeCell ref="Y625:Y628"/>
    <mergeCell ref="L626:M627"/>
    <mergeCell ref="P626:Q627"/>
    <mergeCell ref="C627:H628"/>
    <mergeCell ref="B621:B624"/>
    <mergeCell ref="C621:E622"/>
    <mergeCell ref="F621:G622"/>
    <mergeCell ref="H621:H622"/>
    <mergeCell ref="I621:J624"/>
    <mergeCell ref="S621:U624"/>
    <mergeCell ref="V621:W624"/>
    <mergeCell ref="Y621:Y624"/>
    <mergeCell ref="L622:M623"/>
    <mergeCell ref="P622:Q623"/>
    <mergeCell ref="C623:H624"/>
    <mergeCell ref="B617:B620"/>
    <mergeCell ref="C617:E618"/>
    <mergeCell ref="F617:G618"/>
    <mergeCell ref="H617:H618"/>
    <mergeCell ref="I617:J620"/>
    <mergeCell ref="S617:U620"/>
    <mergeCell ref="V617:W620"/>
    <mergeCell ref="Y617:Y620"/>
    <mergeCell ref="L618:M619"/>
    <mergeCell ref="P618:Q619"/>
    <mergeCell ref="C619:H620"/>
    <mergeCell ref="B613:B616"/>
    <mergeCell ref="C613:E614"/>
    <mergeCell ref="F613:G614"/>
    <mergeCell ref="H613:H614"/>
    <mergeCell ref="I613:J616"/>
    <mergeCell ref="S613:U616"/>
    <mergeCell ref="V613:W616"/>
    <mergeCell ref="Y613:Y616"/>
    <mergeCell ref="L614:M615"/>
    <mergeCell ref="P614:Q615"/>
    <mergeCell ref="C615:H616"/>
    <mergeCell ref="B609:B612"/>
    <mergeCell ref="C609:E610"/>
    <mergeCell ref="F609:G610"/>
    <mergeCell ref="H609:H610"/>
    <mergeCell ref="I609:J612"/>
    <mergeCell ref="S609:U612"/>
    <mergeCell ref="V609:W612"/>
    <mergeCell ref="Y609:Y612"/>
    <mergeCell ref="L610:M611"/>
    <mergeCell ref="P610:Q611"/>
    <mergeCell ref="C611:H612"/>
    <mergeCell ref="A605:A608"/>
    <mergeCell ref="B605:B608"/>
    <mergeCell ref="C605:E606"/>
    <mergeCell ref="F605:G606"/>
    <mergeCell ref="H605:H606"/>
    <mergeCell ref="I605:J608"/>
    <mergeCell ref="S605:U608"/>
    <mergeCell ref="V605:W608"/>
    <mergeCell ref="Y605:Y608"/>
    <mergeCell ref="L606:M607"/>
    <mergeCell ref="P606:Q607"/>
    <mergeCell ref="C607:H608"/>
    <mergeCell ref="J596:K596"/>
    <mergeCell ref="M596:O596"/>
    <mergeCell ref="P596:Q596"/>
    <mergeCell ref="S596:T596"/>
    <mergeCell ref="U596:V596"/>
    <mergeCell ref="B601:E601"/>
    <mergeCell ref="J601:K601"/>
    <mergeCell ref="L601:M601"/>
    <mergeCell ref="B603:B604"/>
    <mergeCell ref="C603:E603"/>
    <mergeCell ref="F603:H603"/>
    <mergeCell ref="I603:J604"/>
    <mergeCell ref="K603:N604"/>
    <mergeCell ref="O603:R604"/>
    <mergeCell ref="S603:U604"/>
    <mergeCell ref="V603:W604"/>
    <mergeCell ref="C604:H604"/>
    <mergeCell ref="F581:W582"/>
    <mergeCell ref="B583:D586"/>
    <mergeCell ref="F591:W591"/>
    <mergeCell ref="B593:F593"/>
    <mergeCell ref="J593:W593"/>
    <mergeCell ref="K594:L594"/>
    <mergeCell ref="N594:O594"/>
    <mergeCell ref="P594:Q594"/>
    <mergeCell ref="R594:S594"/>
    <mergeCell ref="I572:J572"/>
    <mergeCell ref="D573:H573"/>
    <mergeCell ref="I573:J573"/>
    <mergeCell ref="I575:J575"/>
    <mergeCell ref="D576:H576"/>
    <mergeCell ref="I576:J576"/>
    <mergeCell ref="D578:H579"/>
    <mergeCell ref="I578:J578"/>
    <mergeCell ref="I579:J579"/>
    <mergeCell ref="B567:B570"/>
    <mergeCell ref="C567:E568"/>
    <mergeCell ref="F567:G568"/>
    <mergeCell ref="H567:H568"/>
    <mergeCell ref="I567:J570"/>
    <mergeCell ref="S567:U570"/>
    <mergeCell ref="V567:W570"/>
    <mergeCell ref="Y567:Y570"/>
    <mergeCell ref="L568:M569"/>
    <mergeCell ref="P568:Q569"/>
    <mergeCell ref="C569:H570"/>
    <mergeCell ref="B563:B566"/>
    <mergeCell ref="C563:E564"/>
    <mergeCell ref="F563:G564"/>
    <mergeCell ref="H563:H564"/>
    <mergeCell ref="I563:J566"/>
    <mergeCell ref="S563:U566"/>
    <mergeCell ref="V563:W566"/>
    <mergeCell ref="Y563:Y566"/>
    <mergeCell ref="L564:M565"/>
    <mergeCell ref="P564:Q565"/>
    <mergeCell ref="C565:H566"/>
    <mergeCell ref="B559:B562"/>
    <mergeCell ref="C559:E560"/>
    <mergeCell ref="F559:G560"/>
    <mergeCell ref="H559:H560"/>
    <mergeCell ref="I559:J562"/>
    <mergeCell ref="S559:U562"/>
    <mergeCell ref="V559:W562"/>
    <mergeCell ref="Y559:Y562"/>
    <mergeCell ref="L560:M561"/>
    <mergeCell ref="P560:Q561"/>
    <mergeCell ref="C561:H562"/>
    <mergeCell ref="B555:B558"/>
    <mergeCell ref="C555:E556"/>
    <mergeCell ref="F555:G556"/>
    <mergeCell ref="H555:H556"/>
    <mergeCell ref="I555:J558"/>
    <mergeCell ref="S555:U558"/>
    <mergeCell ref="V555:W558"/>
    <mergeCell ref="Y555:Y558"/>
    <mergeCell ref="L556:M557"/>
    <mergeCell ref="P556:Q557"/>
    <mergeCell ref="C557:H558"/>
    <mergeCell ref="B551:B554"/>
    <mergeCell ref="C551:E552"/>
    <mergeCell ref="F551:G552"/>
    <mergeCell ref="H551:H552"/>
    <mergeCell ref="I551:J554"/>
    <mergeCell ref="S551:U554"/>
    <mergeCell ref="V551:W554"/>
    <mergeCell ref="Y551:Y554"/>
    <mergeCell ref="L552:M553"/>
    <mergeCell ref="P552:Q553"/>
    <mergeCell ref="C553:H554"/>
    <mergeCell ref="B547:B550"/>
    <mergeCell ref="C547:E548"/>
    <mergeCell ref="F547:G548"/>
    <mergeCell ref="H547:H548"/>
    <mergeCell ref="I547:J550"/>
    <mergeCell ref="S547:U550"/>
    <mergeCell ref="V547:W550"/>
    <mergeCell ref="Y547:Y550"/>
    <mergeCell ref="L548:M549"/>
    <mergeCell ref="P548:Q549"/>
    <mergeCell ref="C549:H550"/>
    <mergeCell ref="B543:B546"/>
    <mergeCell ref="C543:E544"/>
    <mergeCell ref="F543:G544"/>
    <mergeCell ref="H543:H544"/>
    <mergeCell ref="I543:J546"/>
    <mergeCell ref="S543:U546"/>
    <mergeCell ref="V543:W546"/>
    <mergeCell ref="Y543:Y546"/>
    <mergeCell ref="L544:M545"/>
    <mergeCell ref="P544:Q545"/>
    <mergeCell ref="C545:H546"/>
    <mergeCell ref="B539:B542"/>
    <mergeCell ref="C539:E540"/>
    <mergeCell ref="F539:G540"/>
    <mergeCell ref="H539:H540"/>
    <mergeCell ref="I539:J542"/>
    <mergeCell ref="S539:U542"/>
    <mergeCell ref="V539:W542"/>
    <mergeCell ref="Y539:Y542"/>
    <mergeCell ref="L540:M541"/>
    <mergeCell ref="P540:Q541"/>
    <mergeCell ref="C541:H542"/>
    <mergeCell ref="B535:B538"/>
    <mergeCell ref="C535:E536"/>
    <mergeCell ref="F535:G536"/>
    <mergeCell ref="H535:H536"/>
    <mergeCell ref="I535:J538"/>
    <mergeCell ref="S535:U538"/>
    <mergeCell ref="V535:W538"/>
    <mergeCell ref="Y535:Y538"/>
    <mergeCell ref="L536:M537"/>
    <mergeCell ref="P536:Q537"/>
    <mergeCell ref="C537:H538"/>
    <mergeCell ref="A531:A534"/>
    <mergeCell ref="B531:B534"/>
    <mergeCell ref="C531:E532"/>
    <mergeCell ref="F531:G532"/>
    <mergeCell ref="H531:H532"/>
    <mergeCell ref="I531:J534"/>
    <mergeCell ref="S531:U534"/>
    <mergeCell ref="V531:W534"/>
    <mergeCell ref="Y531:Y534"/>
    <mergeCell ref="L532:M533"/>
    <mergeCell ref="P532:Q533"/>
    <mergeCell ref="C533:H534"/>
    <mergeCell ref="J522:K522"/>
    <mergeCell ref="M522:O522"/>
    <mergeCell ref="P522:Q522"/>
    <mergeCell ref="S522:T522"/>
    <mergeCell ref="U522:V522"/>
    <mergeCell ref="B527:E527"/>
    <mergeCell ref="J527:K527"/>
    <mergeCell ref="L527:M527"/>
    <mergeCell ref="B529:B530"/>
    <mergeCell ref="C529:E529"/>
    <mergeCell ref="F529:H529"/>
    <mergeCell ref="I529:J530"/>
    <mergeCell ref="K529:N530"/>
    <mergeCell ref="O529:R530"/>
    <mergeCell ref="S529:U530"/>
    <mergeCell ref="V529:W530"/>
    <mergeCell ref="C530:H530"/>
    <mergeCell ref="F507:W508"/>
    <mergeCell ref="B509:D512"/>
    <mergeCell ref="F517:W517"/>
    <mergeCell ref="B519:F519"/>
    <mergeCell ref="J519:W519"/>
    <mergeCell ref="K520:L520"/>
    <mergeCell ref="N520:O520"/>
    <mergeCell ref="P520:Q520"/>
    <mergeCell ref="R520:S520"/>
    <mergeCell ref="I498:J498"/>
    <mergeCell ref="D499:H499"/>
    <mergeCell ref="I499:J499"/>
    <mergeCell ref="I501:J501"/>
    <mergeCell ref="D502:H502"/>
    <mergeCell ref="I502:J502"/>
    <mergeCell ref="D504:H505"/>
    <mergeCell ref="I504:J504"/>
    <mergeCell ref="I505:J505"/>
    <mergeCell ref="B493:B496"/>
    <mergeCell ref="C493:E494"/>
    <mergeCell ref="F493:G494"/>
    <mergeCell ref="H493:H494"/>
    <mergeCell ref="I493:J496"/>
    <mergeCell ref="S493:U496"/>
    <mergeCell ref="V493:W496"/>
    <mergeCell ref="Y493:Y496"/>
    <mergeCell ref="L494:M495"/>
    <mergeCell ref="P494:Q495"/>
    <mergeCell ref="C495:H496"/>
    <mergeCell ref="B489:B492"/>
    <mergeCell ref="C489:E490"/>
    <mergeCell ref="F489:G490"/>
    <mergeCell ref="H489:H490"/>
    <mergeCell ref="I489:J492"/>
    <mergeCell ref="S489:U492"/>
    <mergeCell ref="V489:W492"/>
    <mergeCell ref="Y489:Y492"/>
    <mergeCell ref="L490:M491"/>
    <mergeCell ref="P490:Q491"/>
    <mergeCell ref="C491:H492"/>
    <mergeCell ref="B485:B488"/>
    <mergeCell ref="C485:E486"/>
    <mergeCell ref="F485:G486"/>
    <mergeCell ref="H485:H486"/>
    <mergeCell ref="I485:J488"/>
    <mergeCell ref="S485:U488"/>
    <mergeCell ref="V485:W488"/>
    <mergeCell ref="Y485:Y488"/>
    <mergeCell ref="L486:M487"/>
    <mergeCell ref="P486:Q487"/>
    <mergeCell ref="C487:H488"/>
    <mergeCell ref="B481:B484"/>
    <mergeCell ref="C481:E482"/>
    <mergeCell ref="F481:G482"/>
    <mergeCell ref="H481:H482"/>
    <mergeCell ref="I481:J484"/>
    <mergeCell ref="S481:U484"/>
    <mergeCell ref="V481:W484"/>
    <mergeCell ref="Y481:Y484"/>
    <mergeCell ref="L482:M483"/>
    <mergeCell ref="P482:Q483"/>
    <mergeCell ref="C483:H484"/>
    <mergeCell ref="B477:B480"/>
    <mergeCell ref="C477:E478"/>
    <mergeCell ref="F477:G478"/>
    <mergeCell ref="H477:H478"/>
    <mergeCell ref="I477:J480"/>
    <mergeCell ref="S477:U480"/>
    <mergeCell ref="V477:W480"/>
    <mergeCell ref="Y477:Y480"/>
    <mergeCell ref="L478:M479"/>
    <mergeCell ref="P478:Q479"/>
    <mergeCell ref="C479:H480"/>
    <mergeCell ref="B473:B476"/>
    <mergeCell ref="C473:E474"/>
    <mergeCell ref="F473:G474"/>
    <mergeCell ref="H473:H474"/>
    <mergeCell ref="I473:J476"/>
    <mergeCell ref="S473:U476"/>
    <mergeCell ref="V473:W476"/>
    <mergeCell ref="Y473:Y476"/>
    <mergeCell ref="L474:M475"/>
    <mergeCell ref="P474:Q475"/>
    <mergeCell ref="C475:H476"/>
    <mergeCell ref="B469:B472"/>
    <mergeCell ref="C469:E470"/>
    <mergeCell ref="F469:G470"/>
    <mergeCell ref="H469:H470"/>
    <mergeCell ref="I469:J472"/>
    <mergeCell ref="S469:U472"/>
    <mergeCell ref="V469:W472"/>
    <mergeCell ref="Y469:Y472"/>
    <mergeCell ref="L470:M471"/>
    <mergeCell ref="P470:Q471"/>
    <mergeCell ref="C471:H472"/>
    <mergeCell ref="B465:B468"/>
    <mergeCell ref="C465:E466"/>
    <mergeCell ref="F465:G466"/>
    <mergeCell ref="H465:H466"/>
    <mergeCell ref="I465:J468"/>
    <mergeCell ref="S465:U468"/>
    <mergeCell ref="V465:W468"/>
    <mergeCell ref="Y465:Y468"/>
    <mergeCell ref="L466:M467"/>
    <mergeCell ref="P466:Q467"/>
    <mergeCell ref="C467:H468"/>
    <mergeCell ref="B461:B464"/>
    <mergeCell ref="C461:E462"/>
    <mergeCell ref="F461:G462"/>
    <mergeCell ref="H461:H462"/>
    <mergeCell ref="I461:J464"/>
    <mergeCell ref="S461:U464"/>
    <mergeCell ref="V461:W464"/>
    <mergeCell ref="Y461:Y464"/>
    <mergeCell ref="L462:M463"/>
    <mergeCell ref="P462:Q463"/>
    <mergeCell ref="C463:H464"/>
    <mergeCell ref="A457:A460"/>
    <mergeCell ref="B457:B460"/>
    <mergeCell ref="C457:E458"/>
    <mergeCell ref="F457:G458"/>
    <mergeCell ref="H457:H458"/>
    <mergeCell ref="I457:J460"/>
    <mergeCell ref="S457:U460"/>
    <mergeCell ref="V457:W460"/>
    <mergeCell ref="Y457:Y460"/>
    <mergeCell ref="L458:M459"/>
    <mergeCell ref="P458:Q459"/>
    <mergeCell ref="C459:H460"/>
    <mergeCell ref="J448:K448"/>
    <mergeCell ref="M448:O448"/>
    <mergeCell ref="P448:Q448"/>
    <mergeCell ref="S448:T448"/>
    <mergeCell ref="U448:V448"/>
    <mergeCell ref="B453:E453"/>
    <mergeCell ref="J453:K453"/>
    <mergeCell ref="L453:M453"/>
    <mergeCell ref="B455:B456"/>
    <mergeCell ref="C455:E455"/>
    <mergeCell ref="F455:H455"/>
    <mergeCell ref="I455:J456"/>
    <mergeCell ref="K455:N456"/>
    <mergeCell ref="O455:R456"/>
    <mergeCell ref="S455:U456"/>
    <mergeCell ref="V455:W456"/>
    <mergeCell ref="C456:H456"/>
    <mergeCell ref="F433:W434"/>
    <mergeCell ref="B435:D438"/>
    <mergeCell ref="F443:W443"/>
    <mergeCell ref="B445:F445"/>
    <mergeCell ref="J445:W445"/>
    <mergeCell ref="K446:L446"/>
    <mergeCell ref="N446:O446"/>
    <mergeCell ref="P446:Q446"/>
    <mergeCell ref="R446:S446"/>
    <mergeCell ref="I424:J424"/>
    <mergeCell ref="D425:H425"/>
    <mergeCell ref="I425:J425"/>
    <mergeCell ref="I427:J427"/>
    <mergeCell ref="D428:H428"/>
    <mergeCell ref="I428:J428"/>
    <mergeCell ref="D430:H431"/>
    <mergeCell ref="I430:J430"/>
    <mergeCell ref="I431:J431"/>
    <mergeCell ref="B419:B422"/>
    <mergeCell ref="C419:E420"/>
    <mergeCell ref="F419:G420"/>
    <mergeCell ref="H419:H420"/>
    <mergeCell ref="I419:J422"/>
    <mergeCell ref="S419:U422"/>
    <mergeCell ref="V419:W422"/>
    <mergeCell ref="Y419:Y422"/>
    <mergeCell ref="L420:M421"/>
    <mergeCell ref="P420:Q421"/>
    <mergeCell ref="C421:H422"/>
    <mergeCell ref="B415:B418"/>
    <mergeCell ref="C415:E416"/>
    <mergeCell ref="F415:G416"/>
    <mergeCell ref="H415:H416"/>
    <mergeCell ref="I415:J418"/>
    <mergeCell ref="S415:U418"/>
    <mergeCell ref="V415:W418"/>
    <mergeCell ref="Y415:Y418"/>
    <mergeCell ref="L416:M417"/>
    <mergeCell ref="P416:Q417"/>
    <mergeCell ref="C417:H418"/>
    <mergeCell ref="B411:B414"/>
    <mergeCell ref="C411:E412"/>
    <mergeCell ref="F411:G412"/>
    <mergeCell ref="H411:H412"/>
    <mergeCell ref="I411:J414"/>
    <mergeCell ref="S411:U414"/>
    <mergeCell ref="V411:W414"/>
    <mergeCell ref="Y411:Y414"/>
    <mergeCell ref="L412:M413"/>
    <mergeCell ref="P412:Q413"/>
    <mergeCell ref="C413:H414"/>
    <mergeCell ref="B407:B410"/>
    <mergeCell ref="C407:E408"/>
    <mergeCell ref="F407:G408"/>
    <mergeCell ref="H407:H408"/>
    <mergeCell ref="I407:J410"/>
    <mergeCell ref="S407:U410"/>
    <mergeCell ref="V407:W410"/>
    <mergeCell ref="Y407:Y410"/>
    <mergeCell ref="L408:M409"/>
    <mergeCell ref="P408:Q409"/>
    <mergeCell ref="C409:H410"/>
    <mergeCell ref="B403:B406"/>
    <mergeCell ref="C403:E404"/>
    <mergeCell ref="F403:G404"/>
    <mergeCell ref="H403:H404"/>
    <mergeCell ref="I403:J406"/>
    <mergeCell ref="S403:U406"/>
    <mergeCell ref="V403:W406"/>
    <mergeCell ref="Y403:Y406"/>
    <mergeCell ref="L404:M405"/>
    <mergeCell ref="P404:Q405"/>
    <mergeCell ref="C405:H406"/>
    <mergeCell ref="B399:B402"/>
    <mergeCell ref="C399:E400"/>
    <mergeCell ref="F399:G400"/>
    <mergeCell ref="H399:H400"/>
    <mergeCell ref="I399:J402"/>
    <mergeCell ref="S399:U402"/>
    <mergeCell ref="V399:W402"/>
    <mergeCell ref="Y399:Y402"/>
    <mergeCell ref="L400:M401"/>
    <mergeCell ref="P400:Q401"/>
    <mergeCell ref="C401:H402"/>
    <mergeCell ref="B395:B398"/>
    <mergeCell ref="C395:E396"/>
    <mergeCell ref="F395:G396"/>
    <mergeCell ref="H395:H396"/>
    <mergeCell ref="I395:J398"/>
    <mergeCell ref="S395:U398"/>
    <mergeCell ref="V395:W398"/>
    <mergeCell ref="Y395:Y398"/>
    <mergeCell ref="L396:M397"/>
    <mergeCell ref="P396:Q397"/>
    <mergeCell ref="C397:H398"/>
    <mergeCell ref="B391:B394"/>
    <mergeCell ref="C391:E392"/>
    <mergeCell ref="F391:G392"/>
    <mergeCell ref="H391:H392"/>
    <mergeCell ref="I391:J394"/>
    <mergeCell ref="S391:U394"/>
    <mergeCell ref="V391:W394"/>
    <mergeCell ref="Y391:Y394"/>
    <mergeCell ref="L392:M393"/>
    <mergeCell ref="P392:Q393"/>
    <mergeCell ref="C393:H394"/>
    <mergeCell ref="B387:B390"/>
    <mergeCell ref="C387:E388"/>
    <mergeCell ref="F387:G388"/>
    <mergeCell ref="H387:H388"/>
    <mergeCell ref="I387:J390"/>
    <mergeCell ref="S387:U390"/>
    <mergeCell ref="V387:W390"/>
    <mergeCell ref="Y387:Y390"/>
    <mergeCell ref="L388:M389"/>
    <mergeCell ref="P388:Q389"/>
    <mergeCell ref="C389:H390"/>
    <mergeCell ref="A383:A386"/>
    <mergeCell ref="B383:B386"/>
    <mergeCell ref="C383:E384"/>
    <mergeCell ref="F383:G384"/>
    <mergeCell ref="H383:H384"/>
    <mergeCell ref="I383:J386"/>
    <mergeCell ref="S383:U386"/>
    <mergeCell ref="V383:W386"/>
    <mergeCell ref="Y383:Y386"/>
    <mergeCell ref="L384:M385"/>
    <mergeCell ref="P384:Q385"/>
    <mergeCell ref="C385:H386"/>
    <mergeCell ref="J374:K374"/>
    <mergeCell ref="M374:O374"/>
    <mergeCell ref="P374:Q374"/>
    <mergeCell ref="S374:T374"/>
    <mergeCell ref="U374:V374"/>
    <mergeCell ref="B379:E379"/>
    <mergeCell ref="J379:K379"/>
    <mergeCell ref="L379:M379"/>
    <mergeCell ref="B381:B382"/>
    <mergeCell ref="C381:E381"/>
    <mergeCell ref="F381:H381"/>
    <mergeCell ref="I381:J382"/>
    <mergeCell ref="K381:N382"/>
    <mergeCell ref="O381:R382"/>
    <mergeCell ref="S381:U382"/>
    <mergeCell ref="V381:W382"/>
    <mergeCell ref="C382:H382"/>
    <mergeCell ref="F359:W360"/>
    <mergeCell ref="B361:D364"/>
    <mergeCell ref="F369:W369"/>
    <mergeCell ref="B371:F371"/>
    <mergeCell ref="J371:W371"/>
    <mergeCell ref="K372:L372"/>
    <mergeCell ref="N372:O372"/>
    <mergeCell ref="P372:Q372"/>
    <mergeCell ref="R372:S372"/>
    <mergeCell ref="I350:J350"/>
    <mergeCell ref="D351:H351"/>
    <mergeCell ref="I351:J351"/>
    <mergeCell ref="I353:J353"/>
    <mergeCell ref="D354:H354"/>
    <mergeCell ref="I354:J354"/>
    <mergeCell ref="D356:H357"/>
    <mergeCell ref="I356:J356"/>
    <mergeCell ref="I357:J357"/>
    <mergeCell ref="B345:B348"/>
    <mergeCell ref="C345:E346"/>
    <mergeCell ref="F345:G346"/>
    <mergeCell ref="H345:H346"/>
    <mergeCell ref="I345:J348"/>
    <mergeCell ref="S345:U348"/>
    <mergeCell ref="V345:W348"/>
    <mergeCell ref="Y345:Y348"/>
    <mergeCell ref="L346:M347"/>
    <mergeCell ref="P346:Q347"/>
    <mergeCell ref="C347:H348"/>
    <mergeCell ref="B341:B344"/>
    <mergeCell ref="C341:E342"/>
    <mergeCell ref="F341:G342"/>
    <mergeCell ref="H341:H342"/>
    <mergeCell ref="I341:J344"/>
    <mergeCell ref="S341:U344"/>
    <mergeCell ref="V341:W344"/>
    <mergeCell ref="Y341:Y344"/>
    <mergeCell ref="L342:M343"/>
    <mergeCell ref="P342:Q343"/>
    <mergeCell ref="C343:H344"/>
    <mergeCell ref="B337:B340"/>
    <mergeCell ref="C337:E338"/>
    <mergeCell ref="F337:G338"/>
    <mergeCell ref="H337:H338"/>
    <mergeCell ref="I337:J340"/>
    <mergeCell ref="S337:U340"/>
    <mergeCell ref="V337:W340"/>
    <mergeCell ref="Y337:Y340"/>
    <mergeCell ref="L338:M339"/>
    <mergeCell ref="P338:Q339"/>
    <mergeCell ref="C339:H340"/>
    <mergeCell ref="B333:B336"/>
    <mergeCell ref="C333:E334"/>
    <mergeCell ref="F333:G334"/>
    <mergeCell ref="H333:H334"/>
    <mergeCell ref="I333:J336"/>
    <mergeCell ref="S333:U336"/>
    <mergeCell ref="V333:W336"/>
    <mergeCell ref="Y333:Y336"/>
    <mergeCell ref="L334:M335"/>
    <mergeCell ref="P334:Q335"/>
    <mergeCell ref="C335:H336"/>
    <mergeCell ref="B329:B332"/>
    <mergeCell ref="C329:E330"/>
    <mergeCell ref="F329:G330"/>
    <mergeCell ref="H329:H330"/>
    <mergeCell ref="I329:J332"/>
    <mergeCell ref="S329:U332"/>
    <mergeCell ref="V329:W332"/>
    <mergeCell ref="Y329:Y332"/>
    <mergeCell ref="L330:M331"/>
    <mergeCell ref="P330:Q331"/>
    <mergeCell ref="C331:H332"/>
    <mergeCell ref="B325:B328"/>
    <mergeCell ref="C325:E326"/>
    <mergeCell ref="F325:G326"/>
    <mergeCell ref="H325:H326"/>
    <mergeCell ref="I325:J328"/>
    <mergeCell ref="S325:U328"/>
    <mergeCell ref="V325:W328"/>
    <mergeCell ref="Y325:Y328"/>
    <mergeCell ref="L326:M327"/>
    <mergeCell ref="P326:Q327"/>
    <mergeCell ref="C327:H328"/>
    <mergeCell ref="B321:B324"/>
    <mergeCell ref="C321:E322"/>
    <mergeCell ref="F321:G322"/>
    <mergeCell ref="H321:H322"/>
    <mergeCell ref="I321:J324"/>
    <mergeCell ref="S321:U324"/>
    <mergeCell ref="V321:W324"/>
    <mergeCell ref="Y321:Y324"/>
    <mergeCell ref="L322:M323"/>
    <mergeCell ref="P322:Q323"/>
    <mergeCell ref="C323:H324"/>
    <mergeCell ref="B317:B320"/>
    <mergeCell ref="C317:E318"/>
    <mergeCell ref="F317:G318"/>
    <mergeCell ref="H317:H318"/>
    <mergeCell ref="I317:J320"/>
    <mergeCell ref="S317:U320"/>
    <mergeCell ref="V317:W320"/>
    <mergeCell ref="Y317:Y320"/>
    <mergeCell ref="L318:M319"/>
    <mergeCell ref="P318:Q319"/>
    <mergeCell ref="C319:H320"/>
    <mergeCell ref="B313:B316"/>
    <mergeCell ref="C313:E314"/>
    <mergeCell ref="F313:G314"/>
    <mergeCell ref="H313:H314"/>
    <mergeCell ref="I313:J316"/>
    <mergeCell ref="S313:U316"/>
    <mergeCell ref="V313:W316"/>
    <mergeCell ref="Y313:Y316"/>
    <mergeCell ref="L314:M315"/>
    <mergeCell ref="P314:Q315"/>
    <mergeCell ref="C315:H316"/>
    <mergeCell ref="A309:A312"/>
    <mergeCell ref="B309:B312"/>
    <mergeCell ref="C309:E310"/>
    <mergeCell ref="F309:G310"/>
    <mergeCell ref="H309:H310"/>
    <mergeCell ref="I309:J312"/>
    <mergeCell ref="S309:U312"/>
    <mergeCell ref="V309:W312"/>
    <mergeCell ref="Y309:Y312"/>
    <mergeCell ref="L310:M311"/>
    <mergeCell ref="P310:Q311"/>
    <mergeCell ref="C311:H312"/>
    <mergeCell ref="J300:K300"/>
    <mergeCell ref="M300:O300"/>
    <mergeCell ref="P300:Q300"/>
    <mergeCell ref="S300:T300"/>
    <mergeCell ref="U300:V300"/>
    <mergeCell ref="B305:E305"/>
    <mergeCell ref="J305:K305"/>
    <mergeCell ref="L305:M305"/>
    <mergeCell ref="B307:B308"/>
    <mergeCell ref="C307:E307"/>
    <mergeCell ref="F307:H307"/>
    <mergeCell ref="I307:J308"/>
    <mergeCell ref="K307:N308"/>
    <mergeCell ref="O307:R308"/>
    <mergeCell ref="S307:U308"/>
    <mergeCell ref="V307:W308"/>
    <mergeCell ref="C308:H308"/>
    <mergeCell ref="F285:W286"/>
    <mergeCell ref="B287:D290"/>
    <mergeCell ref="F295:W295"/>
    <mergeCell ref="B297:F297"/>
    <mergeCell ref="J297:W297"/>
    <mergeCell ref="K298:L298"/>
    <mergeCell ref="N298:O298"/>
    <mergeCell ref="P298:Q298"/>
    <mergeCell ref="R298:S298"/>
    <mergeCell ref="I276:J276"/>
    <mergeCell ref="D277:H277"/>
    <mergeCell ref="I277:J277"/>
    <mergeCell ref="I279:J279"/>
    <mergeCell ref="D280:H280"/>
    <mergeCell ref="I280:J280"/>
    <mergeCell ref="D282:H283"/>
    <mergeCell ref="I282:J282"/>
    <mergeCell ref="I283:J283"/>
    <mergeCell ref="B271:B274"/>
    <mergeCell ref="C271:E272"/>
    <mergeCell ref="F271:G272"/>
    <mergeCell ref="H271:H272"/>
    <mergeCell ref="I271:J274"/>
    <mergeCell ref="S271:U274"/>
    <mergeCell ref="V271:W274"/>
    <mergeCell ref="Y271:Y274"/>
    <mergeCell ref="L272:M273"/>
    <mergeCell ref="P272:Q273"/>
    <mergeCell ref="C273:H274"/>
    <mergeCell ref="B267:B270"/>
    <mergeCell ref="C267:E268"/>
    <mergeCell ref="F267:G268"/>
    <mergeCell ref="H267:H268"/>
    <mergeCell ref="I267:J270"/>
    <mergeCell ref="S267:U270"/>
    <mergeCell ref="V267:W270"/>
    <mergeCell ref="Y267:Y270"/>
    <mergeCell ref="L268:M269"/>
    <mergeCell ref="P268:Q269"/>
    <mergeCell ref="C269:H270"/>
    <mergeCell ref="B263:B266"/>
    <mergeCell ref="C263:E264"/>
    <mergeCell ref="F263:G264"/>
    <mergeCell ref="H263:H264"/>
    <mergeCell ref="I263:J266"/>
    <mergeCell ref="S263:U266"/>
    <mergeCell ref="V263:W266"/>
    <mergeCell ref="Y263:Y266"/>
    <mergeCell ref="L264:M265"/>
    <mergeCell ref="P264:Q265"/>
    <mergeCell ref="C265:H266"/>
    <mergeCell ref="B259:B262"/>
    <mergeCell ref="C259:E260"/>
    <mergeCell ref="F259:G260"/>
    <mergeCell ref="H259:H260"/>
    <mergeCell ref="I259:J262"/>
    <mergeCell ref="S259:U262"/>
    <mergeCell ref="V259:W262"/>
    <mergeCell ref="Y259:Y262"/>
    <mergeCell ref="L260:M261"/>
    <mergeCell ref="P260:Q261"/>
    <mergeCell ref="C261:H262"/>
    <mergeCell ref="B255:B258"/>
    <mergeCell ref="C255:E256"/>
    <mergeCell ref="F255:G256"/>
    <mergeCell ref="H255:H256"/>
    <mergeCell ref="I255:J258"/>
    <mergeCell ref="S255:U258"/>
    <mergeCell ref="V255:W258"/>
    <mergeCell ref="Y255:Y258"/>
    <mergeCell ref="L256:M257"/>
    <mergeCell ref="P256:Q257"/>
    <mergeCell ref="C257:H258"/>
    <mergeCell ref="B251:B254"/>
    <mergeCell ref="C251:E252"/>
    <mergeCell ref="F251:G252"/>
    <mergeCell ref="H251:H252"/>
    <mergeCell ref="I251:J254"/>
    <mergeCell ref="S251:U254"/>
    <mergeCell ref="V251:W254"/>
    <mergeCell ref="Y251:Y254"/>
    <mergeCell ref="L252:M253"/>
    <mergeCell ref="P252:Q253"/>
    <mergeCell ref="C253:H254"/>
    <mergeCell ref="B247:B250"/>
    <mergeCell ref="C247:E248"/>
    <mergeCell ref="F247:G248"/>
    <mergeCell ref="H247:H248"/>
    <mergeCell ref="I247:J250"/>
    <mergeCell ref="S247:U250"/>
    <mergeCell ref="V247:W250"/>
    <mergeCell ref="Y247:Y250"/>
    <mergeCell ref="L248:M249"/>
    <mergeCell ref="P248:Q249"/>
    <mergeCell ref="C249:H250"/>
    <mergeCell ref="B243:B246"/>
    <mergeCell ref="C243:E244"/>
    <mergeCell ref="F243:G244"/>
    <mergeCell ref="H243:H244"/>
    <mergeCell ref="I243:J246"/>
    <mergeCell ref="S243:U246"/>
    <mergeCell ref="V243:W246"/>
    <mergeCell ref="Y243:Y246"/>
    <mergeCell ref="L244:M245"/>
    <mergeCell ref="P244:Q245"/>
    <mergeCell ref="C245:H246"/>
    <mergeCell ref="B239:B242"/>
    <mergeCell ref="C239:E240"/>
    <mergeCell ref="F239:G240"/>
    <mergeCell ref="H239:H240"/>
    <mergeCell ref="I239:J242"/>
    <mergeCell ref="S239:U242"/>
    <mergeCell ref="V239:W242"/>
    <mergeCell ref="Y239:Y242"/>
    <mergeCell ref="L240:M241"/>
    <mergeCell ref="P240:Q241"/>
    <mergeCell ref="C241:H242"/>
    <mergeCell ref="A235:A238"/>
    <mergeCell ref="B235:B238"/>
    <mergeCell ref="C235:E236"/>
    <mergeCell ref="F235:G236"/>
    <mergeCell ref="H235:H236"/>
    <mergeCell ref="I235:J238"/>
    <mergeCell ref="S235:U238"/>
    <mergeCell ref="V235:W238"/>
    <mergeCell ref="Y235:Y238"/>
    <mergeCell ref="L236:M237"/>
    <mergeCell ref="P236:Q237"/>
    <mergeCell ref="C237:H238"/>
    <mergeCell ref="J226:K226"/>
    <mergeCell ref="M226:O226"/>
    <mergeCell ref="P226:Q226"/>
    <mergeCell ref="S226:T226"/>
    <mergeCell ref="U226:V226"/>
    <mergeCell ref="B231:E231"/>
    <mergeCell ref="J231:K231"/>
    <mergeCell ref="L231:M231"/>
    <mergeCell ref="B233:B234"/>
    <mergeCell ref="C233:E233"/>
    <mergeCell ref="F233:H233"/>
    <mergeCell ref="I233:J234"/>
    <mergeCell ref="K233:N234"/>
    <mergeCell ref="O233:R234"/>
    <mergeCell ref="S233:U234"/>
    <mergeCell ref="V233:W234"/>
    <mergeCell ref="C234:H234"/>
    <mergeCell ref="F211:W212"/>
    <mergeCell ref="B213:D216"/>
    <mergeCell ref="F221:W221"/>
    <mergeCell ref="B223:F223"/>
    <mergeCell ref="J223:W223"/>
    <mergeCell ref="K224:L224"/>
    <mergeCell ref="N224:O224"/>
    <mergeCell ref="P224:Q224"/>
    <mergeCell ref="R224:S224"/>
    <mergeCell ref="I202:J202"/>
    <mergeCell ref="D203:H203"/>
    <mergeCell ref="I203:J203"/>
    <mergeCell ref="I205:J205"/>
    <mergeCell ref="D206:H206"/>
    <mergeCell ref="I206:J206"/>
    <mergeCell ref="D208:H209"/>
    <mergeCell ref="I208:J208"/>
    <mergeCell ref="I209:J209"/>
    <mergeCell ref="B197:B200"/>
    <mergeCell ref="C197:E198"/>
    <mergeCell ref="F197:G198"/>
    <mergeCell ref="H197:H198"/>
    <mergeCell ref="I197:J200"/>
    <mergeCell ref="S197:U200"/>
    <mergeCell ref="V197:W200"/>
    <mergeCell ref="Y197:Y200"/>
    <mergeCell ref="L198:M199"/>
    <mergeCell ref="P198:Q199"/>
    <mergeCell ref="C199:H200"/>
    <mergeCell ref="B193:B196"/>
    <mergeCell ref="C193:E194"/>
    <mergeCell ref="F193:G194"/>
    <mergeCell ref="H193:H194"/>
    <mergeCell ref="I193:J196"/>
    <mergeCell ref="S193:U196"/>
    <mergeCell ref="V193:W196"/>
    <mergeCell ref="Y193:Y196"/>
    <mergeCell ref="L194:M195"/>
    <mergeCell ref="P194:Q195"/>
    <mergeCell ref="C195:H196"/>
    <mergeCell ref="B189:B192"/>
    <mergeCell ref="C189:E190"/>
    <mergeCell ref="F189:G190"/>
    <mergeCell ref="H189:H190"/>
    <mergeCell ref="I189:J192"/>
    <mergeCell ref="S189:U192"/>
    <mergeCell ref="V189:W192"/>
    <mergeCell ref="Y189:Y192"/>
    <mergeCell ref="L190:M191"/>
    <mergeCell ref="P190:Q191"/>
    <mergeCell ref="C191:H192"/>
    <mergeCell ref="B185:B188"/>
    <mergeCell ref="C185:E186"/>
    <mergeCell ref="F185:G186"/>
    <mergeCell ref="H185:H186"/>
    <mergeCell ref="I185:J188"/>
    <mergeCell ref="S185:U188"/>
    <mergeCell ref="V185:W188"/>
    <mergeCell ref="Y185:Y188"/>
    <mergeCell ref="L186:M187"/>
    <mergeCell ref="P186:Q187"/>
    <mergeCell ref="C187:H188"/>
    <mergeCell ref="B181:B184"/>
    <mergeCell ref="C181:E182"/>
    <mergeCell ref="F181:G182"/>
    <mergeCell ref="H181:H182"/>
    <mergeCell ref="I181:J184"/>
    <mergeCell ref="S181:U184"/>
    <mergeCell ref="V181:W184"/>
    <mergeCell ref="Y181:Y184"/>
    <mergeCell ref="L182:M183"/>
    <mergeCell ref="P182:Q183"/>
    <mergeCell ref="C183:H184"/>
    <mergeCell ref="B177:B180"/>
    <mergeCell ref="C177:E178"/>
    <mergeCell ref="F177:G178"/>
    <mergeCell ref="H177:H178"/>
    <mergeCell ref="I177:J180"/>
    <mergeCell ref="S177:U180"/>
    <mergeCell ref="V177:W180"/>
    <mergeCell ref="Y177:Y180"/>
    <mergeCell ref="L178:M179"/>
    <mergeCell ref="P178:Q179"/>
    <mergeCell ref="C179:H180"/>
    <mergeCell ref="B173:B176"/>
    <mergeCell ref="C173:E174"/>
    <mergeCell ref="F173:G174"/>
    <mergeCell ref="H173:H174"/>
    <mergeCell ref="I173:J176"/>
    <mergeCell ref="S173:U176"/>
    <mergeCell ref="V173:W176"/>
    <mergeCell ref="Y173:Y176"/>
    <mergeCell ref="L174:M175"/>
    <mergeCell ref="P174:Q175"/>
    <mergeCell ref="C175:H176"/>
    <mergeCell ref="B169:B172"/>
    <mergeCell ref="C169:E170"/>
    <mergeCell ref="F169:G170"/>
    <mergeCell ref="H169:H170"/>
    <mergeCell ref="I169:J172"/>
    <mergeCell ref="S169:U172"/>
    <mergeCell ref="V169:W172"/>
    <mergeCell ref="Y169:Y172"/>
    <mergeCell ref="L170:M171"/>
    <mergeCell ref="P170:Q171"/>
    <mergeCell ref="C171:H172"/>
    <mergeCell ref="B165:B168"/>
    <mergeCell ref="C165:E166"/>
    <mergeCell ref="F165:G166"/>
    <mergeCell ref="H165:H166"/>
    <mergeCell ref="I165:J168"/>
    <mergeCell ref="S165:U168"/>
    <mergeCell ref="V165:W168"/>
    <mergeCell ref="Y165:Y168"/>
    <mergeCell ref="L166:M167"/>
    <mergeCell ref="P166:Q167"/>
    <mergeCell ref="C167:H168"/>
    <mergeCell ref="A161:A164"/>
    <mergeCell ref="B161:B164"/>
    <mergeCell ref="C161:E162"/>
    <mergeCell ref="F161:G162"/>
    <mergeCell ref="H161:H162"/>
    <mergeCell ref="I161:J164"/>
    <mergeCell ref="S161:U164"/>
    <mergeCell ref="V161:W164"/>
    <mergeCell ref="Y161:Y164"/>
    <mergeCell ref="L162:M163"/>
    <mergeCell ref="P162:Q163"/>
    <mergeCell ref="C163:H164"/>
    <mergeCell ref="J152:K152"/>
    <mergeCell ref="M152:O152"/>
    <mergeCell ref="P152:Q152"/>
    <mergeCell ref="S152:T152"/>
    <mergeCell ref="U152:V152"/>
    <mergeCell ref="B157:E157"/>
    <mergeCell ref="J157:K157"/>
    <mergeCell ref="L157:M157"/>
    <mergeCell ref="B159:B160"/>
    <mergeCell ref="C159:E159"/>
    <mergeCell ref="F159:H159"/>
    <mergeCell ref="I159:J160"/>
    <mergeCell ref="K159:N160"/>
    <mergeCell ref="O159:R160"/>
    <mergeCell ref="S159:U160"/>
    <mergeCell ref="V159:W160"/>
    <mergeCell ref="C160:H160"/>
    <mergeCell ref="F137:W138"/>
    <mergeCell ref="B139:D142"/>
    <mergeCell ref="F147:W147"/>
    <mergeCell ref="B149:F149"/>
    <mergeCell ref="J149:W149"/>
    <mergeCell ref="K150:L150"/>
    <mergeCell ref="N150:O150"/>
    <mergeCell ref="P150:Q150"/>
    <mergeCell ref="R150:S150"/>
    <mergeCell ref="I128:J128"/>
    <mergeCell ref="D129:H129"/>
    <mergeCell ref="I129:J129"/>
    <mergeCell ref="I131:J131"/>
    <mergeCell ref="D132:H132"/>
    <mergeCell ref="I132:J132"/>
    <mergeCell ref="D134:H135"/>
    <mergeCell ref="I134:J134"/>
    <mergeCell ref="I135:J135"/>
    <mergeCell ref="B123:B126"/>
    <mergeCell ref="C123:E124"/>
    <mergeCell ref="F123:G124"/>
    <mergeCell ref="H123:H124"/>
    <mergeCell ref="I123:J126"/>
    <mergeCell ref="S123:U126"/>
    <mergeCell ref="V123:W126"/>
    <mergeCell ref="Y123:Y126"/>
    <mergeCell ref="L124:M125"/>
    <mergeCell ref="P124:Q125"/>
    <mergeCell ref="C125:H126"/>
    <mergeCell ref="B119:B122"/>
    <mergeCell ref="C119:E120"/>
    <mergeCell ref="F119:G120"/>
    <mergeCell ref="H119:H120"/>
    <mergeCell ref="I119:J122"/>
    <mergeCell ref="S119:U122"/>
    <mergeCell ref="V119:W122"/>
    <mergeCell ref="Y119:Y122"/>
    <mergeCell ref="L120:M121"/>
    <mergeCell ref="P120:Q121"/>
    <mergeCell ref="C121:H122"/>
    <mergeCell ref="B115:B118"/>
    <mergeCell ref="C115:E116"/>
    <mergeCell ref="F115:G116"/>
    <mergeCell ref="H115:H116"/>
    <mergeCell ref="I115:J118"/>
    <mergeCell ref="S115:U118"/>
    <mergeCell ref="V115:W118"/>
    <mergeCell ref="Y115:Y118"/>
    <mergeCell ref="L116:M117"/>
    <mergeCell ref="P116:Q117"/>
    <mergeCell ref="C117:H118"/>
    <mergeCell ref="B111:B114"/>
    <mergeCell ref="C111:E112"/>
    <mergeCell ref="F111:G112"/>
    <mergeCell ref="H111:H112"/>
    <mergeCell ref="I111:J114"/>
    <mergeCell ref="S111:U114"/>
    <mergeCell ref="V111:W114"/>
    <mergeCell ref="Y111:Y114"/>
    <mergeCell ref="L112:M113"/>
    <mergeCell ref="P112:Q113"/>
    <mergeCell ref="C113:H114"/>
    <mergeCell ref="B107:B110"/>
    <mergeCell ref="C107:E108"/>
    <mergeCell ref="F107:G108"/>
    <mergeCell ref="H107:H108"/>
    <mergeCell ref="I107:J110"/>
    <mergeCell ref="S107:U110"/>
    <mergeCell ref="V107:W110"/>
    <mergeCell ref="Y107:Y110"/>
    <mergeCell ref="L108:M109"/>
    <mergeCell ref="P108:Q109"/>
    <mergeCell ref="C109:H110"/>
    <mergeCell ref="B103:B106"/>
    <mergeCell ref="C103:E104"/>
    <mergeCell ref="F103:G104"/>
    <mergeCell ref="H103:H104"/>
    <mergeCell ref="I103:J106"/>
    <mergeCell ref="S103:U106"/>
    <mergeCell ref="V103:W106"/>
    <mergeCell ref="Y103:Y106"/>
    <mergeCell ref="L104:M105"/>
    <mergeCell ref="P104:Q105"/>
    <mergeCell ref="C105:H106"/>
    <mergeCell ref="B99:B102"/>
    <mergeCell ref="C99:E100"/>
    <mergeCell ref="F99:G100"/>
    <mergeCell ref="H99:H100"/>
    <mergeCell ref="I99:J102"/>
    <mergeCell ref="S99:U102"/>
    <mergeCell ref="V99:W102"/>
    <mergeCell ref="Y99:Y102"/>
    <mergeCell ref="L100:M101"/>
    <mergeCell ref="P100:Q101"/>
    <mergeCell ref="C101:H102"/>
    <mergeCell ref="B95:B98"/>
    <mergeCell ref="C95:E96"/>
    <mergeCell ref="F95:G96"/>
    <mergeCell ref="H95:H96"/>
    <mergeCell ref="I95:J98"/>
    <mergeCell ref="S95:U98"/>
    <mergeCell ref="V95:W98"/>
    <mergeCell ref="Y95:Y98"/>
    <mergeCell ref="L96:M97"/>
    <mergeCell ref="P96:Q97"/>
    <mergeCell ref="C97:H98"/>
    <mergeCell ref="Y87:Y90"/>
    <mergeCell ref="L88:M89"/>
    <mergeCell ref="P88:Q89"/>
    <mergeCell ref="C89:H90"/>
    <mergeCell ref="B91:B94"/>
    <mergeCell ref="C91:E92"/>
    <mergeCell ref="F91:G92"/>
    <mergeCell ref="H91:H92"/>
    <mergeCell ref="I91:J94"/>
    <mergeCell ref="S91:U94"/>
    <mergeCell ref="V91:W94"/>
    <mergeCell ref="Y91:Y94"/>
    <mergeCell ref="L92:M93"/>
    <mergeCell ref="P92:Q93"/>
    <mergeCell ref="C93:H94"/>
    <mergeCell ref="S85:U86"/>
    <mergeCell ref="V85:W86"/>
    <mergeCell ref="C86:H86"/>
    <mergeCell ref="A87:A90"/>
    <mergeCell ref="B87:B90"/>
    <mergeCell ref="C87:E88"/>
    <mergeCell ref="F87:G88"/>
    <mergeCell ref="H87:H88"/>
    <mergeCell ref="I87:J90"/>
    <mergeCell ref="S87:U90"/>
    <mergeCell ref="V87:W90"/>
    <mergeCell ref="B83:E83"/>
    <mergeCell ref="J83:K83"/>
    <mergeCell ref="L83:M83"/>
    <mergeCell ref="B85:B86"/>
    <mergeCell ref="C85:E85"/>
    <mergeCell ref="F85:H85"/>
    <mergeCell ref="I85:J86"/>
    <mergeCell ref="K85:N86"/>
    <mergeCell ref="O85:R86"/>
    <mergeCell ref="A13:A16"/>
    <mergeCell ref="B75:F75"/>
    <mergeCell ref="J75:W75"/>
    <mergeCell ref="K76:L76"/>
    <mergeCell ref="N76:O76"/>
    <mergeCell ref="P76:Q76"/>
    <mergeCell ref="R76:S76"/>
    <mergeCell ref="J78:K78"/>
    <mergeCell ref="M78:O78"/>
    <mergeCell ref="P78:Q78"/>
    <mergeCell ref="S78:T78"/>
    <mergeCell ref="U78:V78"/>
    <mergeCell ref="Y45:Y48"/>
    <mergeCell ref="Y49:Y52"/>
    <mergeCell ref="F73:W73"/>
    <mergeCell ref="D60:H61"/>
    <mergeCell ref="I54:J54"/>
    <mergeCell ref="I55:J55"/>
    <mergeCell ref="I57:J57"/>
    <mergeCell ref="I58:J58"/>
    <mergeCell ref="I60:J60"/>
    <mergeCell ref="I61:J61"/>
    <mergeCell ref="Y13:Y16"/>
    <mergeCell ref="Y17:Y20"/>
    <mergeCell ref="Y21:Y24"/>
    <mergeCell ref="Y25:Y28"/>
    <mergeCell ref="Y29:Y32"/>
    <mergeCell ref="Y33:Y36"/>
    <mergeCell ref="Y37:Y40"/>
    <mergeCell ref="Y41:Y44"/>
    <mergeCell ref="B49:B52"/>
    <mergeCell ref="C49:E50"/>
    <mergeCell ref="F49:G50"/>
    <mergeCell ref="H49:H50"/>
    <mergeCell ref="I49:J52"/>
    <mergeCell ref="D58:H58"/>
    <mergeCell ref="F63:W64"/>
    <mergeCell ref="B65:D68"/>
    <mergeCell ref="S49:U52"/>
    <mergeCell ref="V49:W52"/>
    <mergeCell ref="L50:M51"/>
    <mergeCell ref="P50:Q51"/>
    <mergeCell ref="C51:H52"/>
    <mergeCell ref="D55:H55"/>
    <mergeCell ref="B45:B48"/>
    <mergeCell ref="C45:E46"/>
    <mergeCell ref="F45:G46"/>
    <mergeCell ref="H45:H46"/>
    <mergeCell ref="I45:J48"/>
    <mergeCell ref="S45:U48"/>
    <mergeCell ref="V45:W48"/>
    <mergeCell ref="L46:M47"/>
    <mergeCell ref="P46:Q47"/>
    <mergeCell ref="C47:H48"/>
    <mergeCell ref="B41:B44"/>
    <mergeCell ref="C41:E42"/>
    <mergeCell ref="F41:G42"/>
    <mergeCell ref="H41:H42"/>
    <mergeCell ref="I41:J44"/>
    <mergeCell ref="S41:U44"/>
    <mergeCell ref="V41:W44"/>
    <mergeCell ref="L42:M43"/>
    <mergeCell ref="P42:Q43"/>
    <mergeCell ref="C43:H44"/>
    <mergeCell ref="B37:B40"/>
    <mergeCell ref="C37:E38"/>
    <mergeCell ref="F37:G38"/>
    <mergeCell ref="H37:H38"/>
    <mergeCell ref="I37:J40"/>
    <mergeCell ref="S37:U40"/>
    <mergeCell ref="V37:W40"/>
    <mergeCell ref="L38:M39"/>
    <mergeCell ref="P38:Q39"/>
    <mergeCell ref="C39:H40"/>
    <mergeCell ref="B33:B36"/>
    <mergeCell ref="C33:E34"/>
    <mergeCell ref="F33:G34"/>
    <mergeCell ref="H33:H34"/>
    <mergeCell ref="I33:J36"/>
    <mergeCell ref="S33:U36"/>
    <mergeCell ref="V33:W36"/>
    <mergeCell ref="L34:M35"/>
    <mergeCell ref="P34:Q35"/>
    <mergeCell ref="C35:H36"/>
    <mergeCell ref="B29:B32"/>
    <mergeCell ref="C29:E30"/>
    <mergeCell ref="F29:G30"/>
    <mergeCell ref="H29:H30"/>
    <mergeCell ref="I29:J32"/>
    <mergeCell ref="S29:U32"/>
    <mergeCell ref="V29:W32"/>
    <mergeCell ref="L30:M31"/>
    <mergeCell ref="P30:Q31"/>
    <mergeCell ref="C31:H32"/>
    <mergeCell ref="B25:B28"/>
    <mergeCell ref="C25:E26"/>
    <mergeCell ref="F25:G26"/>
    <mergeCell ref="H25:H26"/>
    <mergeCell ref="I25:J28"/>
    <mergeCell ref="S25:U28"/>
    <mergeCell ref="V25:W28"/>
    <mergeCell ref="L26:M27"/>
    <mergeCell ref="P26:Q27"/>
    <mergeCell ref="C27:H28"/>
    <mergeCell ref="B21:B24"/>
    <mergeCell ref="C21:E22"/>
    <mergeCell ref="F21:G22"/>
    <mergeCell ref="H21:H22"/>
    <mergeCell ref="I21:J24"/>
    <mergeCell ref="S21:U24"/>
    <mergeCell ref="V21:W24"/>
    <mergeCell ref="L22:M23"/>
    <mergeCell ref="P22:Q23"/>
    <mergeCell ref="C23:H24"/>
    <mergeCell ref="B17:B20"/>
    <mergeCell ref="C17:E18"/>
    <mergeCell ref="F17:G18"/>
    <mergeCell ref="H17:H18"/>
    <mergeCell ref="I17:J20"/>
    <mergeCell ref="S11:U12"/>
    <mergeCell ref="S17:U20"/>
    <mergeCell ref="V17:W20"/>
    <mergeCell ref="L18:M19"/>
    <mergeCell ref="P18:Q19"/>
    <mergeCell ref="C19:H20"/>
    <mergeCell ref="V11:W12"/>
    <mergeCell ref="C12:H12"/>
    <mergeCell ref="B13:B16"/>
    <mergeCell ref="C13:E14"/>
    <mergeCell ref="F13:G14"/>
    <mergeCell ref="H13:H14"/>
    <mergeCell ref="I13:J16"/>
    <mergeCell ref="S13:U16"/>
    <mergeCell ref="V13:W16"/>
    <mergeCell ref="B11:B12"/>
    <mergeCell ref="C11:E11"/>
    <mergeCell ref="F11:H11"/>
    <mergeCell ref="I11:J12"/>
    <mergeCell ref="B1:F1"/>
    <mergeCell ref="J1:W1"/>
    <mergeCell ref="K2:L2"/>
    <mergeCell ref="N2:O2"/>
    <mergeCell ref="P2:Q2"/>
    <mergeCell ref="R2:S2"/>
    <mergeCell ref="K11:N12"/>
    <mergeCell ref="O11:R12"/>
    <mergeCell ref="L14:M15"/>
    <mergeCell ref="P14:Q15"/>
    <mergeCell ref="C15:H16"/>
    <mergeCell ref="J4:K4"/>
    <mergeCell ref="M4:O4"/>
    <mergeCell ref="S4:T4"/>
    <mergeCell ref="B9:E9"/>
    <mergeCell ref="J9:K9"/>
    <mergeCell ref="L9:M9"/>
    <mergeCell ref="P4:Q4"/>
    <mergeCell ref="U4:V4"/>
  </mergeCells>
  <pageMargins left="0.42" right="0.21" top="0.28000000000000003" bottom="0.34" header="0.22" footer="0.3"/>
  <pageSetup paperSize="9" scale="87" orientation="portrait" horizontalDpi="4294967293" verticalDpi="0" r:id="rId1"/>
  <rowBreaks count="9" manualBreakCount="9">
    <brk id="74" min="1" max="22" man="1"/>
    <brk id="148" min="1" max="22" man="1"/>
    <brk id="222" min="1" max="22" man="1"/>
    <brk id="296" min="1" max="22" man="1"/>
    <brk id="370" min="1" max="22" man="1"/>
    <brk id="444" min="1" max="22" man="1"/>
    <brk id="518" min="1" max="22" man="1"/>
    <brk id="592" min="1" max="22" man="1"/>
    <brk id="666" min="1" max="2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3BF0-A7E4-4550-9B28-C3D281B90AD6}">
  <sheetPr>
    <tabColor rgb="FFFF0000"/>
  </sheetPr>
  <dimension ref="A1:D21"/>
  <sheetViews>
    <sheetView workbookViewId="0">
      <selection activeCell="C18" sqref="C18"/>
    </sheetView>
  </sheetViews>
  <sheetFormatPr defaultRowHeight="16.2" customHeight="1" x14ac:dyDescent="0.25"/>
  <cols>
    <col min="1" max="1" width="27.109375" style="90" customWidth="1"/>
    <col min="2" max="2" width="12.109375" style="90" customWidth="1"/>
    <col min="3" max="3" width="37.5546875" style="90" customWidth="1"/>
    <col min="4" max="4" width="27.44140625" style="90" customWidth="1"/>
    <col min="5" max="16384" width="8.88671875" style="90"/>
  </cols>
  <sheetData>
    <row r="1" spans="1:4" s="118" customFormat="1" ht="22.8" customHeight="1" x14ac:dyDescent="0.25">
      <c r="A1" s="119" t="s">
        <v>241</v>
      </c>
    </row>
    <row r="2" spans="1:4" ht="16.2" customHeight="1" x14ac:dyDescent="0.25">
      <c r="A2" s="91"/>
    </row>
    <row r="3" spans="1:4" s="115" customFormat="1" ht="16.2" customHeight="1" x14ac:dyDescent="0.25">
      <c r="A3" s="114" t="s">
        <v>230</v>
      </c>
      <c r="B3" s="114" t="s">
        <v>208</v>
      </c>
      <c r="C3" s="114" t="s">
        <v>223</v>
      </c>
      <c r="D3" s="114" t="s">
        <v>210</v>
      </c>
    </row>
    <row r="4" spans="1:4" ht="16.2" customHeight="1" x14ac:dyDescent="0.25">
      <c r="A4" s="91" t="s">
        <v>207</v>
      </c>
      <c r="B4" s="92" t="s">
        <v>221</v>
      </c>
      <c r="C4" s="92" t="s">
        <v>209</v>
      </c>
      <c r="D4" s="92" t="s">
        <v>206</v>
      </c>
    </row>
    <row r="5" spans="1:4" ht="16.2" customHeight="1" x14ac:dyDescent="0.25">
      <c r="A5" s="92" t="s">
        <v>217</v>
      </c>
      <c r="B5" s="92" t="s">
        <v>220</v>
      </c>
      <c r="C5" s="92" t="s">
        <v>204</v>
      </c>
      <c r="D5" s="92" t="s">
        <v>211</v>
      </c>
    </row>
    <row r="6" spans="1:4" ht="16.2" customHeight="1" x14ac:dyDescent="0.25">
      <c r="B6" s="92" t="s">
        <v>219</v>
      </c>
      <c r="C6" s="92" t="s">
        <v>205</v>
      </c>
      <c r="D6" s="92" t="s">
        <v>213</v>
      </c>
    </row>
    <row r="7" spans="1:4" ht="16.2" customHeight="1" x14ac:dyDescent="0.25">
      <c r="B7" s="92" t="s">
        <v>218</v>
      </c>
      <c r="C7" s="92" t="s">
        <v>212</v>
      </c>
      <c r="D7" s="92" t="s">
        <v>214</v>
      </c>
    </row>
    <row r="8" spans="1:4" ht="16.2" customHeight="1" x14ac:dyDescent="0.25">
      <c r="B8" s="92" t="s">
        <v>222</v>
      </c>
      <c r="C8" s="92" t="s">
        <v>215</v>
      </c>
      <c r="D8" s="92" t="s">
        <v>216</v>
      </c>
    </row>
    <row r="9" spans="1:4" ht="16.2" customHeight="1" x14ac:dyDescent="0.25">
      <c r="B9" s="92"/>
      <c r="C9" s="92"/>
      <c r="D9" s="92"/>
    </row>
    <row r="10" spans="1:4" ht="16.2" customHeight="1" x14ac:dyDescent="0.25">
      <c r="A10" s="91" t="s">
        <v>232</v>
      </c>
      <c r="B10" s="92" t="s">
        <v>239</v>
      </c>
      <c r="C10" s="92" t="s">
        <v>238</v>
      </c>
      <c r="D10" s="92"/>
    </row>
    <row r="11" spans="1:4" ht="16.2" customHeight="1" x14ac:dyDescent="0.25">
      <c r="B11" s="92"/>
      <c r="C11" s="92"/>
      <c r="D11" s="92"/>
    </row>
    <row r="12" spans="1:4" ht="16.2" customHeight="1" x14ac:dyDescent="0.25">
      <c r="A12" s="91" t="s">
        <v>233</v>
      </c>
      <c r="B12" s="92" t="s">
        <v>234</v>
      </c>
      <c r="C12" s="92" t="s">
        <v>236</v>
      </c>
      <c r="D12" s="92"/>
    </row>
    <row r="13" spans="1:4" ht="16.2" customHeight="1" x14ac:dyDescent="0.25">
      <c r="A13" s="92" t="s">
        <v>235</v>
      </c>
      <c r="C13" s="92"/>
      <c r="D13" s="92"/>
    </row>
    <row r="14" spans="1:4" ht="16.2" customHeight="1" x14ac:dyDescent="0.25">
      <c r="C14" s="92"/>
      <c r="D14" s="92"/>
    </row>
    <row r="15" spans="1:4" ht="16.2" customHeight="1" x14ac:dyDescent="0.25">
      <c r="A15" s="91"/>
      <c r="C15" s="92"/>
      <c r="D15" s="92"/>
    </row>
    <row r="16" spans="1:4" ht="16.2" customHeight="1" x14ac:dyDescent="0.25">
      <c r="C16" s="92"/>
      <c r="D16" s="92"/>
    </row>
    <row r="17" spans="3:4" ht="16.2" customHeight="1" x14ac:dyDescent="0.25">
      <c r="C17" s="92"/>
      <c r="D17" s="92"/>
    </row>
    <row r="18" spans="3:4" ht="16.2" customHeight="1" x14ac:dyDescent="0.25">
      <c r="C18" s="92"/>
    </row>
    <row r="19" spans="3:4" ht="16.2" customHeight="1" x14ac:dyDescent="0.25">
      <c r="C19" s="92"/>
    </row>
    <row r="20" spans="3:4" ht="16.2" customHeight="1" x14ac:dyDescent="0.25">
      <c r="C20" s="92"/>
    </row>
    <row r="21" spans="3:4" ht="16.2" customHeight="1" x14ac:dyDescent="0.25">
      <c r="C21" s="9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Data Kyu</vt:lpstr>
      <vt:lpstr>KYU Report</vt:lpstr>
      <vt:lpstr>Data Dan</vt:lpstr>
      <vt:lpstr>1st DAN Report</vt:lpstr>
      <vt:lpstr>Masterdata</vt:lpstr>
      <vt:lpstr>'1st DAN Report'!Print_Area</vt:lpstr>
      <vt:lpstr>'KYU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入 会 願 書</dc:title>
  <dc:creator>wsko002de</dc:creator>
  <cp:lastModifiedBy>it pbperkemi</cp:lastModifiedBy>
  <cp:lastPrinted>2026-05-30T03:17:16Z</cp:lastPrinted>
  <dcterms:created xsi:type="dcterms:W3CDTF">2025-08-20T07:59:23Z</dcterms:created>
  <dcterms:modified xsi:type="dcterms:W3CDTF">2026-05-30T03:20:48Z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2019-12-07T00:00:00Z</vt:filetime>
  </property>
  <property fmtid="{D5CDD505-2E9C-101B-9397-08002B2CF9AE}" pid="3" name="Creator">
    <vt:lpwstr>Microsoft® Word 2013</vt:lpwstr>
  </property>
  <property fmtid="{D5CDD505-2E9C-101B-9397-08002B2CF9AE}" pid="4" name="LastSaved">
    <vt:filetime>2025-08-20T00:00:00Z</vt:filetime>
  </property>
  <property fmtid="{D5CDD505-2E9C-101B-9397-08002B2CF9AE}" pid="5" name="Producer">
    <vt:lpwstr>Microsoft® Word 2013</vt:lpwstr>
  </property>
</Properties>
</file>