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IMPERKEMI\Hasil UKT\_Adm UKT\Form Adm UKT KYU-DAN1\"/>
    </mc:Choice>
  </mc:AlternateContent>
  <xr:revisionPtr revIDLastSave="0" documentId="13_ncr:1_{1476C8A7-F96D-44BA-BD4B-4104CAFEB3DE}" xr6:coauthVersionLast="47" xr6:coauthVersionMax="47" xr10:uidLastSave="{00000000-0000-0000-0000-000000000000}"/>
  <bookViews>
    <workbookView xWindow="-120" yWindow="-120" windowWidth="20730" windowHeight="11040" tabRatio="871" xr2:uid="{00000000-000D-0000-FFFF-FFFF00000000}"/>
  </bookViews>
  <sheets>
    <sheet name="8 KYU" sheetId="21" r:id="rId1"/>
    <sheet name="7 KYU" sheetId="10" r:id="rId2"/>
    <sheet name="6 KYU" sheetId="8" r:id="rId3"/>
    <sheet name="5 KYU" sheetId="9" r:id="rId4"/>
    <sheet name="4 KYU" sheetId="4" r:id="rId5"/>
    <sheet name="3 KYU" sheetId="16" r:id="rId6"/>
    <sheet name="3 KYU (Hal 2)" sheetId="22" r:id="rId7"/>
    <sheet name="2 KYU" sheetId="2" r:id="rId8"/>
    <sheet name="2 KYU (Hal 2)" sheetId="24" r:id="rId9"/>
    <sheet name="1 KYU" sheetId="3" r:id="rId10"/>
    <sheet name="1 KYU (Hal 2)" sheetId="25" r:id="rId11"/>
    <sheet name="1 DAN" sheetId="18" r:id="rId12"/>
    <sheet name="1 DAN (Hal 2)" sheetId="27" r:id="rId13"/>
    <sheet name="F-27 Rekap" sheetId="28" r:id="rId14"/>
  </sheets>
  <definedNames>
    <definedName name="_xlnm.Print_Area" localSheetId="11">'1 DAN'!$A$1:$AH$161</definedName>
    <definedName name="_xlnm.Print_Area" localSheetId="12">'1 DAN (Hal 2)'!$A$1:$Z$157</definedName>
    <definedName name="_xlnm.Print_Area" localSheetId="9">'1 KYU'!$A$1:$AE$172</definedName>
    <definedName name="_xlnm.Print_Area" localSheetId="10">'1 KYU (Hal 2)'!$A$1:$Z$152</definedName>
    <definedName name="_xlnm.Print_Area" localSheetId="7">'2 KYU'!$A$1:$AE$172</definedName>
    <definedName name="_xlnm.Print_Area" localSheetId="8">'2 KYU (Hal 2)'!$A$1:$Z$152</definedName>
    <definedName name="_xlnm.Print_Area" localSheetId="5">'3 KYU'!$A$1:$AE$172</definedName>
    <definedName name="_xlnm.Print_Area" localSheetId="6">'3 KYU (Hal 2)'!$A$1:$Z$152</definedName>
    <definedName name="_xlnm.Print_Area" localSheetId="4">'4 KYU'!$A$1:$AI$151</definedName>
    <definedName name="_xlnm.Print_Area" localSheetId="3">'5 KYU'!$A$1:$AG$147</definedName>
    <definedName name="_xlnm.Print_Area" localSheetId="2">'6 KYU'!$A$1:$Z$146</definedName>
    <definedName name="_xlnm.Print_Area" localSheetId="1">'7 KYU'!$A$1:$Y$147</definedName>
    <definedName name="_xlnm.Print_Area" localSheetId="0">'8 KYU'!$A$1:$V$141</definedName>
    <definedName name="_xlnm.Print_Area" localSheetId="13">'F-27 Rekap'!$A$1:$K$463</definedName>
    <definedName name="_xlnm.Print_Titles" localSheetId="11">'1 DAN'!$1:$7</definedName>
    <definedName name="_xlnm.Print_Titles" localSheetId="12">'1 DAN (Hal 2)'!$1:$8</definedName>
    <definedName name="_xlnm.Print_Titles" localSheetId="9">'1 KYU'!$1:$8</definedName>
    <definedName name="_xlnm.Print_Titles" localSheetId="10">'1 KYU (Hal 2)'!$1:$8</definedName>
    <definedName name="_xlnm.Print_Titles" localSheetId="7">'2 KYU'!$1:$8</definedName>
    <definedName name="_xlnm.Print_Titles" localSheetId="8">'2 KYU (Hal 2)'!$1:$8</definedName>
    <definedName name="_xlnm.Print_Titles" localSheetId="5">'3 KYU'!$1:$8</definedName>
    <definedName name="_xlnm.Print_Titles" localSheetId="6">'3 KYU (Hal 2)'!$1:$8</definedName>
    <definedName name="_xlnm.Print_Titles" localSheetId="4">'4 KYU'!$1:$7</definedName>
    <definedName name="_xlnm.Print_Titles" localSheetId="3">'5 KYU'!$1:$7</definedName>
    <definedName name="_xlnm.Print_Titles" localSheetId="2">'6 KYU'!$1:$7</definedName>
    <definedName name="_xlnm.Print_Titles" localSheetId="1">'7 KYU'!$1:$7</definedName>
    <definedName name="_xlnm.Print_Titles" localSheetId="0">'8 KYU'!$1:$7</definedName>
    <definedName name="_xlnm.Print_Titles" localSheetId="13">'F-27 Rekap'!$1:$4</definedName>
  </definedNames>
  <calcPr calcId="191029"/>
  <fileRecoveryPr autoRecover="0"/>
</workbook>
</file>

<file path=xl/calcChain.xml><?xml version="1.0" encoding="utf-8"?>
<calcChain xmlns="http://schemas.openxmlformats.org/spreadsheetml/2006/main">
  <c r="N456" i="28" l="1"/>
  <c r="M456" i="28"/>
  <c r="N455" i="28"/>
  <c r="M455" i="28"/>
  <c r="N454" i="28"/>
  <c r="M454" i="28"/>
  <c r="N453" i="28"/>
  <c r="M453" i="28"/>
  <c r="K453" i="28" s="1"/>
  <c r="N452" i="28"/>
  <c r="M452" i="28"/>
  <c r="N451" i="28"/>
  <c r="M451" i="28"/>
  <c r="N450" i="28"/>
  <c r="M450" i="28"/>
  <c r="N449" i="28"/>
  <c r="M449" i="28"/>
  <c r="K449" i="28" s="1"/>
  <c r="N448" i="28"/>
  <c r="M448" i="28"/>
  <c r="N447" i="28"/>
  <c r="M447" i="28"/>
  <c r="N446" i="28"/>
  <c r="M446" i="28"/>
  <c r="N445" i="28"/>
  <c r="M445" i="28"/>
  <c r="K445" i="28" s="1"/>
  <c r="N444" i="28"/>
  <c r="M444" i="28"/>
  <c r="N443" i="28"/>
  <c r="M443" i="28"/>
  <c r="N442" i="28"/>
  <c r="M442" i="28"/>
  <c r="N441" i="28"/>
  <c r="M441" i="28"/>
  <c r="K441" i="28" s="1"/>
  <c r="N440" i="28"/>
  <c r="M440" i="28"/>
  <c r="N439" i="28"/>
  <c r="M439" i="28"/>
  <c r="N438" i="28"/>
  <c r="M438" i="28"/>
  <c r="N437" i="28"/>
  <c r="M437" i="28"/>
  <c r="K437" i="28" s="1"/>
  <c r="N436" i="28"/>
  <c r="M436" i="28"/>
  <c r="N435" i="28"/>
  <c r="M435" i="28"/>
  <c r="N434" i="28"/>
  <c r="M434" i="28"/>
  <c r="N433" i="28"/>
  <c r="M433" i="28"/>
  <c r="K433" i="28" s="1"/>
  <c r="N432" i="28"/>
  <c r="M432" i="28"/>
  <c r="N431" i="28"/>
  <c r="M431" i="28"/>
  <c r="N430" i="28"/>
  <c r="M430" i="28"/>
  <c r="N429" i="28"/>
  <c r="M429" i="28"/>
  <c r="K429" i="28" s="1"/>
  <c r="N428" i="28"/>
  <c r="M428" i="28"/>
  <c r="N427" i="28"/>
  <c r="M427" i="28"/>
  <c r="N426" i="28"/>
  <c r="M426" i="28"/>
  <c r="N425" i="28"/>
  <c r="M425" i="28"/>
  <c r="K425" i="28" s="1"/>
  <c r="N424" i="28"/>
  <c r="M424" i="28"/>
  <c r="N423" i="28"/>
  <c r="M423" i="28"/>
  <c r="N422" i="28"/>
  <c r="M422" i="28"/>
  <c r="N421" i="28"/>
  <c r="M421" i="28"/>
  <c r="K421" i="28" s="1"/>
  <c r="N420" i="28"/>
  <c r="M420" i="28"/>
  <c r="N419" i="28"/>
  <c r="M419" i="28"/>
  <c r="N418" i="28"/>
  <c r="M418" i="28"/>
  <c r="K456" i="28"/>
  <c r="K455" i="28"/>
  <c r="K454" i="28"/>
  <c r="K452" i="28"/>
  <c r="K451" i="28"/>
  <c r="K450" i="28"/>
  <c r="K448" i="28"/>
  <c r="K447" i="28"/>
  <c r="K446" i="28"/>
  <c r="K444" i="28"/>
  <c r="K443" i="28"/>
  <c r="K442" i="28"/>
  <c r="K440" i="28"/>
  <c r="K439" i="28"/>
  <c r="K438" i="28"/>
  <c r="K436" i="28"/>
  <c r="K435" i="28"/>
  <c r="K434" i="28"/>
  <c r="K432" i="28"/>
  <c r="K431" i="28"/>
  <c r="K430" i="28"/>
  <c r="K428" i="28"/>
  <c r="K427" i="28"/>
  <c r="K426" i="28"/>
  <c r="K424" i="28"/>
  <c r="K423" i="28"/>
  <c r="K422" i="28"/>
  <c r="K420" i="28"/>
  <c r="K419" i="28"/>
  <c r="K418" i="28"/>
  <c r="M417" i="28"/>
  <c r="J417" i="28"/>
  <c r="N417" i="28" s="1"/>
  <c r="K366" i="28"/>
  <c r="N405" i="28"/>
  <c r="M405" i="28"/>
  <c r="N404" i="28"/>
  <c r="M404" i="28"/>
  <c r="K404" i="28" s="1"/>
  <c r="N403" i="28"/>
  <c r="M403" i="28"/>
  <c r="N402" i="28"/>
  <c r="M402" i="28"/>
  <c r="K402" i="28" s="1"/>
  <c r="N401" i="28"/>
  <c r="M401" i="28"/>
  <c r="N400" i="28"/>
  <c r="M400" i="28"/>
  <c r="K400" i="28" s="1"/>
  <c r="N399" i="28"/>
  <c r="M399" i="28"/>
  <c r="N398" i="28"/>
  <c r="M398" i="28"/>
  <c r="K398" i="28" s="1"/>
  <c r="N397" i="28"/>
  <c r="M397" i="28"/>
  <c r="N396" i="28"/>
  <c r="M396" i="28"/>
  <c r="K396" i="28" s="1"/>
  <c r="N395" i="28"/>
  <c r="M395" i="28"/>
  <c r="N394" i="28"/>
  <c r="M394" i="28"/>
  <c r="K394" i="28" s="1"/>
  <c r="N393" i="28"/>
  <c r="M393" i="28"/>
  <c r="N392" i="28"/>
  <c r="M392" i="28"/>
  <c r="K392" i="28" s="1"/>
  <c r="N391" i="28"/>
  <c r="M391" i="28"/>
  <c r="N390" i="28"/>
  <c r="M390" i="28"/>
  <c r="K390" i="28" s="1"/>
  <c r="N389" i="28"/>
  <c r="M389" i="28"/>
  <c r="N388" i="28"/>
  <c r="M388" i="28"/>
  <c r="K388" i="28" s="1"/>
  <c r="N387" i="28"/>
  <c r="M387" i="28"/>
  <c r="N386" i="28"/>
  <c r="M386" i="28"/>
  <c r="K386" i="28" s="1"/>
  <c r="N385" i="28"/>
  <c r="M385" i="28"/>
  <c r="N384" i="28"/>
  <c r="M384" i="28"/>
  <c r="K384" i="28" s="1"/>
  <c r="N383" i="28"/>
  <c r="M383" i="28"/>
  <c r="N382" i="28"/>
  <c r="M382" i="28"/>
  <c r="K382" i="28" s="1"/>
  <c r="N381" i="28"/>
  <c r="M381" i="28"/>
  <c r="N380" i="28"/>
  <c r="M380" i="28"/>
  <c r="K380" i="28" s="1"/>
  <c r="N379" i="28"/>
  <c r="M379" i="28"/>
  <c r="N378" i="28"/>
  <c r="M378" i="28"/>
  <c r="K378" i="28" s="1"/>
  <c r="N377" i="28"/>
  <c r="M377" i="28"/>
  <c r="N376" i="28"/>
  <c r="M376" i="28"/>
  <c r="K376" i="28" s="1"/>
  <c r="N375" i="28"/>
  <c r="M375" i="28"/>
  <c r="N374" i="28"/>
  <c r="M374" i="28"/>
  <c r="K374" i="28" s="1"/>
  <c r="N373" i="28"/>
  <c r="M373" i="28"/>
  <c r="N372" i="28"/>
  <c r="M372" i="28"/>
  <c r="K372" i="28" s="1"/>
  <c r="N371" i="28"/>
  <c r="M371" i="28"/>
  <c r="N370" i="28"/>
  <c r="M370" i="28"/>
  <c r="K370" i="28" s="1"/>
  <c r="N369" i="28"/>
  <c r="M369" i="28"/>
  <c r="N368" i="28"/>
  <c r="M368" i="28"/>
  <c r="K368" i="28" s="1"/>
  <c r="N367" i="28"/>
  <c r="M367" i="28"/>
  <c r="N366" i="28"/>
  <c r="M366" i="28"/>
  <c r="J366" i="28"/>
  <c r="M315" i="28"/>
  <c r="J315" i="28"/>
  <c r="N315" i="28" s="1"/>
  <c r="K405" i="28"/>
  <c r="K403" i="28"/>
  <c r="K401" i="28"/>
  <c r="K399" i="28"/>
  <c r="K397" i="28"/>
  <c r="K395" i="28"/>
  <c r="K393" i="28"/>
  <c r="K391" i="28"/>
  <c r="K389" i="28"/>
  <c r="K387" i="28"/>
  <c r="K385" i="28"/>
  <c r="K383" i="28"/>
  <c r="K381" i="28"/>
  <c r="K379" i="28"/>
  <c r="K377" i="28"/>
  <c r="K375" i="28"/>
  <c r="K373" i="28"/>
  <c r="K371" i="28"/>
  <c r="K369" i="28"/>
  <c r="K367" i="28"/>
  <c r="N354" i="28"/>
  <c r="M354" i="28"/>
  <c r="K354" i="28"/>
  <c r="N353" i="28"/>
  <c r="M353" i="28"/>
  <c r="K353" i="28" s="1"/>
  <c r="N352" i="28"/>
  <c r="M352" i="28"/>
  <c r="K352" i="28" s="1"/>
  <c r="N351" i="28"/>
  <c r="M351" i="28"/>
  <c r="K351" i="28"/>
  <c r="N350" i="28"/>
  <c r="M350" i="28"/>
  <c r="K350" i="28"/>
  <c r="N349" i="28"/>
  <c r="M349" i="28"/>
  <c r="K349" i="28"/>
  <c r="N348" i="28"/>
  <c r="M348" i="28"/>
  <c r="K348" i="28" s="1"/>
  <c r="N347" i="28"/>
  <c r="M347" i="28"/>
  <c r="K347" i="28"/>
  <c r="N346" i="28"/>
  <c r="M346" i="28"/>
  <c r="K346" i="28"/>
  <c r="N345" i="28"/>
  <c r="M345" i="28"/>
  <c r="K345" i="28"/>
  <c r="N344" i="28"/>
  <c r="M344" i="28"/>
  <c r="K344" i="28" s="1"/>
  <c r="N343" i="28"/>
  <c r="M343" i="28"/>
  <c r="K343" i="28"/>
  <c r="N342" i="28"/>
  <c r="M342" i="28"/>
  <c r="K342" i="28"/>
  <c r="N341" i="28"/>
  <c r="M341" i="28"/>
  <c r="K341" i="28"/>
  <c r="N340" i="28"/>
  <c r="M340" i="28"/>
  <c r="K340" i="28" s="1"/>
  <c r="N339" i="28"/>
  <c r="M339" i="28"/>
  <c r="K339" i="28"/>
  <c r="N338" i="28"/>
  <c r="M338" i="28"/>
  <c r="K338" i="28"/>
  <c r="N337" i="28"/>
  <c r="M337" i="28"/>
  <c r="K337" i="28"/>
  <c r="N336" i="28"/>
  <c r="M336" i="28"/>
  <c r="K336" i="28" s="1"/>
  <c r="N335" i="28"/>
  <c r="M335" i="28"/>
  <c r="K335" i="28"/>
  <c r="N334" i="28"/>
  <c r="M334" i="28"/>
  <c r="K334" i="28"/>
  <c r="N333" i="28"/>
  <c r="M333" i="28"/>
  <c r="K333" i="28"/>
  <c r="N332" i="28"/>
  <c r="M332" i="28"/>
  <c r="K332" i="28" s="1"/>
  <c r="N331" i="28"/>
  <c r="M331" i="28"/>
  <c r="K331" i="28"/>
  <c r="N330" i="28"/>
  <c r="M330" i="28"/>
  <c r="K330" i="28"/>
  <c r="N329" i="28"/>
  <c r="M329" i="28"/>
  <c r="K329" i="28"/>
  <c r="N328" i="28"/>
  <c r="M328" i="28"/>
  <c r="K328" i="28" s="1"/>
  <c r="N327" i="28"/>
  <c r="M327" i="28"/>
  <c r="K327" i="28"/>
  <c r="N326" i="28"/>
  <c r="M326" i="28"/>
  <c r="K326" i="28"/>
  <c r="N325" i="28"/>
  <c r="M325" i="28"/>
  <c r="K325" i="28"/>
  <c r="N324" i="28"/>
  <c r="M324" i="28"/>
  <c r="K324" i="28" s="1"/>
  <c r="N323" i="28"/>
  <c r="M323" i="28"/>
  <c r="K323" i="28"/>
  <c r="N322" i="28"/>
  <c r="M322" i="28"/>
  <c r="K322" i="28"/>
  <c r="N321" i="28"/>
  <c r="M321" i="28"/>
  <c r="K321" i="28"/>
  <c r="N320" i="28"/>
  <c r="M320" i="28"/>
  <c r="K320" i="28" s="1"/>
  <c r="N319" i="28"/>
  <c r="M319" i="28"/>
  <c r="K319" i="28"/>
  <c r="N318" i="28"/>
  <c r="M318" i="28"/>
  <c r="K318" i="28"/>
  <c r="N317" i="28"/>
  <c r="M317" i="28"/>
  <c r="K317" i="28"/>
  <c r="N316" i="28"/>
  <c r="M316" i="28"/>
  <c r="K316" i="28" s="1"/>
  <c r="N303" i="28"/>
  <c r="M303" i="28"/>
  <c r="K303" i="28" s="1"/>
  <c r="N302" i="28"/>
  <c r="M302" i="28"/>
  <c r="K302" i="28"/>
  <c r="N301" i="28"/>
  <c r="M301" i="28"/>
  <c r="K301" i="28" s="1"/>
  <c r="N300" i="28"/>
  <c r="M300" i="28"/>
  <c r="K300" i="28"/>
  <c r="N299" i="28"/>
  <c r="M299" i="28"/>
  <c r="K299" i="28" s="1"/>
  <c r="N298" i="28"/>
  <c r="M298" i="28"/>
  <c r="K298" i="28"/>
  <c r="N297" i="28"/>
  <c r="M297" i="28"/>
  <c r="K297" i="28" s="1"/>
  <c r="N296" i="28"/>
  <c r="M296" i="28"/>
  <c r="K296" i="28"/>
  <c r="N295" i="28"/>
  <c r="M295" i="28"/>
  <c r="K295" i="28" s="1"/>
  <c r="N294" i="28"/>
  <c r="M294" i="28"/>
  <c r="K294" i="28"/>
  <c r="N293" i="28"/>
  <c r="M293" i="28"/>
  <c r="K293" i="28" s="1"/>
  <c r="N292" i="28"/>
  <c r="M292" i="28"/>
  <c r="K292" i="28"/>
  <c r="N291" i="28"/>
  <c r="M291" i="28"/>
  <c r="K291" i="28" s="1"/>
  <c r="N290" i="28"/>
  <c r="M290" i="28"/>
  <c r="K290" i="28"/>
  <c r="N289" i="28"/>
  <c r="M289" i="28"/>
  <c r="K289" i="28" s="1"/>
  <c r="N288" i="28"/>
  <c r="M288" i="28"/>
  <c r="K288" i="28"/>
  <c r="N287" i="28"/>
  <c r="M287" i="28"/>
  <c r="K287" i="28" s="1"/>
  <c r="N286" i="28"/>
  <c r="M286" i="28"/>
  <c r="K286" i="28"/>
  <c r="N285" i="28"/>
  <c r="M285" i="28"/>
  <c r="K285" i="28" s="1"/>
  <c r="N284" i="28"/>
  <c r="M284" i="28"/>
  <c r="K284" i="28"/>
  <c r="N283" i="28"/>
  <c r="M283" i="28"/>
  <c r="K283" i="28" s="1"/>
  <c r="N282" i="28"/>
  <c r="M282" i="28"/>
  <c r="K282" i="28"/>
  <c r="N281" i="28"/>
  <c r="M281" i="28"/>
  <c r="K281" i="28" s="1"/>
  <c r="N280" i="28"/>
  <c r="M280" i="28"/>
  <c r="K280" i="28"/>
  <c r="N279" i="28"/>
  <c r="M279" i="28"/>
  <c r="K279" i="28" s="1"/>
  <c r="N278" i="28"/>
  <c r="M278" i="28"/>
  <c r="K278" i="28"/>
  <c r="N277" i="28"/>
  <c r="M277" i="28"/>
  <c r="K277" i="28" s="1"/>
  <c r="N276" i="28"/>
  <c r="M276" i="28"/>
  <c r="K276" i="28"/>
  <c r="N275" i="28"/>
  <c r="M275" i="28"/>
  <c r="K275" i="28" s="1"/>
  <c r="N274" i="28"/>
  <c r="M274" i="28"/>
  <c r="K274" i="28"/>
  <c r="N273" i="28"/>
  <c r="M273" i="28"/>
  <c r="K273" i="28" s="1"/>
  <c r="N272" i="28"/>
  <c r="M272" i="28"/>
  <c r="K272" i="28"/>
  <c r="N271" i="28"/>
  <c r="M271" i="28"/>
  <c r="K271" i="28" s="1"/>
  <c r="N270" i="28"/>
  <c r="M270" i="28"/>
  <c r="K270" i="28"/>
  <c r="N269" i="28"/>
  <c r="M269" i="28"/>
  <c r="K269" i="28" s="1"/>
  <c r="N268" i="28"/>
  <c r="M268" i="28"/>
  <c r="K268" i="28"/>
  <c r="N267" i="28"/>
  <c r="M267" i="28"/>
  <c r="K267" i="28" s="1"/>
  <c r="N266" i="28"/>
  <c r="M266" i="28"/>
  <c r="K266" i="28"/>
  <c r="N265" i="28"/>
  <c r="M265" i="28"/>
  <c r="K265" i="28" s="1"/>
  <c r="J264" i="28"/>
  <c r="K264" i="28" s="1"/>
  <c r="M264" i="28"/>
  <c r="K252" i="28"/>
  <c r="K251" i="28"/>
  <c r="K250" i="28"/>
  <c r="K249" i="28"/>
  <c r="K248" i="28"/>
  <c r="K247" i="28"/>
  <c r="K246" i="28"/>
  <c r="K245" i="28"/>
  <c r="K244" i="28"/>
  <c r="K243" i="28"/>
  <c r="K242" i="28"/>
  <c r="K241" i="28"/>
  <c r="K240" i="28"/>
  <c r="K239" i="28"/>
  <c r="K238" i="28"/>
  <c r="K237" i="28"/>
  <c r="K236" i="28"/>
  <c r="K235" i="28"/>
  <c r="K234" i="28"/>
  <c r="K233" i="28"/>
  <c r="K232" i="28"/>
  <c r="K231" i="28"/>
  <c r="K230" i="28"/>
  <c r="K229" i="28"/>
  <c r="K228" i="28"/>
  <c r="K227" i="28"/>
  <c r="K226" i="28"/>
  <c r="K225" i="28"/>
  <c r="K224" i="28"/>
  <c r="K223" i="28"/>
  <c r="K222" i="28"/>
  <c r="K221" i="28"/>
  <c r="K220" i="28"/>
  <c r="K219" i="28"/>
  <c r="K218" i="28"/>
  <c r="K217" i="28"/>
  <c r="K216" i="28"/>
  <c r="K215" i="28"/>
  <c r="K214" i="28"/>
  <c r="K213" i="28"/>
  <c r="K201" i="28"/>
  <c r="K200" i="28"/>
  <c r="K199" i="28"/>
  <c r="K198" i="28"/>
  <c r="K197" i="28"/>
  <c r="K196" i="28"/>
  <c r="K195" i="28"/>
  <c r="K194" i="28"/>
  <c r="K193" i="28"/>
  <c r="K192" i="28"/>
  <c r="K191" i="28"/>
  <c r="K190" i="28"/>
  <c r="K189" i="28"/>
  <c r="K188" i="28"/>
  <c r="K187" i="28"/>
  <c r="K186" i="28"/>
  <c r="K185" i="28"/>
  <c r="K184" i="28"/>
  <c r="K183" i="28"/>
  <c r="K182" i="28"/>
  <c r="K181" i="28"/>
  <c r="K180" i="28"/>
  <c r="K179" i="28"/>
  <c r="K178" i="28"/>
  <c r="K177" i="28"/>
  <c r="K176" i="28"/>
  <c r="K175" i="28"/>
  <c r="K174" i="28"/>
  <c r="K173" i="28"/>
  <c r="K172" i="28"/>
  <c r="K171" i="28"/>
  <c r="K170" i="28"/>
  <c r="K169" i="28"/>
  <c r="K168" i="28"/>
  <c r="K167" i="28"/>
  <c r="K166" i="28"/>
  <c r="K165" i="28"/>
  <c r="K164" i="28"/>
  <c r="K163" i="28"/>
  <c r="K162" i="28"/>
  <c r="K150" i="28"/>
  <c r="K149" i="28"/>
  <c r="K148" i="28"/>
  <c r="K147" i="28"/>
  <c r="K146" i="28"/>
  <c r="K145" i="28"/>
  <c r="K144" i="28"/>
  <c r="K143" i="28"/>
  <c r="K142" i="28"/>
  <c r="K141" i="28"/>
  <c r="K140" i="28"/>
  <c r="K139" i="28"/>
  <c r="K138" i="28"/>
  <c r="K137" i="28"/>
  <c r="K136" i="28"/>
  <c r="K135" i="28"/>
  <c r="K134" i="28"/>
  <c r="K133" i="28"/>
  <c r="K132" i="28"/>
  <c r="K131" i="28"/>
  <c r="K130" i="28"/>
  <c r="K129" i="28"/>
  <c r="K128" i="28"/>
  <c r="K127" i="28"/>
  <c r="K126" i="28"/>
  <c r="K125" i="28"/>
  <c r="K124" i="28"/>
  <c r="K123" i="28"/>
  <c r="K122" i="28"/>
  <c r="K121" i="28"/>
  <c r="K120" i="28"/>
  <c r="K119" i="28"/>
  <c r="K118" i="28"/>
  <c r="K117" i="28"/>
  <c r="K116" i="28"/>
  <c r="K115" i="28"/>
  <c r="K114" i="28"/>
  <c r="K113" i="28"/>
  <c r="K112" i="28"/>
  <c r="K111" i="28"/>
  <c r="K99" i="28"/>
  <c r="K98" i="28"/>
  <c r="K97" i="28"/>
  <c r="K96" i="28"/>
  <c r="K95" i="28"/>
  <c r="K94" i="28"/>
  <c r="K93" i="28"/>
  <c r="K92" i="28"/>
  <c r="K91" i="28"/>
  <c r="K90" i="28"/>
  <c r="K89" i="28"/>
  <c r="K88" i="28"/>
  <c r="K87" i="28"/>
  <c r="K86" i="28"/>
  <c r="K85" i="28"/>
  <c r="K84" i="28"/>
  <c r="K83" i="28"/>
  <c r="K82" i="28"/>
  <c r="K81" i="28"/>
  <c r="K80" i="28"/>
  <c r="K79" i="28"/>
  <c r="K78" i="28"/>
  <c r="K77" i="28"/>
  <c r="K76" i="28"/>
  <c r="K75" i="28"/>
  <c r="K74" i="28"/>
  <c r="K73" i="28"/>
  <c r="K72" i="28"/>
  <c r="K71" i="28"/>
  <c r="K70" i="28"/>
  <c r="K69" i="28"/>
  <c r="K68" i="28"/>
  <c r="K67" i="28"/>
  <c r="K66" i="28"/>
  <c r="K65" i="28"/>
  <c r="K64" i="28"/>
  <c r="K63" i="28"/>
  <c r="K62" i="28"/>
  <c r="K61" i="28"/>
  <c r="K60" i="28"/>
  <c r="K10" i="28"/>
  <c r="K11" i="28"/>
  <c r="K12" i="28"/>
  <c r="K13" i="28"/>
  <c r="K14" i="28"/>
  <c r="K15" i="28"/>
  <c r="K16" i="28"/>
  <c r="K17" i="28"/>
  <c r="K18" i="28"/>
  <c r="K19" i="28"/>
  <c r="K20" i="28"/>
  <c r="K21" i="28"/>
  <c r="K22" i="28"/>
  <c r="K23" i="28"/>
  <c r="K24" i="28"/>
  <c r="K25" i="28"/>
  <c r="K26" i="28"/>
  <c r="K27" i="28"/>
  <c r="K28" i="28"/>
  <c r="K29" i="28"/>
  <c r="K30" i="28"/>
  <c r="K31" i="28"/>
  <c r="K32" i="28"/>
  <c r="K33" i="28"/>
  <c r="K34" i="28"/>
  <c r="K35" i="28"/>
  <c r="K36" i="28"/>
  <c r="K37" i="28"/>
  <c r="K38" i="28"/>
  <c r="K39" i="28"/>
  <c r="K40" i="28"/>
  <c r="K41" i="28"/>
  <c r="K42" i="28"/>
  <c r="K43" i="28"/>
  <c r="K44" i="28"/>
  <c r="K45" i="28"/>
  <c r="K46" i="28"/>
  <c r="K47" i="28"/>
  <c r="K48" i="28"/>
  <c r="K9" i="28"/>
  <c r="M9" i="28"/>
  <c r="J354" i="28"/>
  <c r="J353" i="28"/>
  <c r="J352" i="28"/>
  <c r="J351" i="28"/>
  <c r="J350" i="28"/>
  <c r="J349" i="28"/>
  <c r="J348" i="28"/>
  <c r="J347" i="28"/>
  <c r="J346" i="28"/>
  <c r="J345" i="28"/>
  <c r="J344" i="28"/>
  <c r="J343" i="28"/>
  <c r="J342" i="28"/>
  <c r="J341" i="28"/>
  <c r="J340" i="28"/>
  <c r="J339" i="28"/>
  <c r="J338" i="28"/>
  <c r="J337" i="28"/>
  <c r="J336" i="28"/>
  <c r="J335" i="28"/>
  <c r="J334" i="28"/>
  <c r="J333" i="28"/>
  <c r="J332" i="28"/>
  <c r="J331" i="28"/>
  <c r="J330" i="28"/>
  <c r="J329" i="28"/>
  <c r="J328" i="28"/>
  <c r="J327" i="28"/>
  <c r="J326" i="28"/>
  <c r="J325" i="28"/>
  <c r="J324" i="28"/>
  <c r="J323" i="28"/>
  <c r="J322" i="28"/>
  <c r="J321" i="28"/>
  <c r="J320" i="28"/>
  <c r="J319" i="28"/>
  <c r="J318" i="28"/>
  <c r="J317" i="28"/>
  <c r="J316" i="28"/>
  <c r="J303" i="28"/>
  <c r="J302" i="28"/>
  <c r="J301" i="28"/>
  <c r="J300" i="28"/>
  <c r="J299" i="28"/>
  <c r="J298" i="28"/>
  <c r="J297" i="28"/>
  <c r="J296" i="28"/>
  <c r="J295" i="28"/>
  <c r="J294" i="28"/>
  <c r="J293" i="28"/>
  <c r="J292" i="28"/>
  <c r="J291" i="28"/>
  <c r="J290" i="28"/>
  <c r="J289" i="28"/>
  <c r="J288" i="28"/>
  <c r="J287" i="28"/>
  <c r="J286" i="28"/>
  <c r="J285" i="28"/>
  <c r="J284" i="28"/>
  <c r="J283" i="28"/>
  <c r="J282" i="28"/>
  <c r="J281" i="28"/>
  <c r="J280" i="28"/>
  <c r="J279" i="28"/>
  <c r="J278" i="28"/>
  <c r="J277" i="28"/>
  <c r="J276" i="28"/>
  <c r="J275" i="28"/>
  <c r="J274" i="28"/>
  <c r="J273" i="28"/>
  <c r="J272" i="28"/>
  <c r="J271" i="28"/>
  <c r="J270" i="28"/>
  <c r="J269" i="28"/>
  <c r="J268" i="28"/>
  <c r="J267" i="28"/>
  <c r="J266" i="28"/>
  <c r="J265" i="28"/>
  <c r="M252" i="28"/>
  <c r="J252" i="28"/>
  <c r="N252" i="28" s="1"/>
  <c r="N251" i="28"/>
  <c r="M251" i="28"/>
  <c r="J251" i="28"/>
  <c r="N250" i="28"/>
  <c r="M250" i="28"/>
  <c r="J250" i="28"/>
  <c r="M249" i="28"/>
  <c r="J249" i="28"/>
  <c r="N249" i="28" s="1"/>
  <c r="M248" i="28"/>
  <c r="J248" i="28"/>
  <c r="N248" i="28" s="1"/>
  <c r="N247" i="28"/>
  <c r="M247" i="28"/>
  <c r="J247" i="28"/>
  <c r="N246" i="28"/>
  <c r="M246" i="28"/>
  <c r="J246" i="28"/>
  <c r="M245" i="28"/>
  <c r="J245" i="28"/>
  <c r="N245" i="28" s="1"/>
  <c r="M244" i="28"/>
  <c r="J244" i="28"/>
  <c r="N244" i="28" s="1"/>
  <c r="N243" i="28"/>
  <c r="M243" i="28"/>
  <c r="J243" i="28"/>
  <c r="N242" i="28"/>
  <c r="M242" i="28"/>
  <c r="J242" i="28"/>
  <c r="M241" i="28"/>
  <c r="J241" i="28"/>
  <c r="N241" i="28" s="1"/>
  <c r="M240" i="28"/>
  <c r="J240" i="28"/>
  <c r="N240" i="28" s="1"/>
  <c r="N239" i="28"/>
  <c r="M239" i="28"/>
  <c r="J239" i="28"/>
  <c r="N238" i="28"/>
  <c r="M238" i="28"/>
  <c r="J238" i="28"/>
  <c r="M237" i="28"/>
  <c r="J237" i="28"/>
  <c r="N237" i="28" s="1"/>
  <c r="M236" i="28"/>
  <c r="J236" i="28"/>
  <c r="N236" i="28" s="1"/>
  <c r="N235" i="28"/>
  <c r="M235" i="28"/>
  <c r="J235" i="28"/>
  <c r="N234" i="28"/>
  <c r="M234" i="28"/>
  <c r="J234" i="28"/>
  <c r="M233" i="28"/>
  <c r="J233" i="28"/>
  <c r="N233" i="28" s="1"/>
  <c r="M232" i="28"/>
  <c r="J232" i="28"/>
  <c r="N232" i="28" s="1"/>
  <c r="N231" i="28"/>
  <c r="M231" i="28"/>
  <c r="J231" i="28"/>
  <c r="N230" i="28"/>
  <c r="M230" i="28"/>
  <c r="J230" i="28"/>
  <c r="M229" i="28"/>
  <c r="J229" i="28"/>
  <c r="N229" i="28" s="1"/>
  <c r="M228" i="28"/>
  <c r="J228" i="28"/>
  <c r="N228" i="28" s="1"/>
  <c r="N227" i="28"/>
  <c r="M227" i="28"/>
  <c r="J227" i="28"/>
  <c r="N226" i="28"/>
  <c r="M226" i="28"/>
  <c r="J226" i="28"/>
  <c r="M225" i="28"/>
  <c r="J225" i="28"/>
  <c r="N225" i="28" s="1"/>
  <c r="M224" i="28"/>
  <c r="J224" i="28"/>
  <c r="N224" i="28" s="1"/>
  <c r="N223" i="28"/>
  <c r="M223" i="28"/>
  <c r="J223" i="28"/>
  <c r="N222" i="28"/>
  <c r="M222" i="28"/>
  <c r="J222" i="28"/>
  <c r="M221" i="28"/>
  <c r="J221" i="28"/>
  <c r="N221" i="28" s="1"/>
  <c r="M220" i="28"/>
  <c r="J220" i="28"/>
  <c r="N220" i="28" s="1"/>
  <c r="N219" i="28"/>
  <c r="M219" i="28"/>
  <c r="J219" i="28"/>
  <c r="N218" i="28"/>
  <c r="M218" i="28"/>
  <c r="J218" i="28"/>
  <c r="M217" i="28"/>
  <c r="J217" i="28"/>
  <c r="N217" i="28" s="1"/>
  <c r="M216" i="28"/>
  <c r="J216" i="28"/>
  <c r="N216" i="28" s="1"/>
  <c r="N215" i="28"/>
  <c r="M215" i="28"/>
  <c r="J215" i="28"/>
  <c r="N214" i="28"/>
  <c r="M214" i="28"/>
  <c r="J214" i="28"/>
  <c r="M213" i="28"/>
  <c r="J213" i="28"/>
  <c r="N213" i="28" s="1"/>
  <c r="M201" i="28"/>
  <c r="J201" i="28"/>
  <c r="N201" i="28" s="1"/>
  <c r="N200" i="28"/>
  <c r="M200" i="28"/>
  <c r="J200" i="28"/>
  <c r="M199" i="28"/>
  <c r="J199" i="28"/>
  <c r="N199" i="28" s="1"/>
  <c r="M198" i="28"/>
  <c r="J198" i="28"/>
  <c r="N198" i="28" s="1"/>
  <c r="M197" i="28"/>
  <c r="J197" i="28"/>
  <c r="N197" i="28" s="1"/>
  <c r="N196" i="28"/>
  <c r="M196" i="28"/>
  <c r="J196" i="28"/>
  <c r="M195" i="28"/>
  <c r="J195" i="28"/>
  <c r="N195" i="28" s="1"/>
  <c r="M194" i="28"/>
  <c r="J194" i="28"/>
  <c r="N194" i="28" s="1"/>
  <c r="M193" i="28"/>
  <c r="J193" i="28"/>
  <c r="N193" i="28" s="1"/>
  <c r="N192" i="28"/>
  <c r="M192" i="28"/>
  <c r="J192" i="28"/>
  <c r="M191" i="28"/>
  <c r="J191" i="28"/>
  <c r="N191" i="28" s="1"/>
  <c r="M190" i="28"/>
  <c r="J190" i="28"/>
  <c r="N190" i="28" s="1"/>
  <c r="M189" i="28"/>
  <c r="J189" i="28"/>
  <c r="N189" i="28" s="1"/>
  <c r="N188" i="28"/>
  <c r="M188" i="28"/>
  <c r="J188" i="28"/>
  <c r="M187" i="28"/>
  <c r="J187" i="28"/>
  <c r="N187" i="28" s="1"/>
  <c r="M186" i="28"/>
  <c r="J186" i="28"/>
  <c r="N186" i="28" s="1"/>
  <c r="M185" i="28"/>
  <c r="J185" i="28"/>
  <c r="N185" i="28" s="1"/>
  <c r="N184" i="28"/>
  <c r="M184" i="28"/>
  <c r="J184" i="28"/>
  <c r="M183" i="28"/>
  <c r="J183" i="28"/>
  <c r="N183" i="28" s="1"/>
  <c r="M182" i="28"/>
  <c r="J182" i="28"/>
  <c r="N182" i="28" s="1"/>
  <c r="M181" i="28"/>
  <c r="J181" i="28"/>
  <c r="N181" i="28" s="1"/>
  <c r="N180" i="28"/>
  <c r="M180" i="28"/>
  <c r="J180" i="28"/>
  <c r="M179" i="28"/>
  <c r="J179" i="28"/>
  <c r="N179" i="28" s="1"/>
  <c r="M178" i="28"/>
  <c r="J178" i="28"/>
  <c r="N178" i="28" s="1"/>
  <c r="M177" i="28"/>
  <c r="J177" i="28"/>
  <c r="N177" i="28" s="1"/>
  <c r="N176" i="28"/>
  <c r="M176" i="28"/>
  <c r="J176" i="28"/>
  <c r="M175" i="28"/>
  <c r="J175" i="28"/>
  <c r="N175" i="28" s="1"/>
  <c r="M174" i="28"/>
  <c r="J174" i="28"/>
  <c r="N174" i="28" s="1"/>
  <c r="M173" i="28"/>
  <c r="J173" i="28"/>
  <c r="N173" i="28" s="1"/>
  <c r="N172" i="28"/>
  <c r="M172" i="28"/>
  <c r="J172" i="28"/>
  <c r="M171" i="28"/>
  <c r="J171" i="28"/>
  <c r="N171" i="28" s="1"/>
  <c r="M170" i="28"/>
  <c r="J170" i="28"/>
  <c r="N170" i="28" s="1"/>
  <c r="M169" i="28"/>
  <c r="J169" i="28"/>
  <c r="N169" i="28" s="1"/>
  <c r="N168" i="28"/>
  <c r="M168" i="28"/>
  <c r="J168" i="28"/>
  <c r="N167" i="28"/>
  <c r="M167" i="28"/>
  <c r="J167" i="28"/>
  <c r="M166" i="28"/>
  <c r="J166" i="28"/>
  <c r="N166" i="28" s="1"/>
  <c r="M165" i="28"/>
  <c r="J165" i="28"/>
  <c r="N165" i="28" s="1"/>
  <c r="N164" i="28"/>
  <c r="M164" i="28"/>
  <c r="J164" i="28"/>
  <c r="N163" i="28"/>
  <c r="M163" i="28"/>
  <c r="J163" i="28"/>
  <c r="M162" i="28"/>
  <c r="J162" i="28"/>
  <c r="N162" i="28" s="1"/>
  <c r="M150" i="28"/>
  <c r="J150" i="28"/>
  <c r="N150" i="28" s="1"/>
  <c r="N149" i="28"/>
  <c r="M149" i="28"/>
  <c r="J149" i="28"/>
  <c r="M148" i="28"/>
  <c r="J148" i="28"/>
  <c r="N148" i="28" s="1"/>
  <c r="M147" i="28"/>
  <c r="J147" i="28"/>
  <c r="N147" i="28" s="1"/>
  <c r="N146" i="28"/>
  <c r="M146" i="28"/>
  <c r="J146" i="28"/>
  <c r="N145" i="28"/>
  <c r="M145" i="28"/>
  <c r="J145" i="28"/>
  <c r="M144" i="28"/>
  <c r="J144" i="28"/>
  <c r="N144" i="28" s="1"/>
  <c r="M143" i="28"/>
  <c r="J143" i="28"/>
  <c r="N143" i="28" s="1"/>
  <c r="N142" i="28"/>
  <c r="M142" i="28"/>
  <c r="J142" i="28"/>
  <c r="N141" i="28"/>
  <c r="M141" i="28"/>
  <c r="J141" i="28"/>
  <c r="M140" i="28"/>
  <c r="J140" i="28"/>
  <c r="N140" i="28" s="1"/>
  <c r="M139" i="28"/>
  <c r="J139" i="28"/>
  <c r="N139" i="28" s="1"/>
  <c r="N138" i="28"/>
  <c r="M138" i="28"/>
  <c r="J138" i="28"/>
  <c r="N137" i="28"/>
  <c r="M137" i="28"/>
  <c r="J137" i="28"/>
  <c r="M136" i="28"/>
  <c r="J136" i="28"/>
  <c r="N136" i="28" s="1"/>
  <c r="M135" i="28"/>
  <c r="J135" i="28"/>
  <c r="N135" i="28" s="1"/>
  <c r="N134" i="28"/>
  <c r="M134" i="28"/>
  <c r="J134" i="28"/>
  <c r="N133" i="28"/>
  <c r="M133" i="28"/>
  <c r="J133" i="28"/>
  <c r="M132" i="28"/>
  <c r="J132" i="28"/>
  <c r="N132" i="28" s="1"/>
  <c r="M131" i="28"/>
  <c r="J131" i="28"/>
  <c r="N131" i="28" s="1"/>
  <c r="N130" i="28"/>
  <c r="M130" i="28"/>
  <c r="J130" i="28"/>
  <c r="N129" i="28"/>
  <c r="M129" i="28"/>
  <c r="J129" i="28"/>
  <c r="M128" i="28"/>
  <c r="J128" i="28"/>
  <c r="N128" i="28" s="1"/>
  <c r="M127" i="28"/>
  <c r="J127" i="28"/>
  <c r="N127" i="28" s="1"/>
  <c r="N126" i="28"/>
  <c r="M126" i="28"/>
  <c r="J126" i="28"/>
  <c r="N125" i="28"/>
  <c r="M125" i="28"/>
  <c r="J125" i="28"/>
  <c r="M124" i="28"/>
  <c r="J124" i="28"/>
  <c r="N124" i="28" s="1"/>
  <c r="M123" i="28"/>
  <c r="J123" i="28"/>
  <c r="N123" i="28" s="1"/>
  <c r="N122" i="28"/>
  <c r="M122" i="28"/>
  <c r="J122" i="28"/>
  <c r="N121" i="28"/>
  <c r="M121" i="28"/>
  <c r="J121" i="28"/>
  <c r="M120" i="28"/>
  <c r="J120" i="28"/>
  <c r="N120" i="28" s="1"/>
  <c r="M119" i="28"/>
  <c r="J119" i="28"/>
  <c r="N119" i="28" s="1"/>
  <c r="N118" i="28"/>
  <c r="M118" i="28"/>
  <c r="J118" i="28"/>
  <c r="N117" i="28"/>
  <c r="M117" i="28"/>
  <c r="J117" i="28"/>
  <c r="M116" i="28"/>
  <c r="J116" i="28"/>
  <c r="N116" i="28" s="1"/>
  <c r="M115" i="28"/>
  <c r="J115" i="28"/>
  <c r="N115" i="28" s="1"/>
  <c r="N114" i="28"/>
  <c r="M114" i="28"/>
  <c r="J114" i="28"/>
  <c r="N113" i="28"/>
  <c r="M113" i="28"/>
  <c r="J113" i="28"/>
  <c r="M112" i="28"/>
  <c r="J112" i="28"/>
  <c r="N112" i="28" s="1"/>
  <c r="M111" i="28"/>
  <c r="J111" i="28"/>
  <c r="N111" i="28" s="1"/>
  <c r="M99" i="28"/>
  <c r="J99" i="28"/>
  <c r="N99" i="28" s="1"/>
  <c r="N98" i="28"/>
  <c r="M98" i="28"/>
  <c r="J98" i="28"/>
  <c r="N97" i="28"/>
  <c r="M97" i="28"/>
  <c r="J97" i="28"/>
  <c r="M96" i="28"/>
  <c r="J96" i="28"/>
  <c r="N96" i="28" s="1"/>
  <c r="M95" i="28"/>
  <c r="J95" i="28"/>
  <c r="N95" i="28" s="1"/>
  <c r="N94" i="28"/>
  <c r="M94" i="28"/>
  <c r="J94" i="28"/>
  <c r="N93" i="28"/>
  <c r="M93" i="28"/>
  <c r="J93" i="28"/>
  <c r="M92" i="28"/>
  <c r="J92" i="28"/>
  <c r="N92" i="28" s="1"/>
  <c r="M91" i="28"/>
  <c r="J91" i="28"/>
  <c r="N91" i="28" s="1"/>
  <c r="N90" i="28"/>
  <c r="M90" i="28"/>
  <c r="J90" i="28"/>
  <c r="N89" i="28"/>
  <c r="M89" i="28"/>
  <c r="J89" i="28"/>
  <c r="M88" i="28"/>
  <c r="J88" i="28"/>
  <c r="N88" i="28" s="1"/>
  <c r="M87" i="28"/>
  <c r="J87" i="28"/>
  <c r="N87" i="28" s="1"/>
  <c r="N86" i="28"/>
  <c r="M86" i="28"/>
  <c r="J86" i="28"/>
  <c r="N85" i="28"/>
  <c r="M85" i="28"/>
  <c r="J85" i="28"/>
  <c r="M84" i="28"/>
  <c r="J84" i="28"/>
  <c r="N84" i="28" s="1"/>
  <c r="M83" i="28"/>
  <c r="J83" i="28"/>
  <c r="N83" i="28" s="1"/>
  <c r="N82" i="28"/>
  <c r="M82" i="28"/>
  <c r="J82" i="28"/>
  <c r="N81" i="28"/>
  <c r="M81" i="28"/>
  <c r="J81" i="28"/>
  <c r="M80" i="28"/>
  <c r="J80" i="28"/>
  <c r="N80" i="28" s="1"/>
  <c r="M79" i="28"/>
  <c r="J79" i="28"/>
  <c r="N79" i="28" s="1"/>
  <c r="N78" i="28"/>
  <c r="M78" i="28"/>
  <c r="J78" i="28"/>
  <c r="N77" i="28"/>
  <c r="M77" i="28"/>
  <c r="J77" i="28"/>
  <c r="M76" i="28"/>
  <c r="J76" i="28"/>
  <c r="N76" i="28" s="1"/>
  <c r="M75" i="28"/>
  <c r="J75" i="28"/>
  <c r="N75" i="28" s="1"/>
  <c r="N74" i="28"/>
  <c r="M74" i="28"/>
  <c r="J74" i="28"/>
  <c r="N73" i="28"/>
  <c r="M73" i="28"/>
  <c r="J73" i="28"/>
  <c r="M72" i="28"/>
  <c r="J72" i="28"/>
  <c r="N72" i="28" s="1"/>
  <c r="M71" i="28"/>
  <c r="J71" i="28"/>
  <c r="N71" i="28" s="1"/>
  <c r="N70" i="28"/>
  <c r="M70" i="28"/>
  <c r="J70" i="28"/>
  <c r="N69" i="28"/>
  <c r="M69" i="28"/>
  <c r="J69" i="28"/>
  <c r="M68" i="28"/>
  <c r="J68" i="28"/>
  <c r="N68" i="28" s="1"/>
  <c r="M67" i="28"/>
  <c r="J67" i="28"/>
  <c r="N67" i="28" s="1"/>
  <c r="N66" i="28"/>
  <c r="M66" i="28"/>
  <c r="J66" i="28"/>
  <c r="N65" i="28"/>
  <c r="M65" i="28"/>
  <c r="J65" i="28"/>
  <c r="M64" i="28"/>
  <c r="J64" i="28"/>
  <c r="N64" i="28" s="1"/>
  <c r="M63" i="28"/>
  <c r="J63" i="28"/>
  <c r="N63" i="28" s="1"/>
  <c r="N62" i="28"/>
  <c r="M62" i="28"/>
  <c r="J62" i="28"/>
  <c r="N61" i="28"/>
  <c r="M61" i="28"/>
  <c r="J61" i="28"/>
  <c r="M60" i="28"/>
  <c r="J60" i="28"/>
  <c r="N60" i="28" s="1"/>
  <c r="M14" i="28"/>
  <c r="N14" i="28"/>
  <c r="M15" i="28"/>
  <c r="N15" i="28"/>
  <c r="M16" i="28"/>
  <c r="N16" i="28"/>
  <c r="M17" i="28"/>
  <c r="N17" i="28"/>
  <c r="M18" i="28"/>
  <c r="N18" i="28"/>
  <c r="M19" i="28"/>
  <c r="N19" i="28"/>
  <c r="M20" i="28"/>
  <c r="N20" i="28"/>
  <c r="M21" i="28"/>
  <c r="N21" i="28"/>
  <c r="M22" i="28"/>
  <c r="N22" i="28"/>
  <c r="M23" i="28"/>
  <c r="N23" i="28"/>
  <c r="M24" i="28"/>
  <c r="N24" i="28"/>
  <c r="M25" i="28"/>
  <c r="N25" i="28"/>
  <c r="M26" i="28"/>
  <c r="N26" i="28"/>
  <c r="M27" i="28"/>
  <c r="N27" i="28"/>
  <c r="M28" i="28"/>
  <c r="N28" i="28"/>
  <c r="M29" i="28"/>
  <c r="N29" i="28"/>
  <c r="M30" i="28"/>
  <c r="N30" i="28"/>
  <c r="M31" i="28"/>
  <c r="N31" i="28"/>
  <c r="M32" i="28"/>
  <c r="N32" i="28"/>
  <c r="M33" i="28"/>
  <c r="N33" i="28"/>
  <c r="M34" i="28"/>
  <c r="N34" i="28"/>
  <c r="M35" i="28"/>
  <c r="N35" i="28"/>
  <c r="M36" i="28"/>
  <c r="N36" i="28"/>
  <c r="M37" i="28"/>
  <c r="N37" i="28"/>
  <c r="M38" i="28"/>
  <c r="N38" i="28"/>
  <c r="M39" i="28"/>
  <c r="N39" i="28"/>
  <c r="M40" i="28"/>
  <c r="N40" i="28"/>
  <c r="M41" i="28"/>
  <c r="N41" i="28"/>
  <c r="M42" i="28"/>
  <c r="N42" i="28"/>
  <c r="M43" i="28"/>
  <c r="N43" i="28"/>
  <c r="M44" i="28"/>
  <c r="N44" i="28"/>
  <c r="M45" i="28"/>
  <c r="N45" i="28"/>
  <c r="M46" i="28"/>
  <c r="N46" i="28"/>
  <c r="M47" i="28"/>
  <c r="N47" i="28"/>
  <c r="M48" i="28"/>
  <c r="N48" i="28"/>
  <c r="J48" i="28"/>
  <c r="J47" i="28"/>
  <c r="J46" i="28"/>
  <c r="J45" i="28"/>
  <c r="J44" i="28"/>
  <c r="J43" i="28"/>
  <c r="J42" i="28"/>
  <c r="J41" i="28"/>
  <c r="J40" i="28"/>
  <c r="J39" i="28"/>
  <c r="J38" i="28"/>
  <c r="J37" i="28"/>
  <c r="J36" i="28"/>
  <c r="J35" i="28"/>
  <c r="J34" i="28"/>
  <c r="J33" i="28"/>
  <c r="J32" i="28"/>
  <c r="J31" i="28"/>
  <c r="J30" i="28"/>
  <c r="J29" i="28"/>
  <c r="J28" i="28"/>
  <c r="J27" i="28"/>
  <c r="J26" i="28"/>
  <c r="J25" i="28"/>
  <c r="J24" i="28"/>
  <c r="J23" i="28"/>
  <c r="J22" i="28"/>
  <c r="J21" i="28"/>
  <c r="J20" i="28"/>
  <c r="J19" i="28"/>
  <c r="J18" i="28"/>
  <c r="J17" i="28"/>
  <c r="J16" i="28"/>
  <c r="J15" i="28"/>
  <c r="J14" i="28"/>
  <c r="J13" i="28"/>
  <c r="N13" i="28" s="1"/>
  <c r="J12" i="28"/>
  <c r="J11" i="28"/>
  <c r="J10" i="28"/>
  <c r="J9" i="28"/>
  <c r="N9" i="28" s="1"/>
  <c r="J405" i="28"/>
  <c r="J404" i="28"/>
  <c r="J403" i="28"/>
  <c r="J402" i="28"/>
  <c r="J401" i="28"/>
  <c r="J400" i="28"/>
  <c r="J399" i="28"/>
  <c r="J398" i="28"/>
  <c r="J397" i="28"/>
  <c r="J396" i="28"/>
  <c r="J395" i="28"/>
  <c r="J394" i="28"/>
  <c r="J393" i="28"/>
  <c r="J392" i="28"/>
  <c r="J391" i="28"/>
  <c r="J390" i="28"/>
  <c r="J389" i="28"/>
  <c r="J388" i="28"/>
  <c r="J387" i="28"/>
  <c r="J386" i="28"/>
  <c r="J385" i="28"/>
  <c r="J384" i="28"/>
  <c r="J383" i="28"/>
  <c r="J382" i="28"/>
  <c r="J381" i="28"/>
  <c r="J380" i="28"/>
  <c r="J379" i="28"/>
  <c r="J378" i="28"/>
  <c r="J377" i="28"/>
  <c r="J376" i="28"/>
  <c r="J375" i="28"/>
  <c r="J374" i="28"/>
  <c r="J373" i="28"/>
  <c r="J372" i="28"/>
  <c r="J371" i="28"/>
  <c r="J370" i="28"/>
  <c r="J369" i="28"/>
  <c r="J368" i="28"/>
  <c r="J367" i="28"/>
  <c r="J436" i="28"/>
  <c r="J437" i="28"/>
  <c r="J438" i="28"/>
  <c r="J439" i="28"/>
  <c r="J440" i="28"/>
  <c r="J441" i="28"/>
  <c r="J442" i="28"/>
  <c r="J443" i="28"/>
  <c r="J444" i="28"/>
  <c r="J445" i="28"/>
  <c r="J446" i="28"/>
  <c r="J447" i="28"/>
  <c r="J448" i="28"/>
  <c r="J449" i="28"/>
  <c r="J450" i="28"/>
  <c r="J451" i="28"/>
  <c r="J452" i="28"/>
  <c r="J453" i="28"/>
  <c r="J454" i="28"/>
  <c r="J455" i="28"/>
  <c r="J456" i="28"/>
  <c r="J435" i="28"/>
  <c r="J434" i="28"/>
  <c r="J433" i="28"/>
  <c r="J432" i="28"/>
  <c r="J431" i="28"/>
  <c r="J430" i="28"/>
  <c r="J429" i="28"/>
  <c r="J428" i="28"/>
  <c r="J427" i="28"/>
  <c r="J426" i="28"/>
  <c r="J425" i="28"/>
  <c r="J424" i="28"/>
  <c r="J423" i="28"/>
  <c r="J422" i="28"/>
  <c r="J421" i="28"/>
  <c r="J420" i="28"/>
  <c r="J419" i="28"/>
  <c r="J418" i="28"/>
  <c r="A418" i="28"/>
  <c r="A419" i="28" s="1"/>
  <c r="A420" i="28" s="1"/>
  <c r="A421" i="28" s="1"/>
  <c r="A422" i="28" s="1"/>
  <c r="A423" i="28" s="1"/>
  <c r="A424" i="28" s="1"/>
  <c r="A425" i="28" s="1"/>
  <c r="A426" i="28" s="1"/>
  <c r="A427" i="28" s="1"/>
  <c r="A428" i="28" s="1"/>
  <c r="A429" i="28" s="1"/>
  <c r="A430" i="28" s="1"/>
  <c r="A431" i="28" s="1"/>
  <c r="A432" i="28" s="1"/>
  <c r="A433" i="28" s="1"/>
  <c r="A434" i="28" s="1"/>
  <c r="A435" i="28" s="1"/>
  <c r="A436" i="28" s="1"/>
  <c r="A437" i="28" s="1"/>
  <c r="A438" i="28" s="1"/>
  <c r="A439" i="28" s="1"/>
  <c r="A440" i="28" s="1"/>
  <c r="A441" i="28" s="1"/>
  <c r="A442" i="28" s="1"/>
  <c r="A443" i="28" s="1"/>
  <c r="A444" i="28" s="1"/>
  <c r="A445" i="28" s="1"/>
  <c r="A446" i="28" s="1"/>
  <c r="A447" i="28" s="1"/>
  <c r="A448" i="28" s="1"/>
  <c r="A449" i="28" s="1"/>
  <c r="A450" i="28" s="1"/>
  <c r="A451" i="28" s="1"/>
  <c r="A452" i="28" s="1"/>
  <c r="A453" i="28" s="1"/>
  <c r="A454" i="28" s="1"/>
  <c r="A455" i="28" s="1"/>
  <c r="A456" i="28" s="1"/>
  <c r="A367" i="28"/>
  <c r="A368" i="28" s="1"/>
  <c r="A369" i="28" s="1"/>
  <c r="A370" i="28" s="1"/>
  <c r="A371" i="28" s="1"/>
  <c r="A372" i="28" s="1"/>
  <c r="A373" i="28" s="1"/>
  <c r="A374" i="28" s="1"/>
  <c r="A375" i="28" s="1"/>
  <c r="A376" i="28" s="1"/>
  <c r="A377" i="28" s="1"/>
  <c r="A378" i="28" s="1"/>
  <c r="A379" i="28" s="1"/>
  <c r="A380" i="28" s="1"/>
  <c r="A381" i="28" s="1"/>
  <c r="A382" i="28" s="1"/>
  <c r="A383" i="28" s="1"/>
  <c r="A384" i="28" s="1"/>
  <c r="A385" i="28" s="1"/>
  <c r="A386" i="28" s="1"/>
  <c r="A387" i="28" s="1"/>
  <c r="A388" i="28" s="1"/>
  <c r="A389" i="28" s="1"/>
  <c r="A390" i="28" s="1"/>
  <c r="A391" i="28" s="1"/>
  <c r="A392" i="28" s="1"/>
  <c r="A393" i="28" s="1"/>
  <c r="A394" i="28" s="1"/>
  <c r="A395" i="28" s="1"/>
  <c r="A396" i="28" s="1"/>
  <c r="A397" i="28" s="1"/>
  <c r="A398" i="28" s="1"/>
  <c r="A399" i="28" s="1"/>
  <c r="A400" i="28" s="1"/>
  <c r="A401" i="28" s="1"/>
  <c r="A402" i="28" s="1"/>
  <c r="A403" i="28" s="1"/>
  <c r="A404" i="28" s="1"/>
  <c r="A405" i="28" s="1"/>
  <c r="A316" i="28"/>
  <c r="A317" i="28" s="1"/>
  <c r="A318" i="28" s="1"/>
  <c r="A319" i="28" s="1"/>
  <c r="A320" i="28" s="1"/>
  <c r="A321" i="28" s="1"/>
  <c r="A322" i="28" s="1"/>
  <c r="A323" i="28" s="1"/>
  <c r="A324" i="28" s="1"/>
  <c r="A325" i="28" s="1"/>
  <c r="A326" i="28" s="1"/>
  <c r="A327" i="28" s="1"/>
  <c r="A328" i="28" s="1"/>
  <c r="A329" i="28" s="1"/>
  <c r="A330" i="28" s="1"/>
  <c r="A331" i="28" s="1"/>
  <c r="A332" i="28" s="1"/>
  <c r="A333" i="28" s="1"/>
  <c r="A334" i="28" s="1"/>
  <c r="A335" i="28" s="1"/>
  <c r="A336" i="28" s="1"/>
  <c r="A337" i="28" s="1"/>
  <c r="A338" i="28" s="1"/>
  <c r="A339" i="28" s="1"/>
  <c r="A340" i="28" s="1"/>
  <c r="A341" i="28" s="1"/>
  <c r="A342" i="28" s="1"/>
  <c r="A343" i="28" s="1"/>
  <c r="A344" i="28" s="1"/>
  <c r="A345" i="28" s="1"/>
  <c r="A346" i="28" s="1"/>
  <c r="A347" i="28" s="1"/>
  <c r="A348" i="28" s="1"/>
  <c r="A349" i="28" s="1"/>
  <c r="A350" i="28" s="1"/>
  <c r="A351" i="28" s="1"/>
  <c r="A352" i="28" s="1"/>
  <c r="A353" i="28" s="1"/>
  <c r="A354" i="28" s="1"/>
  <c r="A265" i="28"/>
  <c r="A266" i="28" s="1"/>
  <c r="A267" i="28" s="1"/>
  <c r="A268" i="28" s="1"/>
  <c r="A269" i="28" s="1"/>
  <c r="A270" i="28" s="1"/>
  <c r="A271" i="28" s="1"/>
  <c r="A272" i="28" s="1"/>
  <c r="A273" i="28" s="1"/>
  <c r="A274" i="28" s="1"/>
  <c r="A275" i="28" s="1"/>
  <c r="A276" i="28" s="1"/>
  <c r="A277" i="28" s="1"/>
  <c r="A278" i="28" s="1"/>
  <c r="A279" i="28" s="1"/>
  <c r="A280" i="28" s="1"/>
  <c r="A281" i="28" s="1"/>
  <c r="A282" i="28" s="1"/>
  <c r="A283" i="28" s="1"/>
  <c r="A284" i="28" s="1"/>
  <c r="A285" i="28" s="1"/>
  <c r="A286" i="28" s="1"/>
  <c r="A287" i="28" s="1"/>
  <c r="A288" i="28" s="1"/>
  <c r="A289" i="28" s="1"/>
  <c r="A290" i="28" s="1"/>
  <c r="A291" i="28" s="1"/>
  <c r="A292" i="28" s="1"/>
  <c r="A293" i="28" s="1"/>
  <c r="A294" i="28" s="1"/>
  <c r="A295" i="28" s="1"/>
  <c r="A296" i="28" s="1"/>
  <c r="A297" i="28" s="1"/>
  <c r="A298" i="28" s="1"/>
  <c r="A299" i="28" s="1"/>
  <c r="A300" i="28" s="1"/>
  <c r="A301" i="28" s="1"/>
  <c r="A302" i="28" s="1"/>
  <c r="A303" i="28" s="1"/>
  <c r="A214" i="28"/>
  <c r="A215" i="28" s="1"/>
  <c r="A216" i="28" s="1"/>
  <c r="A217" i="28" s="1"/>
  <c r="A218" i="28" s="1"/>
  <c r="A219" i="28" s="1"/>
  <c r="A220" i="28" s="1"/>
  <c r="A221" i="28" s="1"/>
  <c r="A222" i="28" s="1"/>
  <c r="A223" i="28" s="1"/>
  <c r="A224" i="28" s="1"/>
  <c r="A225" i="28" s="1"/>
  <c r="A226" i="28" s="1"/>
  <c r="A227" i="28" s="1"/>
  <c r="A228" i="28" s="1"/>
  <c r="A229" i="28" s="1"/>
  <c r="A230" i="28" s="1"/>
  <c r="A231" i="28" s="1"/>
  <c r="A232" i="28" s="1"/>
  <c r="A233" i="28" s="1"/>
  <c r="A234" i="28" s="1"/>
  <c r="A235" i="28" s="1"/>
  <c r="A236" i="28" s="1"/>
  <c r="A237" i="28" s="1"/>
  <c r="A238" i="28" s="1"/>
  <c r="A239" i="28" s="1"/>
  <c r="A240" i="28" s="1"/>
  <c r="A241" i="28" s="1"/>
  <c r="A242" i="28" s="1"/>
  <c r="A243" i="28" s="1"/>
  <c r="A244" i="28" s="1"/>
  <c r="A245" i="28" s="1"/>
  <c r="A246" i="28" s="1"/>
  <c r="A247" i="28" s="1"/>
  <c r="A248" i="28" s="1"/>
  <c r="A249" i="28" s="1"/>
  <c r="A250" i="28" s="1"/>
  <c r="A251" i="28" s="1"/>
  <c r="A252" i="28" s="1"/>
  <c r="A163" i="28"/>
  <c r="A164" i="28" s="1"/>
  <c r="A165" i="28" s="1"/>
  <c r="A166" i="28" s="1"/>
  <c r="A167" i="28" s="1"/>
  <c r="A168" i="28" s="1"/>
  <c r="A169" i="28" s="1"/>
  <c r="A170" i="28" s="1"/>
  <c r="A171" i="28" s="1"/>
  <c r="A172" i="28" s="1"/>
  <c r="A173" i="28" s="1"/>
  <c r="A174" i="28" s="1"/>
  <c r="A175" i="28" s="1"/>
  <c r="A176" i="28" s="1"/>
  <c r="A177" i="28" s="1"/>
  <c r="A178" i="28" s="1"/>
  <c r="A179" i="28" s="1"/>
  <c r="A180" i="28" s="1"/>
  <c r="A181" i="28" s="1"/>
  <c r="A182" i="28" s="1"/>
  <c r="A183" i="28" s="1"/>
  <c r="A184" i="28" s="1"/>
  <c r="A185" i="28" s="1"/>
  <c r="A186" i="28" s="1"/>
  <c r="A187" i="28" s="1"/>
  <c r="A188" i="28" s="1"/>
  <c r="A189" i="28" s="1"/>
  <c r="A190" i="28" s="1"/>
  <c r="A191" i="28" s="1"/>
  <c r="A192" i="28" s="1"/>
  <c r="A193" i="28" s="1"/>
  <c r="A194" i="28" s="1"/>
  <c r="A195" i="28" s="1"/>
  <c r="A196" i="28" s="1"/>
  <c r="A197" i="28" s="1"/>
  <c r="A198" i="28" s="1"/>
  <c r="A199" i="28" s="1"/>
  <c r="A200" i="28" s="1"/>
  <c r="A201" i="28" s="1"/>
  <c r="A112" i="28"/>
  <c r="A113" i="28" s="1"/>
  <c r="A114" i="28" s="1"/>
  <c r="A115" i="28" s="1"/>
  <c r="A116" i="28" s="1"/>
  <c r="A117" i="28" s="1"/>
  <c r="A118" i="28" s="1"/>
  <c r="A119" i="28" s="1"/>
  <c r="A120" i="28" s="1"/>
  <c r="A121" i="28" s="1"/>
  <c r="A122" i="28" s="1"/>
  <c r="A123" i="28" s="1"/>
  <c r="A124" i="28" s="1"/>
  <c r="A125" i="28" s="1"/>
  <c r="A126" i="28" s="1"/>
  <c r="A127" i="28" s="1"/>
  <c r="A128" i="28" s="1"/>
  <c r="A129" i="28" s="1"/>
  <c r="A130" i="28" s="1"/>
  <c r="A131" i="28" s="1"/>
  <c r="A132" i="28" s="1"/>
  <c r="A133" i="28" s="1"/>
  <c r="A134" i="28" s="1"/>
  <c r="A135" i="28" s="1"/>
  <c r="A136" i="28" s="1"/>
  <c r="A137" i="28" s="1"/>
  <c r="A138" i="28" s="1"/>
  <c r="A139" i="28" s="1"/>
  <c r="A140" i="28" s="1"/>
  <c r="A141" i="28" s="1"/>
  <c r="A142" i="28" s="1"/>
  <c r="A143" i="28" s="1"/>
  <c r="A144" i="28" s="1"/>
  <c r="A145" i="28" s="1"/>
  <c r="A146" i="28" s="1"/>
  <c r="A147" i="28" s="1"/>
  <c r="A148" i="28" s="1"/>
  <c r="A149" i="28" s="1"/>
  <c r="A150" i="28" s="1"/>
  <c r="A61" i="28"/>
  <c r="A62" i="28" s="1"/>
  <c r="A63" i="28" s="1"/>
  <c r="A64" i="28" s="1"/>
  <c r="A65" i="28" s="1"/>
  <c r="A66" i="28" s="1"/>
  <c r="A67" i="28" s="1"/>
  <c r="A68" i="28" s="1"/>
  <c r="A69" i="28" s="1"/>
  <c r="A70" i="28" s="1"/>
  <c r="A71" i="28" s="1"/>
  <c r="A72" i="28" s="1"/>
  <c r="A73" i="28" s="1"/>
  <c r="A74" i="28" s="1"/>
  <c r="A75" i="28" s="1"/>
  <c r="A76" i="28" s="1"/>
  <c r="A77" i="28" s="1"/>
  <c r="A78" i="28" s="1"/>
  <c r="A79" i="28" s="1"/>
  <c r="A80" i="28" s="1"/>
  <c r="A81" i="28" s="1"/>
  <c r="A82" i="28" s="1"/>
  <c r="A83" i="28" s="1"/>
  <c r="A84" i="28" s="1"/>
  <c r="A85" i="28" s="1"/>
  <c r="A86" i="28" s="1"/>
  <c r="A87" i="28" s="1"/>
  <c r="A88" i="28" s="1"/>
  <c r="A89" i="28" s="1"/>
  <c r="A90" i="28" s="1"/>
  <c r="A91" i="28" s="1"/>
  <c r="A92" i="28" s="1"/>
  <c r="A93" i="28" s="1"/>
  <c r="A94" i="28" s="1"/>
  <c r="A95" i="28" s="1"/>
  <c r="A96" i="28" s="1"/>
  <c r="A97" i="28" s="1"/>
  <c r="A98" i="28" s="1"/>
  <c r="A99" i="28" s="1"/>
  <c r="A10" i="28"/>
  <c r="A11" i="28" s="1"/>
  <c r="A12" i="28" s="1"/>
  <c r="A13" i="28" s="1"/>
  <c r="A14" i="28" s="1"/>
  <c r="A15" i="28" s="1"/>
  <c r="A16" i="28" s="1"/>
  <c r="A17" i="28" s="1"/>
  <c r="A18" i="28" s="1"/>
  <c r="A19" i="28" s="1"/>
  <c r="A20" i="28" s="1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1" i="28" s="1"/>
  <c r="A32" i="28" s="1"/>
  <c r="A33" i="28" s="1"/>
  <c r="A34" i="28" s="1"/>
  <c r="A35" i="28" s="1"/>
  <c r="A36" i="28" s="1"/>
  <c r="A37" i="28" s="1"/>
  <c r="A38" i="28" s="1"/>
  <c r="A39" i="28" s="1"/>
  <c r="A40" i="28" s="1"/>
  <c r="A41" i="28" s="1"/>
  <c r="A42" i="28" s="1"/>
  <c r="A43" i="28" s="1"/>
  <c r="A44" i="28" s="1"/>
  <c r="A45" i="28" s="1"/>
  <c r="A46" i="28" s="1"/>
  <c r="A47" i="28" s="1"/>
  <c r="A48" i="28" s="1"/>
  <c r="M10" i="28"/>
  <c r="M11" i="28"/>
  <c r="M12" i="28"/>
  <c r="M13" i="28"/>
  <c r="N10" i="28"/>
  <c r="N11" i="28"/>
  <c r="N12" i="28"/>
  <c r="B130" i="27"/>
  <c r="B131" i="27"/>
  <c r="B132" i="27"/>
  <c r="B133" i="27"/>
  <c r="B134" i="27"/>
  <c r="B135" i="27"/>
  <c r="B136" i="27"/>
  <c r="B137" i="27"/>
  <c r="B138" i="27"/>
  <c r="B129" i="27"/>
  <c r="B100" i="27"/>
  <c r="B101" i="27"/>
  <c r="B102" i="27"/>
  <c r="B103" i="27"/>
  <c r="B104" i="27"/>
  <c r="B105" i="27"/>
  <c r="B106" i="27"/>
  <c r="B107" i="27"/>
  <c r="B108" i="27"/>
  <c r="B99" i="27"/>
  <c r="B70" i="27"/>
  <c r="B71" i="27"/>
  <c r="B72" i="27"/>
  <c r="B73" i="27"/>
  <c r="B74" i="27"/>
  <c r="B75" i="27"/>
  <c r="B76" i="27"/>
  <c r="B77" i="27"/>
  <c r="B78" i="27"/>
  <c r="B69" i="27"/>
  <c r="B40" i="27"/>
  <c r="B41" i="27"/>
  <c r="B42" i="27"/>
  <c r="B43" i="27"/>
  <c r="B44" i="27"/>
  <c r="B45" i="27"/>
  <c r="B46" i="27"/>
  <c r="B47" i="27"/>
  <c r="B48" i="27"/>
  <c r="B39" i="27"/>
  <c r="B10" i="27"/>
  <c r="B11" i="27"/>
  <c r="B12" i="27"/>
  <c r="B13" i="27"/>
  <c r="B14" i="27"/>
  <c r="B15" i="27"/>
  <c r="B16" i="27"/>
  <c r="B17" i="27"/>
  <c r="B18" i="27"/>
  <c r="B9" i="27"/>
  <c r="B126" i="25"/>
  <c r="B127" i="25"/>
  <c r="B128" i="25"/>
  <c r="B129" i="25"/>
  <c r="B130" i="25"/>
  <c r="B131" i="25"/>
  <c r="B132" i="25"/>
  <c r="B133" i="25"/>
  <c r="B134" i="25"/>
  <c r="B125" i="25"/>
  <c r="B97" i="25"/>
  <c r="B98" i="25"/>
  <c r="B99" i="25"/>
  <c r="B100" i="25"/>
  <c r="B101" i="25"/>
  <c r="B102" i="25"/>
  <c r="B103" i="25"/>
  <c r="B104" i="25"/>
  <c r="B105" i="25"/>
  <c r="B96" i="25"/>
  <c r="B68" i="25"/>
  <c r="B69" i="25"/>
  <c r="B70" i="25"/>
  <c r="B71" i="25"/>
  <c r="B72" i="25"/>
  <c r="B73" i="25"/>
  <c r="B74" i="25"/>
  <c r="B75" i="25"/>
  <c r="B76" i="25"/>
  <c r="B67" i="25"/>
  <c r="B39" i="25"/>
  <c r="B40" i="25"/>
  <c r="B41" i="25"/>
  <c r="B42" i="25"/>
  <c r="B43" i="25"/>
  <c r="B44" i="25"/>
  <c r="B45" i="25"/>
  <c r="B46" i="25"/>
  <c r="B47" i="25"/>
  <c r="B38" i="25"/>
  <c r="B10" i="25"/>
  <c r="B11" i="25"/>
  <c r="B12" i="25"/>
  <c r="B13" i="25"/>
  <c r="B14" i="25"/>
  <c r="B15" i="25"/>
  <c r="B16" i="25"/>
  <c r="B17" i="25"/>
  <c r="B18" i="25"/>
  <c r="B9" i="25"/>
  <c r="B126" i="24"/>
  <c r="B127" i="24"/>
  <c r="B128" i="24"/>
  <c r="B129" i="24"/>
  <c r="B130" i="24"/>
  <c r="B131" i="24"/>
  <c r="B132" i="24"/>
  <c r="B133" i="24"/>
  <c r="B134" i="24"/>
  <c r="B125" i="24"/>
  <c r="B97" i="24"/>
  <c r="B98" i="24"/>
  <c r="B99" i="24"/>
  <c r="B100" i="24"/>
  <c r="B101" i="24"/>
  <c r="B102" i="24"/>
  <c r="B103" i="24"/>
  <c r="B104" i="24"/>
  <c r="B105" i="24"/>
  <c r="B96" i="24"/>
  <c r="B68" i="24"/>
  <c r="B69" i="24"/>
  <c r="B70" i="24"/>
  <c r="B71" i="24"/>
  <c r="B72" i="24"/>
  <c r="B73" i="24"/>
  <c r="B74" i="24"/>
  <c r="B75" i="24"/>
  <c r="B76" i="24"/>
  <c r="B67" i="24"/>
  <c r="B39" i="24"/>
  <c r="B40" i="24"/>
  <c r="B41" i="24"/>
  <c r="B42" i="24"/>
  <c r="B43" i="24"/>
  <c r="B44" i="24"/>
  <c r="B45" i="24"/>
  <c r="B46" i="24"/>
  <c r="B47" i="24"/>
  <c r="B38" i="24"/>
  <c r="B10" i="24"/>
  <c r="B11" i="24"/>
  <c r="B12" i="24"/>
  <c r="B13" i="24"/>
  <c r="B14" i="24"/>
  <c r="B15" i="24"/>
  <c r="B16" i="24"/>
  <c r="B17" i="24"/>
  <c r="B18" i="24"/>
  <c r="B9" i="24"/>
  <c r="B126" i="22"/>
  <c r="B127" i="22"/>
  <c r="B128" i="22"/>
  <c r="B129" i="22"/>
  <c r="B130" i="22"/>
  <c r="B131" i="22"/>
  <c r="B132" i="22"/>
  <c r="B133" i="22"/>
  <c r="B134" i="22"/>
  <c r="B125" i="22"/>
  <c r="B97" i="22"/>
  <c r="B98" i="22"/>
  <c r="B99" i="22"/>
  <c r="B100" i="22"/>
  <c r="B101" i="22"/>
  <c r="B102" i="22"/>
  <c r="B103" i="22"/>
  <c r="B104" i="22"/>
  <c r="B105" i="22"/>
  <c r="B96" i="22"/>
  <c r="B68" i="22"/>
  <c r="B69" i="22"/>
  <c r="B70" i="22"/>
  <c r="B71" i="22"/>
  <c r="B72" i="22"/>
  <c r="B73" i="22"/>
  <c r="B74" i="22"/>
  <c r="B75" i="22"/>
  <c r="B76" i="22"/>
  <c r="B67" i="22"/>
  <c r="B39" i="22"/>
  <c r="B40" i="22"/>
  <c r="B41" i="22"/>
  <c r="B42" i="22"/>
  <c r="B43" i="22"/>
  <c r="B44" i="22"/>
  <c r="B45" i="22"/>
  <c r="B46" i="22"/>
  <c r="B47" i="22"/>
  <c r="B38" i="22"/>
  <c r="B10" i="22"/>
  <c r="B11" i="22"/>
  <c r="B12" i="22"/>
  <c r="B13" i="22"/>
  <c r="B14" i="22"/>
  <c r="B15" i="22"/>
  <c r="B16" i="22"/>
  <c r="B17" i="22"/>
  <c r="B18" i="22"/>
  <c r="B9" i="22"/>
  <c r="A134" i="18"/>
  <c r="A135" i="18" s="1"/>
  <c r="A136" i="18" s="1"/>
  <c r="A137" i="18" s="1"/>
  <c r="A138" i="18" s="1"/>
  <c r="A139" i="18" s="1"/>
  <c r="A140" i="18" s="1"/>
  <c r="A141" i="18" s="1"/>
  <c r="A133" i="18"/>
  <c r="A102" i="18"/>
  <c r="A103" i="18" s="1"/>
  <c r="A104" i="18" s="1"/>
  <c r="A105" i="18" s="1"/>
  <c r="A106" i="18" s="1"/>
  <c r="A107" i="18" s="1"/>
  <c r="A108" i="18" s="1"/>
  <c r="A109" i="18" s="1"/>
  <c r="A110" i="18" s="1"/>
  <c r="A71" i="18"/>
  <c r="A72" i="18" s="1"/>
  <c r="A73" i="18" s="1"/>
  <c r="A74" i="18" s="1"/>
  <c r="A75" i="18" s="1"/>
  <c r="A76" i="18" s="1"/>
  <c r="A77" i="18" s="1"/>
  <c r="A78" i="18" s="1"/>
  <c r="A79" i="18" s="1"/>
  <c r="A40" i="18"/>
  <c r="A41" i="18" s="1"/>
  <c r="A42" i="18" s="1"/>
  <c r="A43" i="18" s="1"/>
  <c r="A44" i="18" s="1"/>
  <c r="A45" i="18" s="1"/>
  <c r="A46" i="18" s="1"/>
  <c r="A47" i="18" s="1"/>
  <c r="A48" i="18" s="1"/>
  <c r="A130" i="27"/>
  <c r="A131" i="27" s="1"/>
  <c r="A132" i="27" s="1"/>
  <c r="A133" i="27" s="1"/>
  <c r="A134" i="27" s="1"/>
  <c r="A135" i="27" s="1"/>
  <c r="A136" i="27" s="1"/>
  <c r="A137" i="27" s="1"/>
  <c r="A138" i="27" s="1"/>
  <c r="A100" i="27"/>
  <c r="A101" i="27" s="1"/>
  <c r="A102" i="27" s="1"/>
  <c r="A103" i="27" s="1"/>
  <c r="A104" i="27" s="1"/>
  <c r="A105" i="27" s="1"/>
  <c r="A106" i="27" s="1"/>
  <c r="A107" i="27" s="1"/>
  <c r="A108" i="27" s="1"/>
  <c r="A70" i="27"/>
  <c r="A71" i="27" s="1"/>
  <c r="A72" i="27" s="1"/>
  <c r="A73" i="27" s="1"/>
  <c r="A74" i="27" s="1"/>
  <c r="A75" i="27" s="1"/>
  <c r="A76" i="27" s="1"/>
  <c r="A77" i="27" s="1"/>
  <c r="A78" i="27" s="1"/>
  <c r="A40" i="27"/>
  <c r="A41" i="27" s="1"/>
  <c r="A42" i="27" s="1"/>
  <c r="A43" i="27" s="1"/>
  <c r="A44" i="27" s="1"/>
  <c r="A45" i="27" s="1"/>
  <c r="A46" i="27" s="1"/>
  <c r="A47" i="27" s="1"/>
  <c r="A48" i="27" s="1"/>
  <c r="A10" i="27"/>
  <c r="A11" i="27" s="1"/>
  <c r="A12" i="27" s="1"/>
  <c r="A13" i="27" s="1"/>
  <c r="A14" i="27" s="1"/>
  <c r="A15" i="27" s="1"/>
  <c r="A16" i="27" s="1"/>
  <c r="A17" i="27" s="1"/>
  <c r="A18" i="27" s="1"/>
  <c r="A126" i="25"/>
  <c r="A127" i="25" s="1"/>
  <c r="A128" i="25" s="1"/>
  <c r="A129" i="25" s="1"/>
  <c r="A130" i="25" s="1"/>
  <c r="A131" i="25" s="1"/>
  <c r="A132" i="25" s="1"/>
  <c r="A133" i="25" s="1"/>
  <c r="A134" i="25" s="1"/>
  <c r="A68" i="25"/>
  <c r="A69" i="25" s="1"/>
  <c r="A70" i="25" s="1"/>
  <c r="A71" i="25" s="1"/>
  <c r="A72" i="25" s="1"/>
  <c r="A73" i="25" s="1"/>
  <c r="A74" i="25" s="1"/>
  <c r="A75" i="25" s="1"/>
  <c r="A76" i="25" s="1"/>
  <c r="A97" i="25"/>
  <c r="A98" i="25" s="1"/>
  <c r="A99" i="25" s="1"/>
  <c r="A100" i="25" s="1"/>
  <c r="A101" i="25" s="1"/>
  <c r="A102" i="25" s="1"/>
  <c r="A103" i="25" s="1"/>
  <c r="A104" i="25" s="1"/>
  <c r="A105" i="25" s="1"/>
  <c r="A142" i="3"/>
  <c r="A143" i="3" s="1"/>
  <c r="A144" i="3" s="1"/>
  <c r="A145" i="3" s="1"/>
  <c r="A146" i="3" s="1"/>
  <c r="A147" i="3" s="1"/>
  <c r="A148" i="3" s="1"/>
  <c r="A149" i="3" s="1"/>
  <c r="A150" i="3" s="1"/>
  <c r="A109" i="3"/>
  <c r="A110" i="3" s="1"/>
  <c r="A111" i="3" s="1"/>
  <c r="A112" i="3" s="1"/>
  <c r="A113" i="3" s="1"/>
  <c r="A114" i="3" s="1"/>
  <c r="A115" i="3" s="1"/>
  <c r="A116" i="3" s="1"/>
  <c r="A117" i="3" s="1"/>
  <c r="A76" i="3"/>
  <c r="A77" i="3" s="1"/>
  <c r="A78" i="3" s="1"/>
  <c r="A79" i="3" s="1"/>
  <c r="A80" i="3" s="1"/>
  <c r="A81" i="3" s="1"/>
  <c r="A82" i="3" s="1"/>
  <c r="A83" i="3" s="1"/>
  <c r="A84" i="3" s="1"/>
  <c r="A126" i="24"/>
  <c r="A127" i="24" s="1"/>
  <c r="A128" i="24" s="1"/>
  <c r="A129" i="24" s="1"/>
  <c r="A130" i="24" s="1"/>
  <c r="A131" i="24" s="1"/>
  <c r="A132" i="24" s="1"/>
  <c r="A133" i="24" s="1"/>
  <c r="A134" i="24" s="1"/>
  <c r="A97" i="24"/>
  <c r="A98" i="24" s="1"/>
  <c r="A99" i="24" s="1"/>
  <c r="A100" i="24" s="1"/>
  <c r="A101" i="24" s="1"/>
  <c r="A102" i="24" s="1"/>
  <c r="A103" i="24" s="1"/>
  <c r="A104" i="24" s="1"/>
  <c r="A105" i="24" s="1"/>
  <c r="A142" i="2"/>
  <c r="A143" i="2" s="1"/>
  <c r="A144" i="2" s="1"/>
  <c r="A145" i="2" s="1"/>
  <c r="A146" i="2" s="1"/>
  <c r="A147" i="2" s="1"/>
  <c r="A148" i="2" s="1"/>
  <c r="A149" i="2" s="1"/>
  <c r="A150" i="2" s="1"/>
  <c r="A109" i="2"/>
  <c r="A110" i="2" s="1"/>
  <c r="A111" i="2" s="1"/>
  <c r="A112" i="2" s="1"/>
  <c r="A113" i="2" s="1"/>
  <c r="A114" i="2" s="1"/>
  <c r="A115" i="2" s="1"/>
  <c r="A116" i="2" s="1"/>
  <c r="A117" i="2" s="1"/>
  <c r="A126" i="22"/>
  <c r="A127" i="22" s="1"/>
  <c r="A128" i="22" s="1"/>
  <c r="A129" i="22" s="1"/>
  <c r="A130" i="22" s="1"/>
  <c r="A131" i="22" s="1"/>
  <c r="A132" i="22" s="1"/>
  <c r="A133" i="22" s="1"/>
  <c r="A134" i="22" s="1"/>
  <c r="A97" i="22"/>
  <c r="A98" i="22" s="1"/>
  <c r="A99" i="22" s="1"/>
  <c r="A100" i="22" s="1"/>
  <c r="A101" i="22" s="1"/>
  <c r="A102" i="22" s="1"/>
  <c r="A103" i="22" s="1"/>
  <c r="A104" i="22" s="1"/>
  <c r="A105" i="22" s="1"/>
  <c r="A142" i="16"/>
  <c r="A143" i="16" s="1"/>
  <c r="A144" i="16" s="1"/>
  <c r="A145" i="16" s="1"/>
  <c r="A146" i="16" s="1"/>
  <c r="A147" i="16" s="1"/>
  <c r="A148" i="16" s="1"/>
  <c r="A149" i="16" s="1"/>
  <c r="A150" i="16" s="1"/>
  <c r="A109" i="16"/>
  <c r="A110" i="16" s="1"/>
  <c r="A111" i="16" s="1"/>
  <c r="A112" i="16" s="1"/>
  <c r="A113" i="16" s="1"/>
  <c r="A114" i="16" s="1"/>
  <c r="A115" i="16" s="1"/>
  <c r="A116" i="16" s="1"/>
  <c r="A117" i="16" s="1"/>
  <c r="A125" i="4"/>
  <c r="A126" i="4" s="1"/>
  <c r="A127" i="4" s="1"/>
  <c r="A128" i="4" s="1"/>
  <c r="A129" i="4" s="1"/>
  <c r="A130" i="4" s="1"/>
  <c r="A131" i="4" s="1"/>
  <c r="A132" i="4" s="1"/>
  <c r="A133" i="4" s="1"/>
  <c r="A96" i="4"/>
  <c r="A97" i="4" s="1"/>
  <c r="A98" i="4" s="1"/>
  <c r="A99" i="4" s="1"/>
  <c r="A100" i="4" s="1"/>
  <c r="A101" i="4" s="1"/>
  <c r="A102" i="4" s="1"/>
  <c r="A103" i="4" s="1"/>
  <c r="A104" i="4" s="1"/>
  <c r="A122" i="9"/>
  <c r="A123" i="9" s="1"/>
  <c r="A124" i="9" s="1"/>
  <c r="A125" i="9" s="1"/>
  <c r="A126" i="9" s="1"/>
  <c r="A127" i="9" s="1"/>
  <c r="A128" i="9" s="1"/>
  <c r="A129" i="9" s="1"/>
  <c r="A130" i="9" s="1"/>
  <c r="A94" i="9"/>
  <c r="A95" i="9" s="1"/>
  <c r="A96" i="9" s="1"/>
  <c r="A97" i="9" s="1"/>
  <c r="A98" i="9" s="1"/>
  <c r="A99" i="9" s="1"/>
  <c r="A100" i="9" s="1"/>
  <c r="A101" i="9" s="1"/>
  <c r="A102" i="9" s="1"/>
  <c r="A121" i="8"/>
  <c r="A122" i="8" s="1"/>
  <c r="A123" i="8" s="1"/>
  <c r="A124" i="8" s="1"/>
  <c r="A125" i="8" s="1"/>
  <c r="A126" i="8" s="1"/>
  <c r="A127" i="8" s="1"/>
  <c r="A128" i="8" s="1"/>
  <c r="A129" i="8" s="1"/>
  <c r="A93" i="8"/>
  <c r="A94" i="8" s="1"/>
  <c r="A95" i="8" s="1"/>
  <c r="A96" i="8" s="1"/>
  <c r="A97" i="8" s="1"/>
  <c r="A98" i="8" s="1"/>
  <c r="A99" i="8" s="1"/>
  <c r="A100" i="8" s="1"/>
  <c r="A101" i="8" s="1"/>
  <c r="A121" i="10"/>
  <c r="A122" i="10" s="1"/>
  <c r="A123" i="10" s="1"/>
  <c r="A124" i="10" s="1"/>
  <c r="A125" i="10" s="1"/>
  <c r="A126" i="10" s="1"/>
  <c r="A127" i="10" s="1"/>
  <c r="A128" i="10" s="1"/>
  <c r="A129" i="10" s="1"/>
  <c r="A93" i="10"/>
  <c r="A94" i="10" s="1"/>
  <c r="A95" i="10" s="1"/>
  <c r="A96" i="10" s="1"/>
  <c r="A97" i="10" s="1"/>
  <c r="A98" i="10" s="1"/>
  <c r="A99" i="10" s="1"/>
  <c r="A100" i="10" s="1"/>
  <c r="A101" i="10" s="1"/>
  <c r="A117" i="21"/>
  <c r="A118" i="21" s="1"/>
  <c r="A119" i="21" s="1"/>
  <c r="A120" i="21" s="1"/>
  <c r="A121" i="21" s="1"/>
  <c r="A122" i="21" s="1"/>
  <c r="A123" i="21" s="1"/>
  <c r="A124" i="21" s="1"/>
  <c r="A125" i="21" s="1"/>
  <c r="A90" i="21"/>
  <c r="A91" i="21" s="1"/>
  <c r="A92" i="21" s="1"/>
  <c r="A93" i="21" s="1"/>
  <c r="A94" i="21" s="1"/>
  <c r="A95" i="21" s="1"/>
  <c r="A96" i="21" s="1"/>
  <c r="A97" i="21" s="1"/>
  <c r="A98" i="21" s="1"/>
  <c r="A68" i="24"/>
  <c r="A69" i="24" s="1"/>
  <c r="A70" i="24" s="1"/>
  <c r="A71" i="24" s="1"/>
  <c r="A72" i="24" s="1"/>
  <c r="A73" i="24" s="1"/>
  <c r="A74" i="24" s="1"/>
  <c r="A75" i="24" s="1"/>
  <c r="A76" i="24" s="1"/>
  <c r="A76" i="2"/>
  <c r="A77" i="2" s="1"/>
  <c r="A78" i="2" s="1"/>
  <c r="A79" i="2" s="1"/>
  <c r="A80" i="2" s="1"/>
  <c r="A81" i="2" s="1"/>
  <c r="A82" i="2" s="1"/>
  <c r="A83" i="2" s="1"/>
  <c r="A84" i="2" s="1"/>
  <c r="A68" i="22"/>
  <c r="A69" i="22" s="1"/>
  <c r="A70" i="22" s="1"/>
  <c r="A71" i="22" s="1"/>
  <c r="A72" i="22" s="1"/>
  <c r="A73" i="22" s="1"/>
  <c r="A74" i="22" s="1"/>
  <c r="A75" i="22" s="1"/>
  <c r="A76" i="22" s="1"/>
  <c r="A39" i="22"/>
  <c r="A40" i="22" s="1"/>
  <c r="A41" i="22" s="1"/>
  <c r="A42" i="22" s="1"/>
  <c r="A43" i="22" s="1"/>
  <c r="A44" i="22" s="1"/>
  <c r="A45" i="22" s="1"/>
  <c r="A46" i="22" s="1"/>
  <c r="A47" i="22" s="1"/>
  <c r="A76" i="16"/>
  <c r="A77" i="16" s="1"/>
  <c r="A78" i="16" s="1"/>
  <c r="A79" i="16" s="1"/>
  <c r="A80" i="16" s="1"/>
  <c r="A81" i="16" s="1"/>
  <c r="A82" i="16" s="1"/>
  <c r="A83" i="16" s="1"/>
  <c r="A84" i="16" s="1"/>
  <c r="A43" i="16"/>
  <c r="A44" i="16" s="1"/>
  <c r="A45" i="16" s="1"/>
  <c r="A46" i="16" s="1"/>
  <c r="A47" i="16" s="1"/>
  <c r="A48" i="16" s="1"/>
  <c r="A49" i="16" s="1"/>
  <c r="A50" i="16" s="1"/>
  <c r="A51" i="16" s="1"/>
  <c r="A67" i="4"/>
  <c r="A68" i="4" s="1"/>
  <c r="A69" i="4" s="1"/>
  <c r="A70" i="4" s="1"/>
  <c r="A71" i="4" s="1"/>
  <c r="A72" i="4" s="1"/>
  <c r="A73" i="4" s="1"/>
  <c r="A74" i="4" s="1"/>
  <c r="A75" i="4" s="1"/>
  <c r="A38" i="4"/>
  <c r="A39" i="4" s="1"/>
  <c r="A40" i="4" s="1"/>
  <c r="A41" i="4" s="1"/>
  <c r="A42" i="4" s="1"/>
  <c r="A43" i="4" s="1"/>
  <c r="A44" i="4" s="1"/>
  <c r="A45" i="4" s="1"/>
  <c r="A46" i="4" s="1"/>
  <c r="A66" i="9"/>
  <c r="A67" i="9" s="1"/>
  <c r="A68" i="9" s="1"/>
  <c r="A69" i="9" s="1"/>
  <c r="A70" i="9" s="1"/>
  <c r="A71" i="9" s="1"/>
  <c r="A72" i="9" s="1"/>
  <c r="A73" i="9" s="1"/>
  <c r="A74" i="9" s="1"/>
  <c r="A65" i="8"/>
  <c r="A66" i="8" s="1"/>
  <c r="A67" i="8" s="1"/>
  <c r="A68" i="8" s="1"/>
  <c r="A69" i="8" s="1"/>
  <c r="A70" i="8" s="1"/>
  <c r="A71" i="8" s="1"/>
  <c r="A72" i="8" s="1"/>
  <c r="A73" i="8" s="1"/>
  <c r="A37" i="8"/>
  <c r="A38" i="8" s="1"/>
  <c r="A39" i="8" s="1"/>
  <c r="A40" i="8" s="1"/>
  <c r="A41" i="8" s="1"/>
  <c r="A42" i="8" s="1"/>
  <c r="A43" i="8" s="1"/>
  <c r="A44" i="8" s="1"/>
  <c r="A45" i="8" s="1"/>
  <c r="A65" i="10"/>
  <c r="A66" i="10" s="1"/>
  <c r="A67" i="10" s="1"/>
  <c r="A68" i="10" s="1"/>
  <c r="A69" i="10" s="1"/>
  <c r="A70" i="10" s="1"/>
  <c r="A71" i="10" s="1"/>
  <c r="A72" i="10" s="1"/>
  <c r="A73" i="10" s="1"/>
  <c r="A37" i="10"/>
  <c r="A38" i="10" s="1"/>
  <c r="A39" i="10" s="1"/>
  <c r="A40" i="10" s="1"/>
  <c r="A41" i="10" s="1"/>
  <c r="A42" i="10" s="1"/>
  <c r="A43" i="10" s="1"/>
  <c r="A44" i="10" s="1"/>
  <c r="A45" i="10" s="1"/>
  <c r="A63" i="21"/>
  <c r="A64" i="21" s="1"/>
  <c r="A65" i="21" s="1"/>
  <c r="A66" i="21" s="1"/>
  <c r="A67" i="21" s="1"/>
  <c r="A68" i="21" s="1"/>
  <c r="A69" i="21" s="1"/>
  <c r="A70" i="21" s="1"/>
  <c r="A71" i="21" s="1"/>
  <c r="A36" i="21"/>
  <c r="A37" i="21" s="1"/>
  <c r="A38" i="21" s="1"/>
  <c r="A39" i="21" s="1"/>
  <c r="A40" i="21" s="1"/>
  <c r="A41" i="21" s="1"/>
  <c r="A42" i="21" s="1"/>
  <c r="A43" i="21" s="1"/>
  <c r="A44" i="21" s="1"/>
  <c r="A39" i="25"/>
  <c r="A40" i="25" s="1"/>
  <c r="A41" i="25" s="1"/>
  <c r="A42" i="25" s="1"/>
  <c r="A43" i="25" s="1"/>
  <c r="A44" i="25" s="1"/>
  <c r="A45" i="25" s="1"/>
  <c r="A46" i="25" s="1"/>
  <c r="A47" i="25" s="1"/>
  <c r="A9" i="8"/>
  <c r="A10" i="8" s="1"/>
  <c r="A11" i="8" s="1"/>
  <c r="A12" i="8" s="1"/>
  <c r="A13" i="8" s="1"/>
  <c r="A14" i="8" s="1"/>
  <c r="A15" i="8" s="1"/>
  <c r="A16" i="8" s="1"/>
  <c r="A43" i="3"/>
  <c r="A44" i="3" s="1"/>
  <c r="A45" i="3" s="1"/>
  <c r="A46" i="3" s="1"/>
  <c r="A47" i="3" s="1"/>
  <c r="A48" i="3" s="1"/>
  <c r="A49" i="3" s="1"/>
  <c r="A50" i="3" s="1"/>
  <c r="A51" i="3" s="1"/>
  <c r="A39" i="24"/>
  <c r="A40" i="24" s="1"/>
  <c r="A41" i="24" s="1"/>
  <c r="A42" i="24" s="1"/>
  <c r="A43" i="24" s="1"/>
  <c r="A44" i="24" s="1"/>
  <c r="A45" i="24" s="1"/>
  <c r="A46" i="24" s="1"/>
  <c r="A47" i="24" s="1"/>
  <c r="A43" i="2"/>
  <c r="A44" i="2" s="1"/>
  <c r="A45" i="2" s="1"/>
  <c r="A46" i="2" s="1"/>
  <c r="A47" i="2" s="1"/>
  <c r="A48" i="2" s="1"/>
  <c r="A49" i="2" s="1"/>
  <c r="A50" i="2" s="1"/>
  <c r="A51" i="2" s="1"/>
  <c r="K417" i="28" l="1"/>
  <c r="K315" i="28"/>
  <c r="N264" i="28"/>
  <c r="A17" i="8"/>
  <c r="A38" i="9"/>
  <c r="A39" i="9" s="1"/>
  <c r="A40" i="9" s="1"/>
  <c r="A41" i="9" s="1"/>
  <c r="A42" i="9" s="1"/>
  <c r="A43" i="9" s="1"/>
  <c r="A44" i="9" s="1"/>
  <c r="A45" i="9" s="1"/>
  <c r="A46" i="9" s="1"/>
  <c r="A9" i="21"/>
  <c r="A10" i="21" s="1"/>
  <c r="A11" i="21" s="1"/>
  <c r="A12" i="21" s="1"/>
  <c r="A13" i="21" s="1"/>
  <c r="A14" i="21" s="1"/>
  <c r="A15" i="21" s="1"/>
  <c r="A16" i="21" s="1"/>
  <c r="A17" i="21" s="1"/>
  <c r="A9" i="18"/>
  <c r="A10" i="18" s="1"/>
  <c r="A11" i="18" s="1"/>
  <c r="A12" i="18" s="1"/>
  <c r="A13" i="18" s="1"/>
  <c r="A14" i="18" s="1"/>
  <c r="A15" i="18" s="1"/>
  <c r="A16" i="18" s="1"/>
  <c r="A17" i="18" s="1"/>
  <c r="A10" i="16" l="1"/>
  <c r="A11" i="16" s="1"/>
  <c r="A12" i="16" s="1"/>
  <c r="A13" i="16" s="1"/>
  <c r="A14" i="16" s="1"/>
  <c r="A15" i="16" s="1"/>
  <c r="A16" i="16" s="1"/>
  <c r="A17" i="16" s="1"/>
  <c r="A18" i="16" s="1"/>
  <c r="A9" i="10" l="1"/>
  <c r="A10" i="10" s="1"/>
  <c r="A11" i="10" s="1"/>
  <c r="A12" i="10" s="1"/>
  <c r="A13" i="10" s="1"/>
  <c r="A14" i="10" s="1"/>
  <c r="A15" i="10" s="1"/>
  <c r="A16" i="10" s="1"/>
  <c r="A17" i="10" s="1"/>
  <c r="A10" i="3" l="1"/>
  <c r="A11" i="3" s="1"/>
  <c r="A12" i="3" s="1"/>
  <c r="A13" i="3" s="1"/>
  <c r="A14" i="3" s="1"/>
  <c r="A15" i="3" s="1"/>
  <c r="A16" i="3" s="1"/>
  <c r="A17" i="3" s="1"/>
  <c r="A18" i="3" s="1"/>
  <c r="A10" i="2"/>
  <c r="A11" i="2" s="1"/>
  <c r="A12" i="2" s="1"/>
  <c r="A13" i="2" s="1"/>
  <c r="A14" i="2" s="1"/>
  <c r="A15" i="2" s="1"/>
  <c r="A16" i="2" s="1"/>
  <c r="A17" i="2" s="1"/>
  <c r="A18" i="2" s="1"/>
  <c r="A9" i="4"/>
  <c r="A10" i="4" s="1"/>
  <c r="A11" i="4" s="1"/>
  <c r="A12" i="4" s="1"/>
  <c r="A13" i="4" s="1"/>
  <c r="A14" i="4" s="1"/>
  <c r="A15" i="4" s="1"/>
  <c r="A16" i="4" s="1"/>
  <c r="A17" i="4" s="1"/>
  <c r="A9" i="9" l="1"/>
  <c r="A10" i="9" s="1"/>
  <c r="A11" i="9" s="1"/>
  <c r="A12" i="9" s="1"/>
  <c r="A13" i="9" s="1"/>
  <c r="A14" i="9" s="1"/>
  <c r="A15" i="9" s="1"/>
  <c r="A16" i="9" s="1"/>
  <c r="A17" i="9" s="1"/>
</calcChain>
</file>

<file path=xl/sharedStrings.xml><?xml version="1.0" encoding="utf-8"?>
<sst xmlns="http://schemas.openxmlformats.org/spreadsheetml/2006/main" count="3416" uniqueCount="303">
  <si>
    <t>NO.</t>
  </si>
  <si>
    <t>NAMA</t>
  </si>
  <si>
    <t>Nilai Total</t>
  </si>
  <si>
    <t>Sub Total</t>
  </si>
  <si>
    <t>Ketepatan</t>
  </si>
  <si>
    <t>Penampilan</t>
  </si>
  <si>
    <t>Goho (50)</t>
  </si>
  <si>
    <t>Juho (50)</t>
  </si>
  <si>
    <t>1.</t>
  </si>
  <si>
    <t>2.</t>
  </si>
  <si>
    <t>Goho</t>
  </si>
  <si>
    <t>3.</t>
  </si>
  <si>
    <t>4.</t>
  </si>
  <si>
    <t>5.</t>
  </si>
  <si>
    <t>Ukemi</t>
  </si>
  <si>
    <t>Shita uke geri</t>
  </si>
  <si>
    <t>Kote nuki</t>
  </si>
  <si>
    <t>Shita uke jun geri</t>
  </si>
  <si>
    <t>FORMULIR - 27</t>
  </si>
  <si>
    <t>Juho</t>
  </si>
  <si>
    <t>TEKNIK I</t>
  </si>
  <si>
    <t>TEKNIK II</t>
  </si>
  <si>
    <t>UMUR</t>
  </si>
  <si>
    <t>Etika - Tata Krama</t>
  </si>
  <si>
    <t>Tai Gamae</t>
  </si>
  <si>
    <t>Tai Sabaki</t>
  </si>
  <si>
    <t>Umpo Ho</t>
  </si>
  <si>
    <t>Teknik Menyerang</t>
  </si>
  <si>
    <t>Teknik Bertahan</t>
  </si>
  <si>
    <t>Bertahan dgn Bergerak</t>
  </si>
  <si>
    <t>Do Zuki, Do Geri</t>
  </si>
  <si>
    <t>Uchi uke zuki (ura)</t>
  </si>
  <si>
    <t>Uwa uke zuki (omote)</t>
  </si>
  <si>
    <t>Ken (tandoku)</t>
  </si>
  <si>
    <t>Teknik Menyerang 1</t>
  </si>
  <si>
    <t>Teknik Menyerang 2</t>
  </si>
  <si>
    <t>Ryuo ken dai ikkei (so tai)</t>
  </si>
  <si>
    <t>Maki nuki (katate)</t>
  </si>
  <si>
    <t>Bertahan &amp; Menyerang Bergerak</t>
  </si>
  <si>
    <t>Ken (so tai)</t>
  </si>
  <si>
    <t>TEKNIK DASAR</t>
  </si>
  <si>
    <t>TEKNIK PILIHAN</t>
  </si>
  <si>
    <t>KUMI EMBU</t>
  </si>
  <si>
    <t>PENERAPAN TEKNIK</t>
  </si>
  <si>
    <t>Catatan untuk Teknik Pilihan:</t>
  </si>
  <si>
    <t>Teknik dilakukan dari sisi kanan &amp; sisi kiri.</t>
  </si>
  <si>
    <t>Catatan untuk Kumi Embu:</t>
  </si>
  <si>
    <t>Seorang peserta ujian menampilkan (1), (3), (5)</t>
  </si>
  <si>
    <t>&amp; peserta lain menampilkan (2), (4), (6)</t>
  </si>
  <si>
    <t>Penguji menentukan siapa yang memulai terlebih dahulu.</t>
  </si>
  <si>
    <t>Penyerang &amp; bertahan ditentukan Penguji.</t>
  </si>
  <si>
    <t>Tai Gamae-Tai Sabaki-Umpo Ho</t>
  </si>
  <si>
    <t>Paling sedikit 3 teknik masing-masing goho &amp; juho merupakan waza Kyu 1.</t>
  </si>
  <si>
    <t>Penguji 1</t>
  </si>
  <si>
    <t>Penguji 2</t>
  </si>
  <si>
    <t>Penguji 3</t>
  </si>
  <si>
    <t xml:space="preserve">Nama : </t>
  </si>
  <si>
    <t>Nama :</t>
  </si>
  <si>
    <t>DAN   :</t>
  </si>
  <si>
    <t xml:space="preserve">DAN   : </t>
  </si>
  <si>
    <t>FORMULIR PENILAIAN KENAIKAN TINGKAT MENUJU KYU I (SATU)</t>
  </si>
  <si>
    <t>FORMULIR PENILAIAN KENAIKAN TINGKAT MENUJU DAN I (SATU)</t>
  </si>
  <si>
    <t>N.I.K</t>
  </si>
  <si>
    <t>Tenchi ken dai ikkei (tandoku)</t>
  </si>
  <si>
    <t>Ryuo ken dai ikkei (tandoku)</t>
  </si>
  <si>
    <t>Ryusui geri (mae)</t>
  </si>
  <si>
    <t>Giwa ken dai ikkei (tandoku)</t>
  </si>
  <si>
    <t>Uchi age zuki (ura, omote)</t>
  </si>
  <si>
    <t>Uchi age geri (ura, omote)</t>
  </si>
  <si>
    <t>Soto uke zuki (ura, omote)</t>
  </si>
  <si>
    <t>Soto uke geri (ura, omote)</t>
  </si>
  <si>
    <t>HOKEI SO TAI</t>
  </si>
  <si>
    <t>-</t>
  </si>
  <si>
    <t>Ryu sui geri (ushiro)</t>
  </si>
  <si>
    <t>Tenshin geri</t>
  </si>
  <si>
    <t>Teknik I (100) :</t>
  </si>
  <si>
    <t>Teknik II (100) :</t>
  </si>
  <si>
    <t>Hokei So Tai (100) :</t>
  </si>
  <si>
    <t>Teknik Bertahan : (kaisoku dachi) uwa uke, uchi uke, shita uke, uchi harai uke</t>
  </si>
  <si>
    <t>Bertahan dengan bergerak :  zenshin zuki (jun, gyaku), zenshin geri (jun, gyaku)</t>
  </si>
  <si>
    <t>Do zuki, do geri: (kaisoku dachi) furiko zuki, keri age, (hidari mae, migi mae) jun zuki, gyaku zuki, jun geri, gyaku geri</t>
  </si>
  <si>
    <t>Kihon hokei : dilakukan dari kedua sisi kiri (10 poin) dan sisi kanan (10 poin)</t>
  </si>
  <si>
    <t>Tai gamae, bentuknya : (kaisoku, hidari, migi) chudan gamae, ichiji gamae, tai gamae, hiraki gamae.</t>
  </si>
  <si>
    <t>Tai sabaki : zen tenkan, han tenkan.</t>
  </si>
  <si>
    <t>Umpo ho : chidori ashi, kani ashi, juji ashi, kumo ashi.</t>
  </si>
  <si>
    <t>Ukemi : mae ukemi, ushiro ukemi, daisharin, oten yori okiagari.</t>
  </si>
  <si>
    <t>Do zuki, do geri : (kaisoku dachi) furiko zuki, keri age, (hidari mae, migi mae) jun zuki, gyaku zuki, jun geri, gyaku geri.</t>
  </si>
  <si>
    <t>Bertahan dengan bergerak :  zenshin zuki (jun, gyaku), zenshin geri (jun, gyaku), hiraki sagatte jun geri.</t>
  </si>
  <si>
    <t>Teknik Menyerang 2 :  (hidari mae, migi mae) jun zuki, gyaku zuki, jun geri, gyaku geri, sashikomi mawashi geri.</t>
  </si>
  <si>
    <t>Teknik Menyerang 1 :  (kaisoku dachi) me uchi, kinteki geri, furiko zuki, gedan zuki, shuto uchi, keri age, jo chu ni ren zuki.</t>
  </si>
  <si>
    <t>(1) shuho, seiretsu, cara duduk, cara berdiri, kesshu, gassho rei</t>
  </si>
  <si>
    <t>Tai gamae : chudan gamae, hasso gamae, ichiji gamae</t>
  </si>
  <si>
    <t>Tai sabaki : zen tenkan, han tenkan, jun sagari, hiraki sagari.</t>
  </si>
  <si>
    <t>Tai gamae : chudan gamae, hasso gamae, ichiji gamae.</t>
  </si>
  <si>
    <t>(2) chosoku, happo moku, pakaian, sikap, tanggapan, bahasa.</t>
  </si>
  <si>
    <t xml:space="preserve">       Lakukan kedua sisi untuk evaluasi keseluruhan.</t>
  </si>
  <si>
    <t xml:space="preserve">       Untuk teknik Goho gunakan alat pelindung (Do).</t>
  </si>
  <si>
    <t>Tenchi ken dai ikkei &amp; dai nikei (tandoku)</t>
  </si>
  <si>
    <t>Ryuo ken dai ikkei (pasangan)</t>
  </si>
  <si>
    <t>Tsuki nuki (soto)</t>
  </si>
  <si>
    <t>Tsuki nuki (uchi)</t>
  </si>
  <si>
    <t>Kiri nuki (soto)</t>
  </si>
  <si>
    <t>Kiri nuki (uchi)</t>
  </si>
  <si>
    <t>Katate okuri gote - okuri gatame</t>
  </si>
  <si>
    <t>Okuri maki tembin</t>
  </si>
  <si>
    <t xml:space="preserve">Catatan : Ujian teknik terdiri dari Teknik I (100 poin), Teknik II (100 poin) dan Hokei (100 poin). Setiap kategori harus 60% dari 100 poin dan juga skor total harus 70% dari 300 poin untuk lulus tes.
</t>
  </si>
  <si>
    <t>TEKNIK DASAR (100) :</t>
  </si>
  <si>
    <t>Tai sabaki : zen tenkan, han tenkan, jun sagari, hiraki sagari</t>
  </si>
  <si>
    <t>Umpo ho : chidori ashi, kani ashi, juji ashi, kumo ashi</t>
  </si>
  <si>
    <t>Ukemi : mae ukemi, ushiro ukemi, daisharin, oten yori okiagari</t>
  </si>
  <si>
    <t>KUMI EMBU (100) :</t>
  </si>
  <si>
    <t>6.</t>
  </si>
  <si>
    <t>Tenchi ken dai ikkei (so tai)</t>
  </si>
  <si>
    <t>Ryusui geri (ushiro)</t>
  </si>
  <si>
    <t>Gyaku gote ~ mae yubi gatame</t>
  </si>
  <si>
    <t xml:space="preserve">    ryuo ken dai ikkei (hidari, migi), giwa ken dai nikei</t>
  </si>
  <si>
    <t>TEKNIK PILIHAN (100) :</t>
  </si>
  <si>
    <t>Bertahan dan Menyerang saat Bergerak : zenshin zuki (jun, gyaku), zenshin geri (jun, gyaku), hiraki sagatte jun geri</t>
  </si>
  <si>
    <t>7. Kihon hokei (pasangan) : tenchi ken dai ikkei, giwa ken dai ikkei</t>
  </si>
  <si>
    <t>(1) Ujian teknik terdiri dari Kategori A [Teknik Dasar (100), Teknik Pilihan (100), Kumi Embu (100), dan Kategori B [Penerapan Teknik (100)]. Total Kategori A harus 70% dari 300 poin dan Kategori B harus 70% dari 300 poin untuk lulus ujian.</t>
  </si>
  <si>
    <t>Nilai Total A</t>
  </si>
  <si>
    <t>Nilai Total B</t>
  </si>
  <si>
    <t>(2) Jika Kategori A atau B kurang dari 70% dari 300 poin, hasilnya adalah Tidak Lulus. Meskipun total Kategori A mencapai skor kelulusan, jika salah satu teknik dasar, teknik pilihan atau kumi embu tidak mencapai 60% dari 100 poin, hasil ujiannya tidak lulus.</t>
  </si>
  <si>
    <t>Teknik Menyerang : (kaisoku dachi) furiko zuki, shuto uchi, kumade zuki, keri age (kiri, kanan) jo chu ni ren zuki, jo chu mawashi geri, sashikomi mawashi geri, sashikae sokuto geri</t>
  </si>
  <si>
    <t>Teknik Bertahan : kaisoku dachi, bertahan dengan serangan balik masuk (  ), uwa uke (tsuki), uchi uke (tsuki), shita uke (keri), soto uke (tsuki), uchi age uke (keri), uchi harai uke (keri)</t>
  </si>
  <si>
    <t>Bertahan dan Menyerang saat Bergerak : zenshin zuki (jun, gyaku), zenshin geri (jun, gyaku), hiraki sagatte jun geri (solo), chudan zuki,</t>
  </si>
  <si>
    <t xml:space="preserve">    shita uke, jo chu ni ren zuki, ren uke (pasangan).</t>
  </si>
  <si>
    <t>Tsuki ten ichi ren han ko</t>
  </si>
  <si>
    <t>Han tenshin geri ren han ko</t>
  </si>
  <si>
    <t>Okuri gote (katate) ~ okuri yoko tembin ~ ura gatame</t>
  </si>
  <si>
    <t>Kiri gote (katate)</t>
  </si>
  <si>
    <t>Tenchi ken dai nikei (so tai)</t>
  </si>
  <si>
    <t>Johaku dori (ryote)</t>
  </si>
  <si>
    <t>6. Kihon hokei (solo) : tenchi ken dai ikkei sampai dai yonkei (kiri, kanan)</t>
  </si>
  <si>
    <t>Teknik Menyerang : (kaisoku dachi) me uchi, kinteki geri, furiko zuki, keri age, (hidari mae, migi mae) jun zuki, gyaku zuki, jun geri, gyaku geri</t>
  </si>
  <si>
    <t>Tsubame gaeshi ren han ko</t>
  </si>
  <si>
    <t>Soto oshi uke zuki ren han ko</t>
  </si>
  <si>
    <t>Eri juji</t>
  </si>
  <si>
    <t>Sode maki</t>
  </si>
  <si>
    <t>Tsuki ten san ren han ko</t>
  </si>
  <si>
    <t>Maki gote (morote) ~ tembin gatame (ura)</t>
  </si>
  <si>
    <t>1. Komposisi, Irama dan Moderasi</t>
  </si>
  <si>
    <t>2. Kuda-kuda, sikap dan keindahan</t>
  </si>
  <si>
    <t>3. Kihaku (semangat), Kiai, Sae (jelas)</t>
  </si>
  <si>
    <t>4. Chosoku (pernafasan), Mekubari (Perhatian), dan Zanshin</t>
  </si>
  <si>
    <t>60 (masing-masing 10)</t>
  </si>
  <si>
    <t>40 (masing-masing 10)</t>
  </si>
  <si>
    <t>Catatan Penguji</t>
  </si>
  <si>
    <t>Komposisi, Irama, dan Moderasi　　　　　</t>
  </si>
  <si>
    <t>Kuda-kuda, sikap, dan keindahan</t>
  </si>
  <si>
    <t>Kihaku (semangat), Kiai, Sae (jelas)　　　　　</t>
  </si>
  <si>
    <t>Chosoku (pernafasan), Mekubari (Perhatian), dan Zanshin</t>
  </si>
  <si>
    <t>1. Ada tidak ada gangguan pernapasan.
2. Tatapan mata pada lawan.
3. Kesiapan fisik dan mental setelah teknik, dll.</t>
  </si>
  <si>
    <t>1. Terdiri dari teknik sesuai dengan tingkatannya.
2. Tidak ada keraguan dalam melakukan rangkaian tehnik.
3. Tidak ada gerakan yang tidak perlu pada perubahan posisi dan gerakan, dll.</t>
  </si>
  <si>
    <t>1. Relaks
2. Postur tubuh yang baik
3. Posisi kaki, posisi pinggul rendah, posisi kepalan tangan baik dan tangan ditekan ke samping.</t>
  </si>
  <si>
    <t>1.Terlihat, kihaku (bersemangat)
2. Kecepatan, kekuatan, kime, dll.</t>
  </si>
  <si>
    <t>Fokus Penilaian Penguji</t>
  </si>
  <si>
    <t>Etika-Tatakrama : Evaluasi selama ujian Penguji dapat menguji dengan memerintahkan peserta ujian</t>
  </si>
  <si>
    <t>untuk mengerjakan soal-soal ini.</t>
  </si>
  <si>
    <t>Tenchi ken dai ikkei (pasangan)</t>
  </si>
  <si>
    <t>Gyaku gote - mae yubi gatame</t>
  </si>
  <si>
    <t>Uwa uke zuki (ura)</t>
  </si>
  <si>
    <t>Uwa uke geri (omote, ura)</t>
  </si>
  <si>
    <t>Katate yori nuki</t>
  </si>
  <si>
    <t>Ryote yori nuki</t>
  </si>
  <si>
    <t xml:space="preserve">    ryuo ken dai ikkei (kiri, kanan), giwa ken dai nikei</t>
  </si>
  <si>
    <t>Paling sedikit 3 teknik masing-masing goho &amp; juho merupakan waza Kyu 3.</t>
  </si>
  <si>
    <t>Paling sedikit 3 teknik masing-masing goho &amp; juho merupakan waza Kyu 2.</t>
  </si>
  <si>
    <t>7. Kihon hokei (pasangan) : tenchi ken dai ikkei, giwa ken dai ikkei.</t>
  </si>
  <si>
    <t>Ketepatan (60)</t>
  </si>
  <si>
    <t>Penampilan (40)</t>
  </si>
  <si>
    <t>Chidori gaeshi kari ashi</t>
  </si>
  <si>
    <t xml:space="preserve">Bertahan, serangan balasan, semangat, sikap, bertahan dan menyerang bergantian
</t>
  </si>
  <si>
    <t>Penyerang : serangan tunggal/ganda, zuki/keri.</t>
  </si>
  <si>
    <t>Bertahan : merespon dengan serangan balasan.</t>
  </si>
  <si>
    <t>Penyerang : memegang pergelangan/lengan.</t>
  </si>
  <si>
    <t>Bertahan : teknik ryuo ken, ryuka ken &amp; rakan ken.</t>
  </si>
  <si>
    <t>Penyerang : tsuki &amp; keri ke arah jodan &amp; chudan</t>
  </si>
  <si>
    <t>Bertahan : teknik gyaku atau nuki.</t>
  </si>
  <si>
    <t>FORMULIR-27</t>
  </si>
  <si>
    <t>Umur</t>
  </si>
  <si>
    <t>Jenis Kelamin</t>
  </si>
  <si>
    <t>Tehnik Dasar (100)</t>
  </si>
  <si>
    <t>Tehnik Pilihan (100)</t>
  </si>
  <si>
    <t>Kumi Embu (100)</t>
  </si>
  <si>
    <t>Penerapan Tehnik/Unyo-ho (100)</t>
  </si>
  <si>
    <t>Tai gamae, Tai sabaki, Umpo ho</t>
  </si>
  <si>
    <t>Teknik Dasar Serangan</t>
  </si>
  <si>
    <t>Teknik Dasar Bertahan</t>
  </si>
  <si>
    <t>Menyerang dan bertahan sambil bergerak</t>
  </si>
  <si>
    <t>Tan'en kihon hokei</t>
  </si>
  <si>
    <t>Tan'en kihon hokei (Berpasangan)</t>
  </si>
  <si>
    <t>Total</t>
  </si>
  <si>
    <t>Teknik Dasar (100):</t>
  </si>
  <si>
    <t>Offenses while moving: zenshin zuki (jo chu ni ren zuki,</t>
  </si>
  <si>
    <t>Kumi Embu (100):</t>
  </si>
  <si>
    <t>Tai gamae: chudan gamae, hasso gamae, ichiji gamae</t>
  </si>
  <si>
    <t>jo chu mawashi geri), hiraki sagatte ren uke</t>
  </si>
  <si>
    <t>Harai uke geri ke tsuki ten san</t>
  </si>
  <si>
    <t>- tai sabaki: zen tenkan, han tenkan, jun sagari, hiraki sagari</t>
  </si>
  <si>
    <t>Tan'en kihon hokei: tenchi ken dai ikkei through dai rokkei (left, right)</t>
  </si>
  <si>
    <t>Bertahan : melakukan harai uke geri dan jo chu jo san ren zuki</t>
  </si>
  <si>
    <t>1. Goho</t>
  </si>
  <si>
    <t>- umpo ho: chidori ashi, kani ashi, juji ashi, kumo ashi</t>
  </si>
  <si>
    <t>ryuo ken dai ikkei (left, right), giwa ken dai ikkei &amp; dai nikei</t>
  </si>
  <si>
    <t>Gyaku geri hiza uke nami gaeshi ke tsuki ten ichi</t>
  </si>
  <si>
    <t>Penyerang: tsuki dan keri ke jodan atau chudan.</t>
  </si>
  <si>
    <t>Ukemi: mae ukemi, ushiro ukemi, daisharin, oten yori okiagari</t>
  </si>
  <si>
    <t>byakuren ken dai ikkei</t>
  </si>
  <si>
    <t>Bertahan : melakukan gyaku geri hiza uke nami gaeshi dan jo chu ni ren zuki</t>
  </si>
  <si>
    <t>Bertahan: serangan balasan bebas</t>
  </si>
  <si>
    <t>Dasar menyerang: (kaisoku dachi) furiko zuki, shuto uchi, kumade zuki, keri age,</t>
  </si>
  <si>
    <t>Tan'en kihon hokei (paired): tenchi ken dai ikkei &amp; dai nikei</t>
  </si>
  <si>
    <t>Morote kiri gote,  Penyerang: ude ushiro neji age</t>
  </si>
  <si>
    <t>2. Juho</t>
  </si>
  <si>
    <t>- (hidari mae, migi mae) jo chu ni ren zuki, jo chu mawashi geri, ren geri, sashikae sokuto geri</t>
  </si>
  <si>
    <t>giwa ken dai ikkei, ryuo ken dai ikkei</t>
  </si>
  <si>
    <t>Morote oshi nuki,   Penyerang: gyaku tembin</t>
  </si>
  <si>
    <t>Penyerang: mengambil pergelangan tangan</t>
  </si>
  <si>
    <t>Pertahanan dasar: kaisoku dachi, lakukan setiap teknik dengan serangan balik di ( ).</t>
  </si>
  <si>
    <t xml:space="preserve">                  (katate, ryote, morote), johaku,</t>
  </si>
  <si>
    <t>- uwa uke (tsuki), uchi uke (tsuki), shita uke (keri), soto uke (tsuki)</t>
  </si>
  <si>
    <t>Teknik Pilihan(100):</t>
  </si>
  <si>
    <t>Kote maki gaeshi ~ kannuki gatame</t>
  </si>
  <si>
    <t xml:space="preserve">                  sode atas, eri (katate)</t>
  </si>
  <si>
    <t>- uchi age uke (keri), uchi harai uke (keri)</t>
  </si>
  <si>
    <t>Lakukan kedua sisi untuk evaluasi keseluruhan.</t>
  </si>
  <si>
    <r>
      <rPr>
        <b/>
        <i/>
        <sz val="10"/>
        <rFont val="Arial"/>
        <family val="2"/>
      </rPr>
      <t>Catatan:</t>
    </r>
    <r>
      <rPr>
        <i/>
        <sz val="10"/>
        <rFont val="Arial"/>
        <family val="2"/>
      </rPr>
      <t xml:space="preserve"> Seorang peserta ujian menampilkan (1), (3), (5) &amp; peserta lain</t>
    </r>
  </si>
  <si>
    <t>Bertahan: bertahan dan menyerang balik dengan</t>
  </si>
  <si>
    <t>menampilkan (2), (4), (6). Penguji menentukan siapa yang memulai terlebih dahulu.</t>
  </si>
  <si>
    <t xml:space="preserve">                ryuo ken, ryuka ken, rakan ken</t>
  </si>
  <si>
    <t/>
  </si>
  <si>
    <t>Bertahan, serangan balasan, semangat, sikap, bertahan dan menyerang bergantian</t>
  </si>
  <si>
    <t>Teknik Bertahan : (kaisoku dachi) uchi uke, uchi harai uke</t>
  </si>
  <si>
    <t>Teknik Menyerang : (kaisoku dachi) me uchi, furiko zuki (hidari mae, migi mae) jun zuki, gyaku zuki</t>
  </si>
  <si>
    <t>Tai sabaki : zen tenkan, han tenkan, kaishin.</t>
  </si>
  <si>
    <t>Total Embu</t>
  </si>
  <si>
    <t>Embu Berpasangan</t>
  </si>
  <si>
    <t>Perhatian!</t>
  </si>
  <si>
    <t>Goho:
Serangan, pertahanan, serangan balasan, 5 elemen atemi, dll.
Juho:
Bertahan, menghindar, melepas, menekuk pergelangan, bantingan, kuncian</t>
  </si>
  <si>
    <t>Nama Penguji :</t>
  </si>
  <si>
    <t>Penilaian setiap komposisi dengan titik fokus yang tercantum di bawah ini.
- Goho: serangan, pertahanan, serangan balasan, 5 elemen atemi, dll.
- Juho: shuho, nuki-waza, gyaku-waza, katame-waza, masing-masing prinsip, dll.
Evaluasi tidak hanya kecepatan atau tampilan yang menarik, tetapi lihat apakah elemen-elemen tekniknya disusun dengan benar dan prinsip-prinsip diterapkan, untuk mengevaluasi esensi teknik tersebut. Lihat juga apakah gerakannya memiliki unsur bela diri dan masuk akal dari sudut pandang bela diri.</t>
  </si>
  <si>
    <r>
      <t>PENILAIAN KUMI EMBU (</t>
    </r>
    <r>
      <rPr>
        <b/>
        <i/>
        <sz val="14"/>
        <rFont val="Arial"/>
        <family val="2"/>
      </rPr>
      <t>PAIRED EMBU</t>
    </r>
    <r>
      <rPr>
        <b/>
        <sz val="14"/>
        <rFont val="Arial"/>
        <family val="2"/>
      </rPr>
      <t>) MENUJU KYU III (TIGA)</t>
    </r>
  </si>
  <si>
    <t>- Seorang peserta ujian menampilkan (1), (3), (5)</t>
  </si>
  <si>
    <t>- Penguji menentukan siapa yang memulai terlebih dahulu.</t>
  </si>
  <si>
    <t>- Penguji mengevaluasi setiap peserta ujian.</t>
  </si>
  <si>
    <t>- Jika peserta ujian tidak mengingat urutan embu dan penguji harus memberitahunya, setiap pemberitahuan mengurangi 2 poin dari komposisi, irama dan moderasi.</t>
  </si>
  <si>
    <t xml:space="preserve">  &amp; peserta lain menampilkan (2), (4), (6)</t>
  </si>
  <si>
    <r>
      <t>PENILAIAN KUMI EMBU (</t>
    </r>
    <r>
      <rPr>
        <b/>
        <i/>
        <sz val="14"/>
        <rFont val="Arial"/>
        <family val="2"/>
      </rPr>
      <t>PAIRED EMBU</t>
    </r>
    <r>
      <rPr>
        <b/>
        <sz val="14"/>
        <rFont val="Arial"/>
        <family val="2"/>
      </rPr>
      <t>) MENUJU KYU II (DUA)</t>
    </r>
  </si>
  <si>
    <t>JENIS KELAMIN</t>
  </si>
  <si>
    <t>DOJO / PENGKAB / PENGKOT / PENGPROV</t>
  </si>
  <si>
    <r>
      <t>PENILAIAN KUMI EMBU (</t>
    </r>
    <r>
      <rPr>
        <b/>
        <i/>
        <sz val="14"/>
        <rFont val="Arial"/>
        <family val="2"/>
      </rPr>
      <t>PAIRED EMBU</t>
    </r>
    <r>
      <rPr>
        <b/>
        <sz val="14"/>
        <rFont val="Arial"/>
        <family val="2"/>
      </rPr>
      <t>) MENUJU KYU I (SATU)</t>
    </r>
  </si>
  <si>
    <r>
      <t>PENILAIAN KUMI EMBU (</t>
    </r>
    <r>
      <rPr>
        <b/>
        <i/>
        <sz val="14"/>
        <rFont val="Arial"/>
        <family val="2"/>
      </rPr>
      <t>PAIRED EMBU</t>
    </r>
    <r>
      <rPr>
        <b/>
        <sz val="14"/>
        <rFont val="Arial"/>
        <family val="2"/>
      </rPr>
      <t>) MENUJU DAN I (SATU)</t>
    </r>
  </si>
  <si>
    <t xml:space="preserve">Tanggal :  </t>
  </si>
  <si>
    <t>Lakukan sisi kanan saja.</t>
  </si>
  <si>
    <t>FORMULIR PENILAIAN UJIAN KENAIKAN TINGKAT MENUJU KYU VIII (DELAPAN)</t>
  </si>
  <si>
    <t>FORMULIR PENILAIAN UJIAN KENAIKAN TINGKAT MENUJU KYU VII (TUJUH)</t>
  </si>
  <si>
    <t>FORMULIR PENILAIAN UJIAN KENAIKAN TINGKAT MENUJU KYU VI (ENAM)</t>
  </si>
  <si>
    <t>FORMULIR PENILAIAN UJIAN KENAIKAN TINGKAT MENUJU KYU V (LIMA)</t>
  </si>
  <si>
    <t>FORMULIR PENILAIAN UJIAN KENAIKAN TINGKAT MENUJU KYU IV (EMPAT)</t>
  </si>
  <si>
    <t>FORMULIR PENILAIAN UJIAN KENAIKAN TINGKAT MENUJU KYU III (TIGA)</t>
  </si>
  <si>
    <t>FORMULIR PENILAIAN UJIAN KENAIKAN TINGKAT MENUJU KYU II (DUA)</t>
  </si>
  <si>
    <r>
      <t xml:space="preserve">Penilaian setiap komposisi dengan titik fokus yang tercantum di bawah ini.
- Goho: serangan, pertahanan, serangan balasan, 5 elemen atemi, dll.
- Juho: shuho, nuki-waza, gyaku-waza, katame-waza, masing-masing prinsip, dll.
</t>
    </r>
    <r>
      <rPr>
        <i/>
        <sz val="9"/>
        <rFont val="Arial"/>
        <family val="2"/>
      </rPr>
      <t>Evaluasi tidak hanya kecepatan atau tampilan yang menarik, tetapi lihat apakah elemen-elemen tekniknya disusun dengan benar dan prinsip-prinsip diterapkan, untuk mengevaluasi esensi teknik tersebut. Lihat juga apakah gerakannya memiliki unsur bela diri dan masuk akal dari sudut pandang bela diri.</t>
    </r>
    <r>
      <rPr>
        <sz val="9"/>
        <rFont val="Arial"/>
        <family val="2"/>
      </rPr>
      <t xml:space="preserve">
 </t>
    </r>
  </si>
  <si>
    <t>NO</t>
  </si>
  <si>
    <t>Note : Apabila peserta lebih dari 50 orang, silahkan tambahkan tabel penilaian dengan copy dari halaman terakhir (page 5), pastikan layout page breaknya sama.</t>
  </si>
  <si>
    <t>Formulir - 27</t>
  </si>
  <si>
    <t>TABULASI PENILAIAN UJIAN</t>
  </si>
  <si>
    <t>Menuju : KYU - VIII</t>
  </si>
  <si>
    <t>No</t>
  </si>
  <si>
    <t>Nama</t>
  </si>
  <si>
    <t>NIK</t>
  </si>
  <si>
    <t>PengProv / PengKab / PengKot* / Pengdo</t>
  </si>
  <si>
    <t>Usia (Thn)</t>
  </si>
  <si>
    <t>Ujian Tertulis dan/atau Lisan</t>
  </si>
  <si>
    <t>Ujian Praktek</t>
  </si>
  <si>
    <t>Jumlah Nilai</t>
  </si>
  <si>
    <t>Teori-1</t>
  </si>
  <si>
    <t>Teori-2</t>
  </si>
  <si>
    <t>Praktek</t>
  </si>
  <si>
    <t>Ujian ini dilaksanakan pada :</t>
  </si>
  <si>
    <t>Koordinator Tim Penguji</t>
  </si>
  <si>
    <r>
      <t>PB/Pengprov</t>
    </r>
    <r>
      <rPr>
        <b/>
        <strike/>
        <sz val="9"/>
        <rFont val="Arial"/>
        <family val="2"/>
      </rPr>
      <t>/</t>
    </r>
    <r>
      <rPr>
        <b/>
        <sz val="9"/>
        <rFont val="Arial"/>
        <family val="2"/>
      </rPr>
      <t>Panpel Gashuku</t>
    </r>
  </si>
  <si>
    <t>__________________________</t>
  </si>
  <si>
    <t xml:space="preserve">Nama    : </t>
  </si>
  <si>
    <t xml:space="preserve">Tingkat  : </t>
  </si>
  <si>
    <t>Lulus (L) / Tidak Lulus (TL)</t>
  </si>
  <si>
    <t>1. Kegiatan :  …............................................</t>
  </si>
  <si>
    <t>2. Tempat   : …............................................</t>
  </si>
  <si>
    <t>3. Tanggal  : …............................................</t>
  </si>
  <si>
    <t>_____________________________</t>
  </si>
  <si>
    <t>Menuju : KYU - VII</t>
  </si>
  <si>
    <t>Menuju : KYU - VI</t>
  </si>
  <si>
    <t>Menuju : KYU - V</t>
  </si>
  <si>
    <t>Menuju : KYU - IV</t>
  </si>
  <si>
    <t>Menuju : KYU - III</t>
  </si>
  <si>
    <t>Menuju : KYU - II</t>
  </si>
  <si>
    <t>Menuju : KYU - I</t>
  </si>
  <si>
    <t>Paper dan Ujian Tertulis</t>
  </si>
  <si>
    <t>Menuju : DAN - I</t>
  </si>
  <si>
    <t>Total nilai min Lulus</t>
  </si>
  <si>
    <t>% Hasil Ujian</t>
  </si>
  <si>
    <t>(1) Ujian teknik terdiri dari Kategori A [Teknik Dasar (100), Teknik Pilihan (100), Kumi Embu (100), dan Kategori B [Penerapan Teknik (100)]. Total Kategori A harus 70% dari 300 poin dan Kategori B harus 70% dari 100 poin untuk lulus ujian.</t>
  </si>
  <si>
    <r>
      <t xml:space="preserve">Unyo-ho(100) : </t>
    </r>
    <r>
      <rPr>
        <sz val="11"/>
        <rFont val="Arial"/>
        <family val="2"/>
      </rPr>
      <t>(Wajib hingga usia 49 tahun)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</si>
</sst>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0.0"/>
    <numFmt numFmtId="167" formatCode="#."/>
    <numFmt numFmtId="168" formatCode="_(* #,##0_);_(* \(#,##0\);_(* &quot;-&quot;??_);_(@_)"/>
  </numFmts>
  <fonts count="42" x14ac:knownFonts="1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b/>
      <sz val="8"/>
      <name val="Marlett"/>
      <charset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i/>
      <sz val="8"/>
      <name val="Arial"/>
      <family val="2"/>
    </font>
    <font>
      <sz val="9.5"/>
      <name val="Arial"/>
      <family val="2"/>
    </font>
    <font>
      <b/>
      <i/>
      <sz val="14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0"/>
      <name val="Arial Narrow"/>
      <family val="2"/>
    </font>
    <font>
      <b/>
      <sz val="11"/>
      <name val="Marlett"/>
      <charset val="2"/>
    </font>
    <font>
      <sz val="11"/>
      <name val="Arial Narrow"/>
      <family val="2"/>
    </font>
    <font>
      <b/>
      <sz val="9"/>
      <name val="Arial"/>
      <family val="2"/>
    </font>
    <font>
      <b/>
      <sz val="12"/>
      <color rgb="FFFF0000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b/>
      <sz val="8"/>
      <color theme="1"/>
      <name val="Arial"/>
      <family val="2"/>
    </font>
    <font>
      <b/>
      <i/>
      <sz val="10"/>
      <color theme="1"/>
      <name val="Arial"/>
      <family val="2"/>
    </font>
    <font>
      <b/>
      <sz val="9"/>
      <color theme="1"/>
      <name val="Arial"/>
      <family val="2"/>
    </font>
    <font>
      <b/>
      <sz val="11"/>
      <color rgb="FFFF0000"/>
      <name val="Arial"/>
      <family val="2"/>
    </font>
    <font>
      <b/>
      <i/>
      <sz val="8"/>
      <color indexed="8"/>
      <name val="Arial"/>
      <family val="2"/>
    </font>
    <font>
      <i/>
      <sz val="9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trike/>
      <sz val="9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3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1" tint="0.49998474074526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 style="thin">
        <color theme="1" tint="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medium">
        <color indexed="64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medium">
        <color indexed="64"/>
      </right>
      <top/>
      <bottom style="thin">
        <color theme="1" tint="0.499984740745262"/>
      </bottom>
      <diagonal/>
    </border>
    <border>
      <left style="medium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/>
      <top style="thin">
        <color theme="1" tint="0.499984740745262"/>
      </top>
      <bottom style="thin">
        <color indexed="64"/>
      </bottom>
      <diagonal/>
    </border>
    <border>
      <left/>
      <right style="medium">
        <color indexed="64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/>
      <diagonal/>
    </border>
    <border>
      <left/>
      <right style="medium">
        <color indexed="64"/>
      </right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indexed="64"/>
      </bottom>
      <diagonal/>
    </border>
    <border>
      <left style="thin">
        <color theme="1" tint="0.499984740745262"/>
      </left>
      <right/>
      <top/>
      <bottom style="medium">
        <color indexed="64"/>
      </bottom>
      <diagonal/>
    </border>
    <border>
      <left style="thin">
        <color theme="1" tint="0.499984740745262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6" fillId="0" borderId="0"/>
    <xf numFmtId="43" fontId="37" fillId="0" borderId="0" applyFont="0" applyFill="0" applyBorder="0" applyAlignment="0" applyProtection="0"/>
  </cellStyleXfs>
  <cellXfs count="654">
    <xf numFmtId="0" fontId="0" fillId="0" borderId="0" xfId="0"/>
    <xf numFmtId="0" fontId="2" fillId="0" borderId="0" xfId="0" applyFont="1"/>
    <xf numFmtId="0" fontId="5" fillId="0" borderId="16" xfId="0" applyFont="1" applyBorder="1"/>
    <xf numFmtId="0" fontId="3" fillId="0" borderId="16" xfId="0" applyFont="1" applyBorder="1"/>
    <xf numFmtId="0" fontId="5" fillId="0" borderId="17" xfId="0" applyFont="1" applyBorder="1"/>
    <xf numFmtId="0" fontId="5" fillId="0" borderId="0" xfId="0" applyFont="1"/>
    <xf numFmtId="0" fontId="0" fillId="2" borderId="0" xfId="0" applyFill="1"/>
    <xf numFmtId="0" fontId="2" fillId="2" borderId="0" xfId="0" applyFont="1" applyFill="1"/>
    <xf numFmtId="0" fontId="5" fillId="2" borderId="16" xfId="0" applyFont="1" applyFill="1" applyBorder="1"/>
    <xf numFmtId="0" fontId="3" fillId="2" borderId="16" xfId="0" applyFont="1" applyFill="1" applyBorder="1"/>
    <xf numFmtId="0" fontId="5" fillId="2" borderId="17" xfId="0" applyFont="1" applyFill="1" applyBorder="1"/>
    <xf numFmtId="0" fontId="5" fillId="2" borderId="0" xfId="0" applyFont="1" applyFill="1"/>
    <xf numFmtId="0" fontId="5" fillId="2" borderId="0" xfId="0" quotePrefix="1" applyFont="1" applyFill="1" applyAlignment="1">
      <alignment horizontal="right"/>
    </xf>
    <xf numFmtId="0" fontId="5" fillId="2" borderId="19" xfId="0" applyFont="1" applyFill="1" applyBorder="1"/>
    <xf numFmtId="0" fontId="5" fillId="2" borderId="0" xfId="0" applyFont="1" applyFill="1" applyAlignment="1">
      <alignment horizontal="left"/>
    </xf>
    <xf numFmtId="0" fontId="5" fillId="2" borderId="21" xfId="0" applyFont="1" applyFill="1" applyBorder="1"/>
    <xf numFmtId="0" fontId="5" fillId="2" borderId="22" xfId="0" applyFont="1" applyFill="1" applyBorder="1"/>
    <xf numFmtId="0" fontId="6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2" borderId="2" xfId="0" applyFont="1" applyFill="1" applyBorder="1"/>
    <xf numFmtId="0" fontId="9" fillId="2" borderId="3" xfId="0" applyFont="1" applyFill="1" applyBorder="1"/>
    <xf numFmtId="0" fontId="9" fillId="2" borderId="4" xfId="0" applyFont="1" applyFill="1" applyBorder="1"/>
    <xf numFmtId="0" fontId="9" fillId="2" borderId="6" xfId="0" applyFont="1" applyFill="1" applyBorder="1"/>
    <xf numFmtId="0" fontId="9" fillId="2" borderId="5" xfId="0" applyFont="1" applyFill="1" applyBorder="1"/>
    <xf numFmtId="0" fontId="9" fillId="2" borderId="7" xfId="0" applyFont="1" applyFill="1" applyBorder="1"/>
    <xf numFmtId="0" fontId="9" fillId="2" borderId="0" xfId="0" applyFont="1" applyFill="1"/>
    <xf numFmtId="0" fontId="9" fillId="2" borderId="8" xfId="0" applyFont="1" applyFill="1" applyBorder="1"/>
    <xf numFmtId="0" fontId="9" fillId="2" borderId="9" xfId="0" applyFont="1" applyFill="1" applyBorder="1"/>
    <xf numFmtId="0" fontId="9" fillId="2" borderId="10" xfId="0" applyFont="1" applyFill="1" applyBorder="1"/>
    <xf numFmtId="0" fontId="9" fillId="2" borderId="11" xfId="0" applyFont="1" applyFill="1" applyBorder="1"/>
    <xf numFmtId="0" fontId="9" fillId="2" borderId="12" xfId="0" applyFont="1" applyFill="1" applyBorder="1"/>
    <xf numFmtId="0" fontId="9" fillId="2" borderId="13" xfId="0" applyFont="1" applyFill="1" applyBorder="1"/>
    <xf numFmtId="0" fontId="2" fillId="0" borderId="33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7" fillId="2" borderId="0" xfId="0" applyFont="1" applyFill="1"/>
    <xf numFmtId="0" fontId="5" fillId="0" borderId="16" xfId="0" applyFont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9" fillId="0" borderId="11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center" wrapText="1"/>
    </xf>
    <xf numFmtId="0" fontId="3" fillId="0" borderId="0" xfId="0" applyFont="1"/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 textRotation="90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 textRotation="90"/>
    </xf>
    <xf numFmtId="0" fontId="2" fillId="0" borderId="43" xfId="0" applyFont="1" applyBorder="1" applyAlignment="1">
      <alignment horizontal="center" vertical="center" textRotation="90"/>
    </xf>
    <xf numFmtId="0" fontId="4" fillId="2" borderId="15" xfId="0" applyFont="1" applyFill="1" applyBorder="1"/>
    <xf numFmtId="0" fontId="2" fillId="2" borderId="42" xfId="0" applyFont="1" applyFill="1" applyBorder="1" applyAlignment="1">
      <alignment horizontal="center" textRotation="90"/>
    </xf>
    <xf numFmtId="0" fontId="2" fillId="2" borderId="35" xfId="0" applyFont="1" applyFill="1" applyBorder="1" applyAlignment="1">
      <alignment horizontal="center" textRotation="90"/>
    </xf>
    <xf numFmtId="0" fontId="2" fillId="2" borderId="27" xfId="0" applyFont="1" applyFill="1" applyBorder="1" applyAlignment="1">
      <alignment horizontal="center" textRotation="90"/>
    </xf>
    <xf numFmtId="0" fontId="2" fillId="2" borderId="40" xfId="0" applyFont="1" applyFill="1" applyBorder="1" applyAlignment="1">
      <alignment horizontal="center" textRotation="90"/>
    </xf>
    <xf numFmtId="0" fontId="9" fillId="2" borderId="28" xfId="0" applyFont="1" applyFill="1" applyBorder="1"/>
    <xf numFmtId="0" fontId="9" fillId="2" borderId="29" xfId="0" applyFont="1" applyFill="1" applyBorder="1"/>
    <xf numFmtId="0" fontId="9" fillId="2" borderId="30" xfId="0" applyFont="1" applyFill="1" applyBorder="1"/>
    <xf numFmtId="0" fontId="9" fillId="2" borderId="31" xfId="0" applyFont="1" applyFill="1" applyBorder="1"/>
    <xf numFmtId="0" fontId="9" fillId="2" borderId="32" xfId="0" applyFont="1" applyFill="1" applyBorder="1"/>
    <xf numFmtId="0" fontId="9" fillId="2" borderId="26" xfId="0" applyFont="1" applyFill="1" applyBorder="1"/>
    <xf numFmtId="0" fontId="0" fillId="0" borderId="0" xfId="0" applyAlignment="1">
      <alignment horizontal="center"/>
    </xf>
    <xf numFmtId="0" fontId="2" fillId="0" borderId="26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2" borderId="15" xfId="0" applyFont="1" applyFill="1" applyBorder="1"/>
    <xf numFmtId="0" fontId="6" fillId="0" borderId="18" xfId="0" quotePrefix="1" applyFont="1" applyBorder="1" applyAlignment="1">
      <alignment horizontal="right"/>
    </xf>
    <xf numFmtId="0" fontId="6" fillId="0" borderId="0" xfId="0" quotePrefix="1" applyFont="1" applyAlignment="1">
      <alignment horizontal="right"/>
    </xf>
    <xf numFmtId="0" fontId="6" fillId="0" borderId="19" xfId="0" applyFont="1" applyBorder="1"/>
    <xf numFmtId="0" fontId="6" fillId="0" borderId="0" xfId="0" applyFont="1" applyAlignment="1">
      <alignment horizontal="left"/>
    </xf>
    <xf numFmtId="0" fontId="6" fillId="0" borderId="20" xfId="0" applyFont="1" applyBorder="1"/>
    <xf numFmtId="0" fontId="6" fillId="0" borderId="21" xfId="0" applyFont="1" applyBorder="1"/>
    <xf numFmtId="0" fontId="6" fillId="0" borderId="21" xfId="0" quotePrefix="1" applyFont="1" applyBorder="1" applyAlignment="1">
      <alignment horizontal="right"/>
    </xf>
    <xf numFmtId="0" fontId="6" fillId="0" borderId="21" xfId="0" applyFont="1" applyBorder="1" applyAlignment="1">
      <alignment horizontal="left"/>
    </xf>
    <xf numFmtId="0" fontId="6" fillId="0" borderId="22" xfId="0" applyFont="1" applyBorder="1"/>
    <xf numFmtId="0" fontId="2" fillId="2" borderId="16" xfId="0" applyFont="1" applyFill="1" applyBorder="1"/>
    <xf numFmtId="0" fontId="6" fillId="0" borderId="0" xfId="0" quotePrefix="1" applyFont="1" applyAlignment="1">
      <alignment horizontal="left"/>
    </xf>
    <xf numFmtId="0" fontId="6" fillId="0" borderId="18" xfId="0" quotePrefix="1" applyFont="1" applyBorder="1" applyAlignment="1">
      <alignment horizontal="left"/>
    </xf>
    <xf numFmtId="0" fontId="12" fillId="0" borderId="18" xfId="0" quotePrefix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center"/>
    </xf>
    <xf numFmtId="0" fontId="8" fillId="0" borderId="58" xfId="0" applyFont="1" applyBorder="1"/>
    <xf numFmtId="0" fontId="10" fillId="2" borderId="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2" borderId="8" xfId="0" applyFont="1" applyFill="1" applyBorder="1" applyAlignment="1">
      <alignment horizontal="center" vertical="center"/>
    </xf>
    <xf numFmtId="0" fontId="10" fillId="0" borderId="59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5" fillId="2" borderId="21" xfId="0" applyFont="1" applyFill="1" applyBorder="1" applyAlignment="1">
      <alignment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/>
    <xf numFmtId="0" fontId="10" fillId="0" borderId="3" xfId="0" applyFont="1" applyBorder="1"/>
    <xf numFmtId="0" fontId="10" fillId="0" borderId="4" xfId="0" applyFont="1" applyBorder="1"/>
    <xf numFmtId="0" fontId="10" fillId="0" borderId="6" xfId="0" applyFont="1" applyBorder="1"/>
    <xf numFmtId="0" fontId="10" fillId="0" borderId="7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10" fillId="0" borderId="11" xfId="0" applyFont="1" applyBorder="1"/>
    <xf numFmtId="0" fontId="10" fillId="0" borderId="12" xfId="0" applyFont="1" applyBorder="1"/>
    <xf numFmtId="0" fontId="10" fillId="0" borderId="13" xfId="0" applyFont="1" applyBorder="1"/>
    <xf numFmtId="0" fontId="4" fillId="2" borderId="18" xfId="0" applyFont="1" applyFill="1" applyBorder="1"/>
    <xf numFmtId="0" fontId="9" fillId="0" borderId="30" xfId="0" applyFont="1" applyBorder="1" applyAlignment="1">
      <alignment horizontal="left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65" xfId="0" applyFont="1" applyBorder="1" applyAlignment="1">
      <alignment horizontal="left" vertical="center" wrapText="1"/>
    </xf>
    <xf numFmtId="49" fontId="6" fillId="0" borderId="0" xfId="0" applyNumberFormat="1" applyFont="1" applyAlignment="1">
      <alignment vertical="center"/>
    </xf>
    <xf numFmtId="0" fontId="14" fillId="2" borderId="35" xfId="0" applyFont="1" applyFill="1" applyBorder="1" applyAlignment="1">
      <alignment horizontal="center" vertical="center" textRotation="90" wrapText="1"/>
    </xf>
    <xf numFmtId="0" fontId="14" fillId="2" borderId="35" xfId="0" applyFont="1" applyFill="1" applyBorder="1" applyAlignment="1">
      <alignment horizontal="center" textRotation="90"/>
    </xf>
    <xf numFmtId="166" fontId="9" fillId="2" borderId="3" xfId="0" applyNumberFormat="1" applyFont="1" applyFill="1" applyBorder="1"/>
    <xf numFmtId="0" fontId="5" fillId="2" borderId="21" xfId="0" quotePrefix="1" applyFont="1" applyFill="1" applyBorder="1"/>
    <xf numFmtId="0" fontId="4" fillId="2" borderId="16" xfId="0" applyFont="1" applyFill="1" applyBorder="1"/>
    <xf numFmtId="0" fontId="5" fillId="2" borderId="0" xfId="0" quotePrefix="1" applyFont="1" applyFill="1"/>
    <xf numFmtId="0" fontId="5" fillId="2" borderId="20" xfId="0" quotePrefix="1" applyFont="1" applyFill="1" applyBorder="1"/>
    <xf numFmtId="0" fontId="5" fillId="2" borderId="21" xfId="0" applyFont="1" applyFill="1" applyBorder="1" applyAlignment="1">
      <alignment wrapText="1"/>
    </xf>
    <xf numFmtId="0" fontId="5" fillId="2" borderId="0" xfId="0" applyFont="1" applyFill="1" applyAlignment="1">
      <alignment horizontal="right" vertical="top"/>
    </xf>
    <xf numFmtId="0" fontId="5" fillId="2" borderId="0" xfId="0" quotePrefix="1" applyFont="1" applyFill="1" applyAlignment="1">
      <alignment horizontal="right" vertical="top"/>
    </xf>
    <xf numFmtId="0" fontId="5" fillId="2" borderId="21" xfId="0" quotePrefix="1" applyFont="1" applyFill="1" applyBorder="1" applyAlignment="1">
      <alignment horizontal="right" vertical="top"/>
    </xf>
    <xf numFmtId="0" fontId="5" fillId="2" borderId="0" xfId="0" quotePrefix="1" applyFont="1" applyFill="1" applyAlignment="1">
      <alignment vertical="top" wrapText="1"/>
    </xf>
    <xf numFmtId="0" fontId="15" fillId="0" borderId="0" xfId="0" applyFont="1"/>
    <xf numFmtId="0" fontId="16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5" fillId="2" borderId="18" xfId="0" quotePrefix="1" applyFont="1" applyFill="1" applyBorder="1" applyAlignment="1">
      <alignment horizontal="right" vertical="top"/>
    </xf>
    <xf numFmtId="0" fontId="5" fillId="2" borderId="0" xfId="0" quotePrefix="1" applyFont="1" applyFill="1" applyAlignment="1">
      <alignment vertical="top"/>
    </xf>
    <xf numFmtId="0" fontId="5" fillId="2" borderId="18" xfId="0" applyFont="1" applyFill="1" applyBorder="1"/>
    <xf numFmtId="0" fontId="5" fillId="2" borderId="20" xfId="0" quotePrefix="1" applyFont="1" applyFill="1" applyBorder="1" applyAlignment="1">
      <alignment horizontal="right" vertical="top"/>
    </xf>
    <xf numFmtId="0" fontId="13" fillId="2" borderId="0" xfId="0" quotePrefix="1" applyFont="1" applyFill="1" applyAlignment="1">
      <alignment horizontal="right" vertical="top"/>
    </xf>
    <xf numFmtId="0" fontId="13" fillId="2" borderId="0" xfId="0" quotePrefix="1" applyFont="1" applyFill="1" applyAlignment="1">
      <alignment vertical="top"/>
    </xf>
    <xf numFmtId="0" fontId="6" fillId="0" borderId="18" xfId="0" applyFont="1" applyBorder="1"/>
    <xf numFmtId="0" fontId="13" fillId="0" borderId="0" xfId="0" quotePrefix="1" applyFont="1" applyAlignment="1">
      <alignment horizontal="left"/>
    </xf>
    <xf numFmtId="0" fontId="17" fillId="2" borderId="0" xfId="0" quotePrefix="1" applyFont="1" applyFill="1" applyAlignment="1">
      <alignment vertical="top"/>
    </xf>
    <xf numFmtId="0" fontId="15" fillId="0" borderId="0" xfId="0" applyFont="1" applyAlignment="1">
      <alignment horizontal="center"/>
    </xf>
    <xf numFmtId="0" fontId="15" fillId="0" borderId="0" xfId="0" quotePrefix="1" applyFont="1" applyAlignment="1">
      <alignment horizontal="right"/>
    </xf>
    <xf numFmtId="0" fontId="1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13" fillId="0" borderId="25" xfId="0" quotePrefix="1" applyFont="1" applyBorder="1" applyAlignment="1">
      <alignment horizontal="left"/>
    </xf>
    <xf numFmtId="0" fontId="13" fillId="0" borderId="25" xfId="0" quotePrefix="1" applyFont="1" applyBorder="1" applyAlignment="1">
      <alignment horizontal="left" vertical="center"/>
    </xf>
    <xf numFmtId="0" fontId="13" fillId="0" borderId="25" xfId="0" quotePrefix="1" applyFont="1" applyBorder="1" applyAlignment="1">
      <alignment horizontal="left" vertical="top"/>
    </xf>
    <xf numFmtId="49" fontId="6" fillId="0" borderId="0" xfId="0" applyNumberFormat="1" applyFont="1" applyAlignment="1">
      <alignment vertical="top"/>
    </xf>
    <xf numFmtId="0" fontId="6" fillId="2" borderId="18" xfId="0" quotePrefix="1" applyFont="1" applyFill="1" applyBorder="1" applyAlignment="1">
      <alignment horizontal="right" vertical="center"/>
    </xf>
    <xf numFmtId="0" fontId="6" fillId="0" borderId="0" xfId="0" applyFont="1" applyAlignment="1">
      <alignment vertical="top"/>
    </xf>
    <xf numFmtId="0" fontId="5" fillId="2" borderId="0" xfId="0" applyFont="1" applyFill="1" applyAlignment="1">
      <alignment vertical="top" wrapText="1"/>
    </xf>
    <xf numFmtId="0" fontId="2" fillId="2" borderId="3" xfId="0" applyFont="1" applyFill="1" applyBorder="1" applyAlignment="1">
      <alignment horizontal="center" textRotation="90" wrapText="1"/>
    </xf>
    <xf numFmtId="0" fontId="6" fillId="2" borderId="0" xfId="0" quotePrefix="1" applyFont="1" applyFill="1" applyAlignment="1">
      <alignment horizontal="right" vertical="top"/>
    </xf>
    <xf numFmtId="0" fontId="6" fillId="2" borderId="0" xfId="0" quotePrefix="1" applyFont="1" applyFill="1" applyAlignment="1">
      <alignment vertical="top"/>
    </xf>
    <xf numFmtId="0" fontId="5" fillId="0" borderId="56" xfId="0" applyFont="1" applyBorder="1" applyAlignment="1">
      <alignment horizontal="center"/>
    </xf>
    <xf numFmtId="0" fontId="6" fillId="0" borderId="67" xfId="0" applyFont="1" applyBorder="1" applyAlignment="1">
      <alignment horizontal="left"/>
    </xf>
    <xf numFmtId="0" fontId="2" fillId="2" borderId="24" xfId="0" applyFont="1" applyFill="1" applyBorder="1"/>
    <xf numFmtId="0" fontId="6" fillId="2" borderId="25" xfId="0" quotePrefix="1" applyFont="1" applyFill="1" applyBorder="1" applyAlignment="1">
      <alignment horizontal="right" vertical="top"/>
    </xf>
    <xf numFmtId="0" fontId="13" fillId="2" borderId="25" xfId="0" quotePrefix="1" applyFont="1" applyFill="1" applyBorder="1" applyAlignment="1">
      <alignment horizontal="right" vertical="top"/>
    </xf>
    <xf numFmtId="0" fontId="2" fillId="2" borderId="25" xfId="0" applyFont="1" applyFill="1" applyBorder="1"/>
    <xf numFmtId="0" fontId="6" fillId="0" borderId="55" xfId="0" applyFont="1" applyBorder="1"/>
    <xf numFmtId="0" fontId="5" fillId="0" borderId="24" xfId="0" applyFont="1" applyBorder="1"/>
    <xf numFmtId="0" fontId="5" fillId="0" borderId="56" xfId="0" applyFont="1" applyBorder="1"/>
    <xf numFmtId="0" fontId="5" fillId="2" borderId="25" xfId="0" quotePrefix="1" applyFont="1" applyFill="1" applyBorder="1" applyAlignment="1">
      <alignment vertical="top"/>
    </xf>
    <xf numFmtId="0" fontId="6" fillId="0" borderId="67" xfId="0" applyFont="1" applyBorder="1"/>
    <xf numFmtId="0" fontId="6" fillId="0" borderId="25" xfId="0" applyFont="1" applyBorder="1"/>
    <xf numFmtId="0" fontId="6" fillId="0" borderId="74" xfId="0" applyFont="1" applyBorder="1"/>
    <xf numFmtId="0" fontId="2" fillId="2" borderId="2" xfId="0" applyFont="1" applyFill="1" applyBorder="1" applyAlignment="1">
      <alignment horizontal="center" textRotation="90" wrapText="1"/>
    </xf>
    <xf numFmtId="0" fontId="14" fillId="2" borderId="42" xfId="0" applyFont="1" applyFill="1" applyBorder="1" applyAlignment="1">
      <alignment horizontal="center" textRotation="90"/>
    </xf>
    <xf numFmtId="0" fontId="14" fillId="2" borderId="27" xfId="0" applyFont="1" applyFill="1" applyBorder="1" applyAlignment="1">
      <alignment horizontal="center" textRotation="90"/>
    </xf>
    <xf numFmtId="0" fontId="14" fillId="2" borderId="40" xfId="0" applyFont="1" applyFill="1" applyBorder="1" applyAlignment="1">
      <alignment horizontal="center" textRotation="90"/>
    </xf>
    <xf numFmtId="0" fontId="14" fillId="2" borderId="3" xfId="0" applyFont="1" applyFill="1" applyBorder="1" applyAlignment="1">
      <alignment horizontal="center" textRotation="90" wrapText="1"/>
    </xf>
    <xf numFmtId="0" fontId="14" fillId="2" borderId="33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textRotation="90" wrapText="1"/>
    </xf>
    <xf numFmtId="0" fontId="2" fillId="0" borderId="42" xfId="0" applyFont="1" applyBorder="1" applyAlignment="1">
      <alignment horizontal="center" textRotation="90" wrapText="1"/>
    </xf>
    <xf numFmtId="0" fontId="2" fillId="0" borderId="42" xfId="0" applyFont="1" applyBorder="1" applyAlignment="1">
      <alignment horizontal="center" vertical="center" wrapText="1"/>
    </xf>
    <xf numFmtId="0" fontId="22" fillId="0" borderId="50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42" xfId="0" applyFont="1" applyBorder="1" applyAlignment="1">
      <alignment horizontal="center" vertical="center" textRotation="90"/>
    </xf>
    <xf numFmtId="0" fontId="14" fillId="0" borderId="56" xfId="0" applyFont="1" applyBorder="1" applyAlignment="1">
      <alignment horizontal="center" vertical="center" textRotation="90"/>
    </xf>
    <xf numFmtId="0" fontId="14" fillId="0" borderId="36" xfId="0" applyFont="1" applyBorder="1" applyAlignment="1">
      <alignment horizontal="center" vertical="center" textRotation="90"/>
    </xf>
    <xf numFmtId="0" fontId="14" fillId="0" borderId="39" xfId="0" applyFont="1" applyBorder="1" applyAlignment="1">
      <alignment horizontal="center" vertical="center" textRotation="90"/>
    </xf>
    <xf numFmtId="0" fontId="14" fillId="0" borderId="0" xfId="0" applyFont="1"/>
    <xf numFmtId="0" fontId="22" fillId="0" borderId="67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2" fillId="0" borderId="60" xfId="0" applyFont="1" applyBorder="1" applyAlignment="1">
      <alignment horizontal="center" vertical="center"/>
    </xf>
    <xf numFmtId="0" fontId="22" fillId="0" borderId="57" xfId="0" applyFont="1" applyBorder="1" applyAlignment="1">
      <alignment horizontal="center" vertical="center"/>
    </xf>
    <xf numFmtId="0" fontId="22" fillId="0" borderId="61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0" fillId="2" borderId="15" xfId="0" applyFont="1" applyFill="1" applyBorder="1"/>
    <xf numFmtId="0" fontId="8" fillId="0" borderId="16" xfId="0" applyFont="1" applyBorder="1" applyAlignment="1">
      <alignment horizontal="center"/>
    </xf>
    <xf numFmtId="0" fontId="8" fillId="0" borderId="16" xfId="0" applyFont="1" applyBorder="1"/>
    <xf numFmtId="167" fontId="8" fillId="0" borderId="24" xfId="0" quotePrefix="1" applyNumberFormat="1" applyFont="1" applyBorder="1" applyAlignment="1">
      <alignment horizontal="center"/>
    </xf>
    <xf numFmtId="0" fontId="23" fillId="0" borderId="16" xfId="0" applyFont="1" applyBorder="1"/>
    <xf numFmtId="0" fontId="10" fillId="2" borderId="24" xfId="0" applyFont="1" applyFill="1" applyBorder="1"/>
    <xf numFmtId="0" fontId="24" fillId="0" borderId="16" xfId="0" applyFont="1" applyBorder="1"/>
    <xf numFmtId="0" fontId="8" fillId="0" borderId="17" xfId="0" applyFont="1" applyBorder="1"/>
    <xf numFmtId="167" fontId="6" fillId="0" borderId="18" xfId="0" quotePrefix="1" applyNumberFormat="1" applyFont="1" applyBorder="1" applyAlignment="1">
      <alignment horizontal="center"/>
    </xf>
    <xf numFmtId="0" fontId="23" fillId="0" borderId="0" xfId="0" applyFont="1"/>
    <xf numFmtId="0" fontId="8" fillId="0" borderId="25" xfId="0" applyFont="1" applyBorder="1"/>
    <xf numFmtId="0" fontId="23" fillId="0" borderId="0" xfId="0" quotePrefix="1" applyFont="1"/>
    <xf numFmtId="167" fontId="6" fillId="0" borderId="25" xfId="0" quotePrefix="1" applyNumberFormat="1" applyFont="1" applyBorder="1" applyAlignment="1">
      <alignment horizontal="center"/>
    </xf>
    <xf numFmtId="0" fontId="8" fillId="0" borderId="19" xfId="0" applyFont="1" applyBorder="1"/>
    <xf numFmtId="0" fontId="8" fillId="2" borderId="18" xfId="0" applyFont="1" applyFill="1" applyBorder="1"/>
    <xf numFmtId="0" fontId="6" fillId="0" borderId="18" xfId="0" applyFont="1" applyBorder="1" applyAlignment="1">
      <alignment horizontal="center"/>
    </xf>
    <xf numFmtId="167" fontId="8" fillId="0" borderId="25" xfId="0" quotePrefix="1" applyNumberFormat="1" applyFont="1" applyBorder="1" applyAlignment="1">
      <alignment horizontal="center"/>
    </xf>
    <xf numFmtId="0" fontId="10" fillId="0" borderId="18" xfId="0" quotePrefix="1" applyFont="1" applyBorder="1" applyAlignment="1">
      <alignment horizontal="left"/>
    </xf>
    <xf numFmtId="0" fontId="8" fillId="0" borderId="0" xfId="0" quotePrefix="1" applyFont="1" applyAlignment="1">
      <alignment horizontal="right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18" xfId="0" applyFont="1" applyBorder="1" applyAlignment="1">
      <alignment horizontal="center"/>
    </xf>
    <xf numFmtId="0" fontId="10" fillId="2" borderId="25" xfId="0" applyFont="1" applyFill="1" applyBorder="1"/>
    <xf numFmtId="0" fontId="25" fillId="0" borderId="0" xfId="0" applyFont="1"/>
    <xf numFmtId="167" fontId="12" fillId="0" borderId="25" xfId="0" quotePrefix="1" applyNumberFormat="1" applyFont="1" applyBorder="1" applyAlignment="1">
      <alignment horizontal="left"/>
    </xf>
    <xf numFmtId="0" fontId="6" fillId="0" borderId="20" xfId="0" applyFont="1" applyBorder="1" applyAlignment="1">
      <alignment vertical="top"/>
    </xf>
    <xf numFmtId="0" fontId="6" fillId="0" borderId="21" xfId="0" applyFont="1" applyBorder="1" applyAlignment="1">
      <alignment horizontal="center" vertical="top"/>
    </xf>
    <xf numFmtId="0" fontId="6" fillId="0" borderId="21" xfId="0" applyFont="1" applyBorder="1" applyAlignment="1">
      <alignment vertical="top"/>
    </xf>
    <xf numFmtId="0" fontId="6" fillId="0" borderId="55" xfId="0" applyFont="1" applyBorder="1" applyAlignment="1">
      <alignment vertical="top"/>
    </xf>
    <xf numFmtId="0" fontId="6" fillId="0" borderId="21" xfId="0" quotePrefix="1" applyFont="1" applyBorder="1" applyAlignment="1">
      <alignment horizontal="right" vertical="top"/>
    </xf>
    <xf numFmtId="167" fontId="12" fillId="0" borderId="55" xfId="0" quotePrefix="1" applyNumberFormat="1" applyFont="1" applyBorder="1" applyAlignment="1">
      <alignment horizontal="left" vertical="top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vertical="top"/>
    </xf>
    <xf numFmtId="0" fontId="6" fillId="0" borderId="20" xfId="0" quotePrefix="1" applyFont="1" applyBorder="1" applyAlignment="1">
      <alignment horizontal="left" vertical="top"/>
    </xf>
    <xf numFmtId="0" fontId="26" fillId="0" borderId="0" xfId="0" applyFont="1"/>
    <xf numFmtId="0" fontId="14" fillId="0" borderId="38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textRotation="90" wrapText="1"/>
    </xf>
    <xf numFmtId="0" fontId="7" fillId="0" borderId="11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center" wrapText="1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/>
    <xf numFmtId="0" fontId="7" fillId="2" borderId="10" xfId="0" applyFont="1" applyFill="1" applyBorder="1"/>
    <xf numFmtId="0" fontId="7" fillId="2" borderId="11" xfId="0" applyFont="1" applyFill="1" applyBorder="1"/>
    <xf numFmtId="0" fontId="7" fillId="2" borderId="12" xfId="0" applyFont="1" applyFill="1" applyBorder="1"/>
    <xf numFmtId="0" fontId="7" fillId="2" borderId="8" xfId="0" applyFont="1" applyFill="1" applyBorder="1"/>
    <xf numFmtId="0" fontId="7" fillId="2" borderId="13" xfId="0" applyFont="1" applyFill="1" applyBorder="1"/>
    <xf numFmtId="2" fontId="27" fillId="0" borderId="8" xfId="0" applyNumberFormat="1" applyFont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/>
    </xf>
    <xf numFmtId="0" fontId="4" fillId="2" borderId="18" xfId="0" quotePrefix="1" applyFont="1" applyFill="1" applyBorder="1" applyAlignment="1">
      <alignment horizontal="right" vertical="top"/>
    </xf>
    <xf numFmtId="0" fontId="4" fillId="2" borderId="20" xfId="0" quotePrefix="1" applyFont="1" applyFill="1" applyBorder="1"/>
    <xf numFmtId="0" fontId="7" fillId="2" borderId="5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84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65" xfId="0" applyFont="1" applyBorder="1" applyAlignment="1">
      <alignment horizontal="left" vertical="center" wrapText="1"/>
    </xf>
    <xf numFmtId="0" fontId="18" fillId="0" borderId="25" xfId="0" applyFont="1" applyBorder="1" applyAlignment="1">
      <alignment vertical="center" wrapText="1"/>
    </xf>
    <xf numFmtId="0" fontId="13" fillId="0" borderId="25" xfId="0" quotePrefix="1" applyFont="1" applyBorder="1"/>
    <xf numFmtId="0" fontId="28" fillId="0" borderId="0" xfId="0" applyFont="1" applyAlignment="1">
      <alignment vertical="center"/>
    </xf>
    <xf numFmtId="0" fontId="28" fillId="0" borderId="88" xfId="0" applyFont="1" applyBorder="1" applyAlignment="1">
      <alignment vertical="center"/>
    </xf>
    <xf numFmtId="0" fontId="29" fillId="0" borderId="85" xfId="0" applyFont="1" applyBorder="1" applyAlignment="1">
      <alignment horizontal="center" vertical="center"/>
    </xf>
    <xf numFmtId="0" fontId="29" fillId="0" borderId="86" xfId="0" applyFont="1" applyBorder="1" applyAlignment="1">
      <alignment horizontal="center" vertical="center"/>
    </xf>
    <xf numFmtId="0" fontId="13" fillId="0" borderId="15" xfId="0" applyFont="1" applyBorder="1"/>
    <xf numFmtId="0" fontId="31" fillId="0" borderId="15" xfId="0" applyFont="1" applyBorder="1" applyAlignment="1">
      <alignment vertical="center"/>
    </xf>
    <xf numFmtId="0" fontId="28" fillId="0" borderId="16" xfId="0" applyFont="1" applyBorder="1" applyAlignment="1">
      <alignment vertical="center"/>
    </xf>
    <xf numFmtId="0" fontId="28" fillId="0" borderId="17" xfId="0" applyFont="1" applyBorder="1" applyAlignment="1">
      <alignment vertical="center"/>
    </xf>
    <xf numFmtId="0" fontId="28" fillId="0" borderId="18" xfId="0" applyFont="1" applyBorder="1" applyAlignment="1">
      <alignment horizontal="right" vertical="center"/>
    </xf>
    <xf numFmtId="0" fontId="28" fillId="0" borderId="19" xfId="0" applyFont="1" applyBorder="1" applyAlignment="1">
      <alignment vertical="center"/>
    </xf>
    <xf numFmtId="0" fontId="28" fillId="0" borderId="18" xfId="0" applyFont="1" applyBorder="1" applyAlignment="1">
      <alignment vertical="center"/>
    </xf>
    <xf numFmtId="0" fontId="28" fillId="0" borderId="20" xfId="0" applyFont="1" applyBorder="1" applyAlignment="1">
      <alignment vertical="center"/>
    </xf>
    <xf numFmtId="0" fontId="28" fillId="0" borderId="21" xfId="0" applyFont="1" applyBorder="1" applyAlignment="1">
      <alignment vertical="center"/>
    </xf>
    <xf numFmtId="0" fontId="28" fillId="0" borderId="22" xfId="0" applyFont="1" applyBorder="1" applyAlignment="1">
      <alignment vertical="center"/>
    </xf>
    <xf numFmtId="0" fontId="31" fillId="0" borderId="24" xfId="0" applyFont="1" applyBorder="1" applyAlignment="1">
      <alignment vertical="center"/>
    </xf>
    <xf numFmtId="0" fontId="28" fillId="0" borderId="25" xfId="0" applyFont="1" applyBorder="1" applyAlignment="1">
      <alignment vertical="center"/>
    </xf>
    <xf numFmtId="0" fontId="28" fillId="0" borderId="55" xfId="0" applyFont="1" applyBorder="1" applyAlignment="1">
      <alignment vertical="center"/>
    </xf>
    <xf numFmtId="0" fontId="29" fillId="0" borderId="99" xfId="0" applyFont="1" applyBorder="1" applyAlignment="1">
      <alignment horizontal="center" vertical="center"/>
    </xf>
    <xf numFmtId="0" fontId="28" fillId="0" borderId="102" xfId="0" applyFont="1" applyBorder="1" applyAlignment="1">
      <alignment vertical="center"/>
    </xf>
    <xf numFmtId="0" fontId="28" fillId="0" borderId="103" xfId="0" applyFont="1" applyBorder="1" applyAlignment="1">
      <alignment vertical="center"/>
    </xf>
    <xf numFmtId="0" fontId="28" fillId="0" borderId="104" xfId="0" applyFont="1" applyBorder="1" applyAlignment="1">
      <alignment vertical="center"/>
    </xf>
    <xf numFmtId="0" fontId="28" fillId="0" borderId="105" xfId="0" applyFont="1" applyBorder="1" applyAlignment="1">
      <alignment vertical="center"/>
    </xf>
    <xf numFmtId="0" fontId="28" fillId="0" borderId="113" xfId="0" applyFont="1" applyBorder="1" applyAlignment="1">
      <alignment vertical="center"/>
    </xf>
    <xf numFmtId="0" fontId="28" fillId="0" borderId="114" xfId="0" applyFont="1" applyBorder="1" applyAlignment="1">
      <alignment vertical="center"/>
    </xf>
    <xf numFmtId="0" fontId="28" fillId="0" borderId="115" xfId="0" applyFont="1" applyBorder="1" applyAlignment="1">
      <alignment vertical="center"/>
    </xf>
    <xf numFmtId="0" fontId="30" fillId="0" borderId="102" xfId="0" applyFont="1" applyBorder="1" applyAlignment="1">
      <alignment horizontal="center" vertical="center"/>
    </xf>
    <xf numFmtId="0" fontId="30" fillId="0" borderId="103" xfId="0" applyFont="1" applyBorder="1" applyAlignment="1">
      <alignment horizontal="center" vertical="center"/>
    </xf>
    <xf numFmtId="0" fontId="30" fillId="0" borderId="104" xfId="0" applyFont="1" applyBorder="1" applyAlignment="1">
      <alignment horizontal="center" vertical="center"/>
    </xf>
    <xf numFmtId="0" fontId="30" fillId="0" borderId="10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33" fillId="0" borderId="8" xfId="0" applyFont="1" applyBorder="1" applyAlignment="1">
      <alignment horizontal="center" vertical="center"/>
    </xf>
    <xf numFmtId="0" fontId="6" fillId="0" borderId="25" xfId="0" quotePrefix="1" applyFont="1" applyBorder="1" applyAlignment="1">
      <alignment horizontal="left"/>
    </xf>
    <xf numFmtId="0" fontId="20" fillId="0" borderId="18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32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5" fillId="2" borderId="21" xfId="0" quotePrefix="1" applyFont="1" applyFill="1" applyBorder="1" applyAlignment="1">
      <alignment horizontal="center" vertical="top"/>
    </xf>
    <xf numFmtId="166" fontId="27" fillId="0" borderId="8" xfId="0" applyNumberFormat="1" applyFont="1" applyBorder="1" applyAlignment="1">
      <alignment horizontal="center" vertical="center" wrapText="1"/>
    </xf>
    <xf numFmtId="166" fontId="9" fillId="0" borderId="8" xfId="0" applyNumberFormat="1" applyFont="1" applyBorder="1" applyAlignment="1">
      <alignment horizontal="center" vertical="center" wrapText="1"/>
    </xf>
    <xf numFmtId="0" fontId="5" fillId="2" borderId="0" xfId="0" quotePrefix="1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3" fillId="2" borderId="0" xfId="0" applyFont="1" applyFill="1"/>
    <xf numFmtId="166" fontId="10" fillId="0" borderId="1" xfId="0" applyNumberFormat="1" applyFont="1" applyBorder="1" applyAlignment="1">
      <alignment horizontal="center" vertical="center"/>
    </xf>
    <xf numFmtId="166" fontId="10" fillId="0" borderId="8" xfId="0" applyNumberFormat="1" applyFont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66" fontId="22" fillId="0" borderId="5" xfId="0" applyNumberFormat="1" applyFont="1" applyBorder="1" applyAlignment="1">
      <alignment horizontal="center" vertical="center"/>
    </xf>
    <xf numFmtId="166" fontId="22" fillId="0" borderId="8" xfId="0" applyNumberFormat="1" applyFont="1" applyBorder="1" applyAlignment="1">
      <alignment horizontal="center" vertical="center"/>
    </xf>
    <xf numFmtId="166" fontId="22" fillId="0" borderId="8" xfId="0" applyNumberFormat="1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1" fontId="22" fillId="0" borderId="8" xfId="0" applyNumberFormat="1" applyFont="1" applyBorder="1" applyAlignment="1">
      <alignment horizontal="center" vertical="center" wrapText="1"/>
    </xf>
    <xf numFmtId="1" fontId="22" fillId="0" borderId="5" xfId="0" applyNumberFormat="1" applyFont="1" applyBorder="1" applyAlignment="1">
      <alignment horizontal="center" vertical="center" wrapText="1"/>
    </xf>
    <xf numFmtId="166" fontId="22" fillId="0" borderId="5" xfId="0" applyNumberFormat="1" applyFont="1" applyBorder="1" applyAlignment="1">
      <alignment horizontal="center" vertical="center" wrapText="1"/>
    </xf>
    <xf numFmtId="2" fontId="33" fillId="0" borderId="8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9" xfId="0" applyFont="1" applyBorder="1" applyAlignment="1">
      <alignment horizontal="center" vertical="center" textRotation="255" shrinkToFit="1"/>
    </xf>
    <xf numFmtId="0" fontId="6" fillId="0" borderId="10" xfId="0" applyFont="1" applyBorder="1" applyAlignment="1">
      <alignment horizontal="center" vertical="center" textRotation="255"/>
    </xf>
    <xf numFmtId="0" fontId="6" fillId="0" borderId="10" xfId="0" applyFont="1" applyBorder="1" applyAlignment="1">
      <alignment horizontal="center" vertical="center" textRotation="255" wrapText="1"/>
    </xf>
    <xf numFmtId="0" fontId="6" fillId="0" borderId="11" xfId="0" applyFont="1" applyBorder="1" applyAlignment="1">
      <alignment horizontal="center" vertical="center" textRotation="255"/>
    </xf>
    <xf numFmtId="0" fontId="30" fillId="0" borderId="120" xfId="0" applyFont="1" applyBorder="1" applyAlignment="1">
      <alignment horizontal="center" vertical="center"/>
    </xf>
    <xf numFmtId="0" fontId="28" fillId="0" borderId="122" xfId="0" applyFont="1" applyBorder="1" applyAlignment="1">
      <alignment vertical="center"/>
    </xf>
    <xf numFmtId="0" fontId="28" fillId="0" borderId="120" xfId="0" applyFont="1" applyBorder="1" applyAlignment="1">
      <alignment vertical="center"/>
    </xf>
    <xf numFmtId="0" fontId="14" fillId="0" borderId="120" xfId="0" applyFont="1" applyBorder="1" applyAlignment="1">
      <alignment horizontal="center" vertical="center"/>
    </xf>
    <xf numFmtId="0" fontId="14" fillId="0" borderId="105" xfId="0" applyFont="1" applyBorder="1" applyAlignment="1">
      <alignment horizontal="center" vertical="center"/>
    </xf>
    <xf numFmtId="0" fontId="13" fillId="2" borderId="18" xfId="0" quotePrefix="1" applyFont="1" applyFill="1" applyBorder="1" applyAlignment="1">
      <alignment horizontal="right" vertical="center"/>
    </xf>
    <xf numFmtId="0" fontId="13" fillId="0" borderId="0" xfId="0" applyFont="1" applyAlignment="1">
      <alignment vertical="center"/>
    </xf>
    <xf numFmtId="0" fontId="28" fillId="0" borderId="96" xfId="0" applyFont="1" applyBorder="1" applyAlignment="1">
      <alignment vertical="center"/>
    </xf>
    <xf numFmtId="0" fontId="28" fillId="0" borderId="97" xfId="0" applyFont="1" applyBorder="1" applyAlignment="1">
      <alignment vertical="center"/>
    </xf>
    <xf numFmtId="0" fontId="28" fillId="0" borderId="101" xfId="0" applyFont="1" applyBorder="1" applyAlignment="1">
      <alignment vertical="center"/>
    </xf>
    <xf numFmtId="0" fontId="28" fillId="0" borderId="112" xfId="0" applyFont="1" applyBorder="1" applyAlignment="1">
      <alignment vertical="center"/>
    </xf>
    <xf numFmtId="0" fontId="28" fillId="0" borderId="98" xfId="0" applyFont="1" applyBorder="1" applyAlignment="1">
      <alignment vertical="center"/>
    </xf>
    <xf numFmtId="0" fontId="28" fillId="0" borderId="123" xfId="0" applyFont="1" applyBorder="1" applyAlignment="1">
      <alignment vertical="center"/>
    </xf>
    <xf numFmtId="0" fontId="28" fillId="0" borderId="124" xfId="0" applyFont="1" applyBorder="1" applyAlignment="1">
      <alignment vertical="center"/>
    </xf>
    <xf numFmtId="0" fontId="28" fillId="0" borderId="125" xfId="0" applyFont="1" applyBorder="1" applyAlignment="1">
      <alignment vertical="center"/>
    </xf>
    <xf numFmtId="0" fontId="28" fillId="0" borderId="126" xfId="0" applyFont="1" applyBorder="1" applyAlignment="1">
      <alignment vertical="center"/>
    </xf>
    <xf numFmtId="0" fontId="28" fillId="0" borderId="127" xfId="0" applyFont="1" applyBorder="1" applyAlignment="1">
      <alignment vertical="center"/>
    </xf>
    <xf numFmtId="0" fontId="28" fillId="0" borderId="67" xfId="0" applyFont="1" applyBorder="1" applyAlignment="1">
      <alignment vertical="center"/>
    </xf>
    <xf numFmtId="0" fontId="36" fillId="0" borderId="18" xfId="0" applyFont="1" applyBorder="1" applyAlignment="1">
      <alignment vertical="center"/>
    </xf>
    <xf numFmtId="0" fontId="10" fillId="0" borderId="21" xfId="0" applyFont="1" applyBorder="1"/>
    <xf numFmtId="0" fontId="6" fillId="0" borderId="25" xfId="0" quotePrefix="1" applyFont="1" applyBorder="1" applyAlignment="1">
      <alignment horizontal="left" vertical="top"/>
    </xf>
    <xf numFmtId="0" fontId="28" fillId="0" borderId="0" xfId="0" applyFont="1" applyAlignment="1">
      <alignment vertical="top"/>
    </xf>
    <xf numFmtId="0" fontId="28" fillId="0" borderId="19" xfId="0" applyFont="1" applyBorder="1" applyAlignment="1">
      <alignment vertical="top"/>
    </xf>
    <xf numFmtId="0" fontId="9" fillId="0" borderId="62" xfId="0" applyFont="1" applyBorder="1" applyAlignment="1">
      <alignment horizontal="left" vertical="center" wrapText="1"/>
    </xf>
    <xf numFmtId="166" fontId="9" fillId="0" borderId="32" xfId="0" applyNumberFormat="1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textRotation="90" wrapText="1"/>
    </xf>
    <xf numFmtId="0" fontId="7" fillId="0" borderId="62" xfId="0" applyFont="1" applyBorder="1" applyAlignment="1">
      <alignment horizontal="left" vertical="center" wrapText="1"/>
    </xf>
    <xf numFmtId="0" fontId="7" fillId="2" borderId="32" xfId="0" applyFont="1" applyFill="1" applyBorder="1"/>
    <xf numFmtId="0" fontId="7" fillId="2" borderId="28" xfId="0" applyFont="1" applyFill="1" applyBorder="1"/>
    <xf numFmtId="0" fontId="7" fillId="2" borderId="29" xfId="0" applyFont="1" applyFill="1" applyBorder="1"/>
    <xf numFmtId="0" fontId="7" fillId="2" borderId="30" xfId="0" applyFont="1" applyFill="1" applyBorder="1"/>
    <xf numFmtId="0" fontId="7" fillId="2" borderId="26" xfId="0" applyFont="1" applyFill="1" applyBorder="1"/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5" fillId="2" borderId="0" xfId="0" applyFont="1" applyFill="1" applyAlignment="1">
      <alignment vertical="top"/>
    </xf>
    <xf numFmtId="0" fontId="5" fillId="2" borderId="0" xfId="0" quotePrefix="1" applyFont="1" applyFill="1" applyAlignment="1">
      <alignment vertical="center"/>
    </xf>
    <xf numFmtId="0" fontId="10" fillId="2" borderId="5" xfId="0" applyFont="1" applyFill="1" applyBorder="1" applyAlignment="1">
      <alignment horizontal="center" vertical="center" textRotation="90"/>
    </xf>
    <xf numFmtId="0" fontId="14" fillId="2" borderId="69" xfId="0" applyFont="1" applyFill="1" applyBorder="1" applyAlignment="1">
      <alignment horizontal="center" textRotation="90" wrapText="1"/>
    </xf>
    <xf numFmtId="0" fontId="7" fillId="2" borderId="72" xfId="0" applyFont="1" applyFill="1" applyBorder="1"/>
    <xf numFmtId="0" fontId="14" fillId="2" borderId="2" xfId="0" applyFont="1" applyFill="1" applyBorder="1" applyAlignment="1">
      <alignment horizontal="center" textRotation="90" wrapText="1"/>
    </xf>
    <xf numFmtId="0" fontId="7" fillId="2" borderId="31" xfId="0" applyFont="1" applyFill="1" applyBorder="1"/>
    <xf numFmtId="0" fontId="7" fillId="2" borderId="5" xfId="0" applyFont="1" applyFill="1" applyBorder="1"/>
    <xf numFmtId="0" fontId="10" fillId="0" borderId="32" xfId="0" applyFont="1" applyBorder="1" applyAlignment="1">
      <alignment horizontal="center" vertical="center" wrapText="1"/>
    </xf>
    <xf numFmtId="1" fontId="22" fillId="0" borderId="32" xfId="0" applyNumberFormat="1" applyFont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textRotation="90" wrapText="1"/>
    </xf>
    <xf numFmtId="0" fontId="10" fillId="2" borderId="32" xfId="0" applyFont="1" applyFill="1" applyBorder="1" applyAlignment="1">
      <alignment horizontal="center" vertical="center"/>
    </xf>
    <xf numFmtId="0" fontId="10" fillId="0" borderId="66" xfId="0" applyFont="1" applyBorder="1" applyAlignment="1">
      <alignment horizontal="left" vertical="center" wrapText="1"/>
    </xf>
    <xf numFmtId="0" fontId="10" fillId="0" borderId="65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84" xfId="0" applyFont="1" applyBorder="1" applyAlignment="1">
      <alignment horizontal="left" vertical="center" wrapText="1"/>
    </xf>
    <xf numFmtId="49" fontId="6" fillId="0" borderId="0" xfId="0" applyNumberFormat="1" applyFont="1" applyAlignment="1">
      <alignment vertical="center" wrapText="1"/>
    </xf>
    <xf numFmtId="0" fontId="6" fillId="0" borderId="0" xfId="0" applyFont="1" applyAlignment="1">
      <alignment horizontal="left" vertical="top"/>
    </xf>
    <xf numFmtId="49" fontId="6" fillId="0" borderId="0" xfId="0" applyNumberFormat="1" applyFont="1" applyAlignment="1">
      <alignment vertical="top" wrapText="1"/>
    </xf>
    <xf numFmtId="0" fontId="22" fillId="0" borderId="106" xfId="0" applyFont="1" applyBorder="1" applyAlignment="1">
      <alignment horizontal="center" vertical="center"/>
    </xf>
    <xf numFmtId="0" fontId="28" fillId="0" borderId="108" xfId="0" applyFont="1" applyBorder="1" applyAlignment="1">
      <alignment vertical="center"/>
    </xf>
    <xf numFmtId="0" fontId="28" fillId="0" borderId="128" xfId="0" applyFont="1" applyBorder="1" applyAlignment="1">
      <alignment vertical="center"/>
    </xf>
    <xf numFmtId="0" fontId="22" fillId="0" borderId="11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2" fillId="0" borderId="0" xfId="0" applyFont="1" applyAlignment="1">
      <alignment vertical="center" wrapText="1"/>
    </xf>
    <xf numFmtId="0" fontId="28" fillId="0" borderId="129" xfId="0" applyFont="1" applyBorder="1" applyAlignment="1">
      <alignment vertical="center"/>
    </xf>
    <xf numFmtId="0" fontId="28" fillId="0" borderId="130" xfId="0" applyFont="1" applyBorder="1" applyAlignment="1">
      <alignment vertical="center"/>
    </xf>
    <xf numFmtId="0" fontId="28" fillId="0" borderId="131" xfId="0" applyFont="1" applyBorder="1" applyAlignment="1">
      <alignment vertical="center"/>
    </xf>
    <xf numFmtId="0" fontId="28" fillId="0" borderId="132" xfId="0" applyFont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right" vertical="center"/>
    </xf>
    <xf numFmtId="0" fontId="10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9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7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 wrapText="1"/>
    </xf>
    <xf numFmtId="0" fontId="22" fillId="0" borderId="32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22" fillId="0" borderId="10" xfId="0" applyFont="1" applyBorder="1" applyAlignment="1">
      <alignment vertical="center" wrapText="1"/>
    </xf>
    <xf numFmtId="0" fontId="22" fillId="0" borderId="10" xfId="0" applyFont="1" applyBorder="1" applyAlignment="1">
      <alignment horizontal="center" vertical="center" wrapText="1"/>
    </xf>
    <xf numFmtId="1" fontId="22" fillId="0" borderId="10" xfId="0" applyNumberFormat="1" applyFont="1" applyBorder="1" applyAlignment="1">
      <alignment horizontal="center" vertical="center"/>
    </xf>
    <xf numFmtId="166" fontId="22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39" fillId="0" borderId="10" xfId="0" applyFont="1" applyBorder="1" applyAlignment="1">
      <alignment vertical="center" wrapText="1"/>
    </xf>
    <xf numFmtId="0" fontId="39" fillId="0" borderId="10" xfId="0" applyFont="1" applyBorder="1" applyAlignment="1">
      <alignment horizontal="center" vertical="center" wrapText="1"/>
    </xf>
    <xf numFmtId="1" fontId="39" fillId="0" borderId="10" xfId="0" applyNumberFormat="1" applyFont="1" applyBorder="1" applyAlignment="1">
      <alignment horizontal="center" vertical="center"/>
    </xf>
    <xf numFmtId="166" fontId="39" fillId="0" borderId="10" xfId="0" applyNumberFormat="1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 wrapText="1"/>
    </xf>
    <xf numFmtId="168" fontId="14" fillId="0" borderId="68" xfId="23" applyNumberFormat="1" applyFont="1" applyFill="1" applyBorder="1" applyAlignment="1">
      <alignment vertical="center" wrapText="1"/>
    </xf>
    <xf numFmtId="0" fontId="38" fillId="0" borderId="68" xfId="0" applyFont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41" fillId="0" borderId="10" xfId="0" applyFont="1" applyBorder="1" applyAlignment="1">
      <alignment horizontal="center" vertical="center" wrapText="1"/>
    </xf>
    <xf numFmtId="168" fontId="33" fillId="0" borderId="10" xfId="23" applyNumberFormat="1" applyFont="1" applyFill="1" applyBorder="1" applyAlignment="1">
      <alignment vertical="center" wrapText="1"/>
    </xf>
    <xf numFmtId="0" fontId="2" fillId="2" borderId="32" xfId="0" applyFont="1" applyFill="1" applyBorder="1" applyAlignment="1">
      <alignment horizontal="center" vertical="center"/>
    </xf>
    <xf numFmtId="9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2" borderId="44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10" fillId="2" borderId="3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textRotation="90"/>
    </xf>
    <xf numFmtId="0" fontId="2" fillId="2" borderId="45" xfId="0" applyFont="1" applyFill="1" applyBorder="1" applyAlignment="1">
      <alignment horizontal="center" vertical="center" textRotation="90"/>
    </xf>
    <xf numFmtId="0" fontId="2" fillId="2" borderId="34" xfId="0" applyFont="1" applyFill="1" applyBorder="1" applyAlignment="1">
      <alignment horizontal="center" vertical="center" textRotation="90"/>
    </xf>
    <xf numFmtId="0" fontId="2" fillId="2" borderId="56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10" fillId="2" borderId="44" xfId="0" applyFont="1" applyFill="1" applyBorder="1" applyAlignment="1">
      <alignment horizontal="center" vertical="center" textRotation="90"/>
    </xf>
    <xf numFmtId="0" fontId="10" fillId="2" borderId="45" xfId="0" applyFont="1" applyFill="1" applyBorder="1" applyAlignment="1">
      <alignment horizontal="center" vertical="center" textRotation="90"/>
    </xf>
    <xf numFmtId="0" fontId="10" fillId="2" borderId="1" xfId="0" applyFont="1" applyFill="1" applyBorder="1" applyAlignment="1">
      <alignment horizontal="center" vertical="center" textRotation="90"/>
    </xf>
    <xf numFmtId="0" fontId="5" fillId="2" borderId="0" xfId="0" quotePrefix="1" applyFont="1" applyFill="1" applyAlignment="1">
      <alignment horizontal="left" vertical="top" wrapText="1"/>
    </xf>
    <xf numFmtId="0" fontId="5" fillId="2" borderId="21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2" fillId="2" borderId="2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18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53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 textRotation="90"/>
    </xf>
    <xf numFmtId="0" fontId="2" fillId="0" borderId="45" xfId="0" applyFont="1" applyBorder="1" applyAlignment="1">
      <alignment horizontal="center" vertical="center" textRotation="90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5" fillId="2" borderId="67" xfId="0" quotePrefix="1" applyFont="1" applyFill="1" applyBorder="1" applyAlignment="1">
      <alignment horizontal="left" vertical="top" wrapText="1"/>
    </xf>
    <xf numFmtId="0" fontId="2" fillId="0" borderId="39" xfId="0" applyFont="1" applyBorder="1" applyAlignment="1">
      <alignment horizontal="center" textRotation="90" wrapText="1"/>
    </xf>
    <xf numFmtId="0" fontId="2" fillId="0" borderId="23" xfId="0" applyFont="1" applyBorder="1" applyAlignment="1">
      <alignment horizontal="center" textRotation="90" wrapText="1"/>
    </xf>
    <xf numFmtId="0" fontId="5" fillId="2" borderId="21" xfId="0" quotePrefix="1" applyFont="1" applyFill="1" applyBorder="1" applyAlignment="1">
      <alignment horizontal="left" vertical="top" wrapText="1"/>
    </xf>
    <xf numFmtId="0" fontId="5" fillId="2" borderId="74" xfId="0" quotePrefix="1" applyFont="1" applyFill="1" applyBorder="1" applyAlignment="1">
      <alignment horizontal="left" vertical="top" wrapText="1"/>
    </xf>
    <xf numFmtId="0" fontId="2" fillId="0" borderId="36" xfId="0" applyFont="1" applyBorder="1" applyAlignment="1">
      <alignment horizontal="center" textRotation="90" wrapText="1"/>
    </xf>
    <xf numFmtId="0" fontId="2" fillId="0" borderId="35" xfId="0" applyFont="1" applyBorder="1" applyAlignment="1">
      <alignment horizontal="center" textRotation="90" wrapText="1"/>
    </xf>
    <xf numFmtId="0" fontId="2" fillId="0" borderId="42" xfId="0" applyFont="1" applyBorder="1" applyAlignment="1">
      <alignment horizontal="center" textRotation="90" wrapText="1"/>
    </xf>
    <xf numFmtId="0" fontId="2" fillId="0" borderId="38" xfId="0" applyFont="1" applyBorder="1" applyAlignment="1">
      <alignment horizontal="center" textRotation="90" wrapText="1"/>
    </xf>
    <xf numFmtId="0" fontId="2" fillId="0" borderId="34" xfId="0" applyFont="1" applyBorder="1" applyAlignment="1">
      <alignment horizontal="center" vertical="center" textRotation="90"/>
    </xf>
    <xf numFmtId="0" fontId="2" fillId="0" borderId="46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8" fillId="0" borderId="25" xfId="0" quotePrefix="1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19" xfId="0" applyFont="1" applyBorder="1" applyAlignment="1">
      <alignment horizontal="left" vertical="center" wrapText="1"/>
    </xf>
    <xf numFmtId="0" fontId="18" fillId="0" borderId="25" xfId="0" applyFont="1" applyBorder="1" applyAlignment="1">
      <alignment horizontal="left" vertical="center" wrapText="1"/>
    </xf>
    <xf numFmtId="0" fontId="26" fillId="0" borderId="75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 textRotation="180"/>
    </xf>
    <xf numFmtId="0" fontId="13" fillId="0" borderId="90" xfId="0" applyFont="1" applyBorder="1" applyAlignment="1">
      <alignment horizontal="center" vertical="center" textRotation="180"/>
    </xf>
    <xf numFmtId="0" fontId="13" fillId="0" borderId="94" xfId="0" applyFont="1" applyBorder="1" applyAlignment="1">
      <alignment horizontal="center" vertical="center" textRotation="180"/>
    </xf>
    <xf numFmtId="0" fontId="13" fillId="0" borderId="95" xfId="0" applyFont="1" applyBorder="1" applyAlignment="1">
      <alignment horizontal="center" vertical="center" textRotation="180"/>
    </xf>
    <xf numFmtId="0" fontId="13" fillId="0" borderId="93" xfId="0" applyFont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28" fillId="0" borderId="85" xfId="0" applyFont="1" applyBorder="1" applyAlignment="1">
      <alignment horizontal="center" textRotation="90" wrapText="1"/>
    </xf>
    <xf numFmtId="0" fontId="28" fillId="0" borderId="86" xfId="0" applyFont="1" applyBorder="1" applyAlignment="1">
      <alignment horizontal="center" textRotation="90" wrapText="1"/>
    </xf>
    <xf numFmtId="0" fontId="14" fillId="0" borderId="121" xfId="0" applyFont="1" applyBorder="1" applyAlignment="1">
      <alignment horizontal="center" vertical="center" textRotation="90"/>
    </xf>
    <xf numFmtId="0" fontId="28" fillId="0" borderId="118" xfId="0" applyFont="1" applyBorder="1" applyAlignment="1">
      <alignment horizontal="center" vertical="center"/>
    </xf>
    <xf numFmtId="0" fontId="28" fillId="0" borderId="87" xfId="0" applyFont="1" applyBorder="1" applyAlignment="1">
      <alignment horizontal="center" vertical="center"/>
    </xf>
    <xf numFmtId="0" fontId="28" fillId="0" borderId="119" xfId="0" applyFont="1" applyBorder="1" applyAlignment="1">
      <alignment horizontal="center" vertical="center"/>
    </xf>
    <xf numFmtId="0" fontId="28" fillId="0" borderId="59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66" xfId="0" applyFont="1" applyBorder="1" applyAlignment="1">
      <alignment horizontal="center" vertical="center"/>
    </xf>
    <xf numFmtId="0" fontId="28" fillId="0" borderId="65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14" fillId="0" borderId="106" xfId="0" applyFont="1" applyBorder="1" applyAlignment="1">
      <alignment horizontal="center" vertical="center"/>
    </xf>
    <xf numFmtId="0" fontId="14" fillId="0" borderId="107" xfId="0" applyFont="1" applyBorder="1" applyAlignment="1">
      <alignment horizontal="center" vertical="center"/>
    </xf>
    <xf numFmtId="0" fontId="14" fillId="0" borderId="116" xfId="0" applyFont="1" applyBorder="1" applyAlignment="1">
      <alignment horizontal="center" vertical="center"/>
    </xf>
    <xf numFmtId="0" fontId="13" fillId="0" borderId="76" xfId="0" applyFont="1" applyBorder="1" applyAlignment="1">
      <alignment horizontal="left" vertical="center" wrapText="1"/>
    </xf>
    <xf numFmtId="0" fontId="13" fillId="0" borderId="70" xfId="0" applyFont="1" applyBorder="1" applyAlignment="1">
      <alignment horizontal="left" vertical="center" wrapText="1"/>
    </xf>
    <xf numFmtId="0" fontId="13" fillId="0" borderId="71" xfId="0" applyFont="1" applyBorder="1" applyAlignment="1">
      <alignment horizontal="left" vertical="center" wrapText="1"/>
    </xf>
    <xf numFmtId="0" fontId="13" fillId="0" borderId="77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19" xfId="0" applyFont="1" applyBorder="1" applyAlignment="1">
      <alignment horizontal="left" vertical="center" wrapText="1"/>
    </xf>
    <xf numFmtId="0" fontId="13" fillId="0" borderId="78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0" fontId="14" fillId="0" borderId="109" xfId="0" applyFont="1" applyBorder="1" applyAlignment="1">
      <alignment horizontal="center" vertical="center"/>
    </xf>
    <xf numFmtId="0" fontId="14" fillId="0" borderId="110" xfId="0" applyFont="1" applyBorder="1" applyAlignment="1">
      <alignment horizontal="center" vertical="center"/>
    </xf>
    <xf numFmtId="0" fontId="14" fillId="0" borderId="111" xfId="0" applyFont="1" applyBorder="1" applyAlignment="1">
      <alignment horizontal="center" vertical="center"/>
    </xf>
    <xf numFmtId="0" fontId="32" fillId="0" borderId="96" xfId="0" applyFont="1" applyBorder="1" applyAlignment="1">
      <alignment horizontal="center" vertical="center"/>
    </xf>
    <xf numFmtId="0" fontId="32" fillId="0" borderId="97" xfId="0" applyFont="1" applyBorder="1" applyAlignment="1">
      <alignment horizontal="center" vertical="center"/>
    </xf>
    <xf numFmtId="0" fontId="32" fillId="0" borderId="101" xfId="0" applyFont="1" applyBorder="1" applyAlignment="1">
      <alignment horizontal="center" vertical="center"/>
    </xf>
    <xf numFmtId="0" fontId="32" fillId="0" borderId="112" xfId="0" applyFont="1" applyBorder="1" applyAlignment="1">
      <alignment horizontal="center" vertical="center"/>
    </xf>
    <xf numFmtId="0" fontId="14" fillId="0" borderId="98" xfId="0" applyFont="1" applyBorder="1" applyAlignment="1">
      <alignment horizontal="center" vertical="center" textRotation="90"/>
    </xf>
    <xf numFmtId="0" fontId="14" fillId="0" borderId="100" xfId="0" applyFont="1" applyBorder="1" applyAlignment="1">
      <alignment horizontal="center" vertical="center" textRotation="90"/>
    </xf>
    <xf numFmtId="0" fontId="32" fillId="0" borderId="106" xfId="0" applyFont="1" applyBorder="1" applyAlignment="1">
      <alignment horizontal="center" vertical="center"/>
    </xf>
    <xf numFmtId="0" fontId="32" fillId="0" borderId="117" xfId="0" applyFont="1" applyBorder="1" applyAlignment="1">
      <alignment horizontal="center" vertical="center"/>
    </xf>
    <xf numFmtId="0" fontId="32" fillId="0" borderId="98" xfId="0" applyFont="1" applyBorder="1" applyAlignment="1">
      <alignment horizontal="center" vertical="center"/>
    </xf>
    <xf numFmtId="0" fontId="34" fillId="0" borderId="99" xfId="0" applyFont="1" applyBorder="1" applyAlignment="1">
      <alignment vertical="center" wrapText="1"/>
    </xf>
    <xf numFmtId="0" fontId="30" fillId="0" borderId="85" xfId="0" applyFont="1" applyBorder="1" applyAlignment="1">
      <alignment vertical="center"/>
    </xf>
    <xf numFmtId="0" fontId="30" fillId="0" borderId="86" xfId="0" applyFont="1" applyBorder="1" applyAlignment="1">
      <alignment vertical="center"/>
    </xf>
    <xf numFmtId="0" fontId="30" fillId="0" borderId="99" xfId="0" applyFont="1" applyBorder="1" applyAlignment="1">
      <alignment vertical="center"/>
    </xf>
    <xf numFmtId="0" fontId="28" fillId="0" borderId="99" xfId="0" applyFont="1" applyBorder="1" applyAlignment="1">
      <alignment horizontal="center" textRotation="90" wrapText="1"/>
    </xf>
    <xf numFmtId="0" fontId="13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3" fillId="0" borderId="55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13" fillId="0" borderId="63" xfId="0" applyFont="1" applyBorder="1" applyAlignment="1">
      <alignment horizontal="left" vertical="center" wrapText="1"/>
    </xf>
    <xf numFmtId="0" fontId="13" fillId="0" borderId="64" xfId="0" applyFont="1" applyBorder="1" applyAlignment="1">
      <alignment horizontal="left" vertical="center" wrapText="1"/>
    </xf>
    <xf numFmtId="0" fontId="13" fillId="0" borderId="25" xfId="0" applyFont="1" applyBorder="1" applyAlignment="1">
      <alignment horizontal="left" vertical="center" wrapText="1"/>
    </xf>
    <xf numFmtId="0" fontId="13" fillId="0" borderId="68" xfId="0" applyFont="1" applyBorder="1" applyAlignment="1">
      <alignment horizontal="left" vertical="center" wrapText="1"/>
    </xf>
    <xf numFmtId="0" fontId="13" fillId="0" borderId="73" xfId="0" applyFont="1" applyBorder="1" applyAlignment="1">
      <alignment horizontal="left" vertical="center" wrapText="1"/>
    </xf>
    <xf numFmtId="0" fontId="13" fillId="0" borderId="67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58" xfId="0" applyFont="1" applyBorder="1" applyAlignment="1">
      <alignment horizontal="left" vertical="center" wrapText="1"/>
    </xf>
    <xf numFmtId="0" fontId="13" fillId="0" borderId="91" xfId="0" applyFont="1" applyBorder="1" applyAlignment="1">
      <alignment horizontal="left" vertical="center" wrapText="1"/>
    </xf>
    <xf numFmtId="0" fontId="13" fillId="0" borderId="83" xfId="0" applyFont="1" applyBorder="1" applyAlignment="1">
      <alignment horizontal="center" vertical="center"/>
    </xf>
    <xf numFmtId="0" fontId="13" fillId="0" borderId="92" xfId="0" applyFont="1" applyBorder="1" applyAlignment="1">
      <alignment horizontal="center" vertical="center"/>
    </xf>
    <xf numFmtId="0" fontId="13" fillId="0" borderId="80" xfId="0" applyFont="1" applyBorder="1" applyAlignment="1">
      <alignment horizontal="center" vertical="center"/>
    </xf>
    <xf numFmtId="0" fontId="13" fillId="0" borderId="3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63" xfId="0" applyFont="1" applyBorder="1" applyAlignment="1">
      <alignment vertical="center" wrapText="1"/>
    </xf>
    <xf numFmtId="0" fontId="13" fillId="0" borderId="64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3" fillId="0" borderId="41" xfId="0" applyFont="1" applyBorder="1" applyAlignment="1">
      <alignment vertical="center" wrapText="1"/>
    </xf>
    <xf numFmtId="0" fontId="13" fillId="0" borderId="82" xfId="0" applyFont="1" applyBorder="1" applyAlignment="1">
      <alignment horizontal="center" vertical="center"/>
    </xf>
    <xf numFmtId="0" fontId="13" fillId="0" borderId="10" xfId="0" applyFont="1" applyBorder="1" applyAlignment="1">
      <alignment horizontal="left" vertical="center"/>
    </xf>
    <xf numFmtId="0" fontId="13" fillId="0" borderId="29" xfId="0" applyFont="1" applyBorder="1" applyAlignment="1">
      <alignment horizontal="left" vertical="center"/>
    </xf>
    <xf numFmtId="0" fontId="14" fillId="0" borderId="44" xfId="0" applyFont="1" applyBorder="1" applyAlignment="1">
      <alignment horizontal="center" vertical="center" textRotation="90"/>
    </xf>
    <xf numFmtId="0" fontId="14" fillId="0" borderId="1" xfId="0" applyFont="1" applyBorder="1" applyAlignment="1">
      <alignment horizontal="center" vertical="center" textRotation="90"/>
    </xf>
    <xf numFmtId="0" fontId="22" fillId="0" borderId="44" xfId="0" applyFont="1" applyBorder="1" applyAlignment="1">
      <alignment horizontal="center" vertical="center" textRotation="90"/>
    </xf>
    <xf numFmtId="0" fontId="22" fillId="0" borderId="1" xfId="0" applyFont="1" applyBorder="1" applyAlignment="1">
      <alignment horizontal="center" vertical="center" textRotation="90"/>
    </xf>
    <xf numFmtId="0" fontId="22" fillId="0" borderId="50" xfId="0" applyFont="1" applyBorder="1" applyAlignment="1">
      <alignment horizontal="center" vertical="center"/>
    </xf>
    <xf numFmtId="0" fontId="22" fillId="0" borderId="51" xfId="0" applyFont="1" applyBorder="1" applyAlignment="1">
      <alignment horizontal="center" vertical="center"/>
    </xf>
    <xf numFmtId="0" fontId="22" fillId="0" borderId="52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 textRotation="90"/>
    </xf>
    <xf numFmtId="0" fontId="14" fillId="0" borderId="38" xfId="0" applyFont="1" applyBorder="1" applyAlignment="1">
      <alignment horizontal="center" vertical="center" textRotation="90"/>
    </xf>
    <xf numFmtId="0" fontId="14" fillId="0" borderId="24" xfId="0" applyFont="1" applyBorder="1" applyAlignment="1">
      <alignment horizontal="center" vertical="center" textRotation="90"/>
    </xf>
    <xf numFmtId="0" fontId="14" fillId="0" borderId="27" xfId="0" applyFont="1" applyBorder="1" applyAlignment="1">
      <alignment horizontal="center" vertical="center" textRotation="90"/>
    </xf>
    <xf numFmtId="0" fontId="21" fillId="0" borderId="44" xfId="0" applyFont="1" applyBorder="1" applyAlignment="1">
      <alignment horizontal="center" vertical="center" wrapText="1"/>
    </xf>
    <xf numFmtId="0" fontId="21" fillId="0" borderId="45" xfId="0" applyFont="1" applyBorder="1" applyAlignment="1">
      <alignment horizontal="center" vertical="center" wrapText="1"/>
    </xf>
    <xf numFmtId="0" fontId="21" fillId="0" borderId="34" xfId="0" applyFont="1" applyBorder="1" applyAlignment="1">
      <alignment horizontal="center" vertical="center" wrapText="1"/>
    </xf>
    <xf numFmtId="0" fontId="21" fillId="0" borderId="44" xfId="0" applyFont="1" applyBorder="1" applyAlignment="1">
      <alignment horizontal="center" vertical="center" textRotation="90"/>
    </xf>
    <xf numFmtId="0" fontId="21" fillId="0" borderId="45" xfId="0" applyFont="1" applyBorder="1" applyAlignment="1">
      <alignment horizontal="center" vertical="center" textRotation="90"/>
    </xf>
    <xf numFmtId="0" fontId="21" fillId="0" borderId="34" xfId="0" applyFont="1" applyBorder="1" applyAlignment="1">
      <alignment horizontal="center" vertical="center" textRotation="90"/>
    </xf>
    <xf numFmtId="0" fontId="21" fillId="0" borderId="18" xfId="0" applyFont="1" applyBorder="1" applyAlignment="1">
      <alignment horizontal="center" vertical="center" textRotation="90"/>
    </xf>
    <xf numFmtId="0" fontId="14" fillId="0" borderId="45" xfId="0" applyFont="1" applyBorder="1" applyAlignment="1">
      <alignment horizontal="center" vertical="center" textRotation="90"/>
    </xf>
    <xf numFmtId="0" fontId="20" fillId="0" borderId="15" xfId="0" applyFont="1" applyBorder="1" applyAlignment="1">
      <alignment horizontal="center" textRotation="90" wrapText="1"/>
    </xf>
    <xf numFmtId="0" fontId="20" fillId="0" borderId="79" xfId="0" applyFont="1" applyBorder="1" applyAlignment="1">
      <alignment horizontal="center" textRotation="90" wrapText="1"/>
    </xf>
    <xf numFmtId="0" fontId="20" fillId="0" borderId="36" xfId="0" applyFont="1" applyBorder="1" applyAlignment="1">
      <alignment horizontal="center" textRotation="90" wrapText="1"/>
    </xf>
    <xf numFmtId="0" fontId="20" fillId="0" borderId="35" xfId="0" applyFont="1" applyBorder="1" applyAlignment="1">
      <alignment horizontal="center" textRotation="90" wrapText="1"/>
    </xf>
    <xf numFmtId="0" fontId="20" fillId="0" borderId="24" xfId="0" applyFont="1" applyBorder="1" applyAlignment="1">
      <alignment horizontal="center" textRotation="90" wrapText="1"/>
    </xf>
    <xf numFmtId="0" fontId="20" fillId="0" borderId="27" xfId="0" applyFont="1" applyBorder="1" applyAlignment="1">
      <alignment horizontal="center" textRotation="90" wrapText="1"/>
    </xf>
    <xf numFmtId="0" fontId="28" fillId="0" borderId="98" xfId="0" applyFont="1" applyBorder="1" applyAlignment="1">
      <alignment horizontal="center" vertical="center" textRotation="90"/>
    </xf>
    <xf numFmtId="0" fontId="28" fillId="0" borderId="100" xfId="0" applyFont="1" applyBorder="1" applyAlignment="1">
      <alignment horizontal="center" vertical="center" textRotation="90"/>
    </xf>
    <xf numFmtId="0" fontId="14" fillId="0" borderId="117" xfId="0" applyFont="1" applyBorder="1" applyAlignment="1">
      <alignment horizontal="center" vertical="center"/>
    </xf>
    <xf numFmtId="0" fontId="14" fillId="0" borderId="98" xfId="0" applyFont="1" applyBorder="1" applyAlignment="1">
      <alignment horizontal="center" vertical="center"/>
    </xf>
    <xf numFmtId="0" fontId="28" fillId="0" borderId="121" xfId="0" applyFont="1" applyBorder="1" applyAlignment="1">
      <alignment horizontal="center" vertical="center" textRotation="90"/>
    </xf>
    <xf numFmtId="0" fontId="18" fillId="0" borderId="25" xfId="0" quotePrefix="1" applyFont="1" applyBorder="1" applyAlignment="1">
      <alignment horizontal="left" vertical="top" wrapText="1"/>
    </xf>
    <xf numFmtId="0" fontId="18" fillId="0" borderId="0" xfId="0" quotePrefix="1" applyFont="1" applyAlignment="1">
      <alignment horizontal="left" vertical="top" wrapText="1"/>
    </xf>
    <xf numFmtId="0" fontId="18" fillId="0" borderId="19" xfId="0" quotePrefix="1" applyFont="1" applyBorder="1" applyAlignment="1">
      <alignment horizontal="left" vertical="top" wrapText="1"/>
    </xf>
    <xf numFmtId="0" fontId="18" fillId="0" borderId="55" xfId="0" quotePrefix="1" applyFont="1" applyBorder="1" applyAlignment="1">
      <alignment horizontal="left" vertical="top" wrapText="1"/>
    </xf>
    <xf numFmtId="0" fontId="18" fillId="0" borderId="21" xfId="0" quotePrefix="1" applyFont="1" applyBorder="1" applyAlignment="1">
      <alignment horizontal="left" vertical="top" wrapText="1"/>
    </xf>
    <xf numFmtId="0" fontId="18" fillId="0" borderId="22" xfId="0" quotePrefix="1" applyFont="1" applyBorder="1" applyAlignment="1">
      <alignment horizontal="left" vertical="top" wrapText="1"/>
    </xf>
    <xf numFmtId="0" fontId="2" fillId="0" borderId="7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13" fillId="0" borderId="0" xfId="0" applyFont="1" applyAlignment="1">
      <alignment horizontal="left"/>
    </xf>
    <xf numFmtId="0" fontId="2" fillId="0" borderId="57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/>
    </xf>
    <xf numFmtId="0" fontId="7" fillId="0" borderId="44" xfId="0" applyFont="1" applyBorder="1" applyAlignment="1">
      <alignment horizontal="center" vertical="center" textRotation="90"/>
    </xf>
    <xf numFmtId="0" fontId="7" fillId="0" borderId="45" xfId="0" applyFont="1" applyBorder="1" applyAlignment="1">
      <alignment horizontal="center" vertical="center" textRotation="90"/>
    </xf>
    <xf numFmtId="0" fontId="10" fillId="0" borderId="42" xfId="0" applyFont="1" applyBorder="1" applyAlignment="1">
      <alignment horizontal="center" textRotation="90" wrapText="1"/>
    </xf>
    <xf numFmtId="0" fontId="10" fillId="0" borderId="39" xfId="0" applyFont="1" applyBorder="1" applyAlignment="1">
      <alignment horizontal="center" textRotation="90" wrapText="1"/>
    </xf>
    <xf numFmtId="0" fontId="2" fillId="2" borderId="133" xfId="0" applyFont="1" applyFill="1" applyBorder="1" applyAlignment="1">
      <alignment horizontal="left" vertical="center" wrapText="1"/>
    </xf>
    <xf numFmtId="0" fontId="2" fillId="2" borderId="68" xfId="0" applyFont="1" applyFill="1" applyBorder="1" applyAlignment="1">
      <alignment horizontal="left" vertical="center" wrapText="1"/>
    </xf>
    <xf numFmtId="0" fontId="5" fillId="0" borderId="64" xfId="0" applyFont="1" applyBorder="1"/>
    <xf numFmtId="0" fontId="2" fillId="2" borderId="0" xfId="0" applyFont="1" applyFill="1" applyBorder="1" applyAlignment="1">
      <alignment horizontal="left" vertical="center" wrapText="1"/>
    </xf>
    <xf numFmtId="0" fontId="6" fillId="0" borderId="0" xfId="0" applyFont="1" applyBorder="1"/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10" fillId="0" borderId="60" xfId="0" applyFont="1" applyBorder="1"/>
    <xf numFmtId="0" fontId="10" fillId="0" borderId="62" xfId="0" applyFont="1" applyBorder="1"/>
    <xf numFmtId="0" fontId="2" fillId="2" borderId="15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top"/>
    </xf>
    <xf numFmtId="0" fontId="7" fillId="2" borderId="0" xfId="0" applyFont="1" applyFill="1" applyAlignment="1">
      <alignment horizontal="right" vertical="top"/>
    </xf>
    <xf numFmtId="0" fontId="8" fillId="0" borderId="0" xfId="0" applyFont="1" applyBorder="1"/>
    <xf numFmtId="0" fontId="8" fillId="0" borderId="0" xfId="0" applyFont="1" applyBorder="1" applyAlignment="1">
      <alignment vertical="center"/>
    </xf>
    <xf numFmtId="0" fontId="21" fillId="0" borderId="1" xfId="0" applyFont="1" applyBorder="1" applyAlignment="1">
      <alignment horizontal="center" vertical="center" textRotation="90"/>
    </xf>
  </cellXfs>
  <cellStyles count="24">
    <cellStyle name="Comma" xfId="23" builtinId="3"/>
    <cellStyle name="Comma [0] 2" xfId="1" xr:uid="{00000000-0005-0000-0000-000000000000}"/>
    <cellStyle name="Comma 10" xfId="2" xr:uid="{00000000-0005-0000-0000-000001000000}"/>
    <cellStyle name="Comma 11" xfId="3" xr:uid="{00000000-0005-0000-0000-000002000000}"/>
    <cellStyle name="Comma 12" xfId="4" xr:uid="{00000000-0005-0000-0000-000003000000}"/>
    <cellStyle name="Comma 13" xfId="5" xr:uid="{00000000-0005-0000-0000-000004000000}"/>
    <cellStyle name="Comma 14" xfId="6" xr:uid="{00000000-0005-0000-0000-000005000000}"/>
    <cellStyle name="Comma 15" xfId="7" xr:uid="{00000000-0005-0000-0000-000006000000}"/>
    <cellStyle name="Comma 16" xfId="8" xr:uid="{00000000-0005-0000-0000-000007000000}"/>
    <cellStyle name="Comma 17" xfId="9" xr:uid="{00000000-0005-0000-0000-000008000000}"/>
    <cellStyle name="Comma 18" xfId="10" xr:uid="{00000000-0005-0000-0000-000009000000}"/>
    <cellStyle name="Comma 19" xfId="11" xr:uid="{00000000-0005-0000-0000-00000A000000}"/>
    <cellStyle name="Comma 2" xfId="12" xr:uid="{00000000-0005-0000-0000-00000B000000}"/>
    <cellStyle name="Comma 20" xfId="13" xr:uid="{00000000-0005-0000-0000-00000C000000}"/>
    <cellStyle name="Comma 21" xfId="14" xr:uid="{00000000-0005-0000-0000-00000D000000}"/>
    <cellStyle name="Comma 3" xfId="15" xr:uid="{00000000-0005-0000-0000-00000E000000}"/>
    <cellStyle name="Comma 4" xfId="16" xr:uid="{00000000-0005-0000-0000-00000F000000}"/>
    <cellStyle name="Comma 5" xfId="17" xr:uid="{00000000-0005-0000-0000-000010000000}"/>
    <cellStyle name="Comma 6" xfId="18" xr:uid="{00000000-0005-0000-0000-000011000000}"/>
    <cellStyle name="Comma 7" xfId="19" xr:uid="{00000000-0005-0000-0000-000012000000}"/>
    <cellStyle name="Comma 8" xfId="20" xr:uid="{00000000-0005-0000-0000-000013000000}"/>
    <cellStyle name="Comma 9" xfId="21" xr:uid="{00000000-0005-0000-0000-000014000000}"/>
    <cellStyle name="Normal" xfId="0" builtinId="0"/>
    <cellStyle name="Normal 2" xfId="22" xr:uid="{00000000-0005-0000-0000-000016000000}"/>
  </cellStyles>
  <dxfs count="0"/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982755</xdr:colOff>
      <xdr:row>0</xdr:row>
      <xdr:rowOff>78442</xdr:rowOff>
    </xdr:from>
    <xdr:to>
      <xdr:col>5</xdr:col>
      <xdr:colOff>18291</xdr:colOff>
      <xdr:row>0</xdr:row>
      <xdr:rowOff>851647</xdr:rowOff>
    </xdr:to>
    <xdr:pic>
      <xdr:nvPicPr>
        <xdr:cNvPr id="2" name="Picture 1" descr="shorinji kempo new logo">
          <a:extLst>
            <a:ext uri="{FF2B5EF4-FFF2-40B4-BE49-F238E27FC236}">
              <a16:creationId xmlns:a16="http://schemas.microsoft.com/office/drawing/2014/main" id="{4EE792A2-009D-4BD8-86BC-35C91EB6C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8174" b="5261"/>
        <a:stretch>
          <a:fillRect/>
        </a:stretch>
      </xdr:blipFill>
      <xdr:spPr bwMode="auto">
        <a:xfrm>
          <a:off x="4392705" y="78442"/>
          <a:ext cx="959586" cy="773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D11E-EC80-4089-8F50-54777AC82DC9}">
  <sheetPr>
    <tabColor theme="0" tint="-4.9989318521683403E-2"/>
  </sheetPr>
  <dimension ref="A1:AS143"/>
  <sheetViews>
    <sheetView showGridLines="0" tabSelected="1" view="pageBreakPreview" zoomScale="85" zoomScaleNormal="100" zoomScaleSheetLayoutView="85" workbookViewId="0">
      <selection activeCell="C9" sqref="C9"/>
    </sheetView>
  </sheetViews>
  <sheetFormatPr defaultColWidth="9.140625" defaultRowHeight="12.75" x14ac:dyDescent="0.2"/>
  <cols>
    <col min="1" max="1" width="5.42578125" style="6" customWidth="1"/>
    <col min="2" max="2" width="38.140625" style="6" customWidth="1"/>
    <col min="3" max="3" width="22.5703125" style="48" customWidth="1"/>
    <col min="4" max="4" width="24.42578125" style="6" customWidth="1"/>
    <col min="5" max="5" width="5.7109375" style="6" customWidth="1"/>
    <col min="6" max="6" width="5.42578125" style="6" customWidth="1"/>
    <col min="7" max="10" width="5.5703125" style="6" customWidth="1"/>
    <col min="11" max="11" width="5.42578125" style="6" customWidth="1"/>
    <col min="12" max="17" width="5.5703125" style="6" customWidth="1"/>
    <col min="18" max="19" width="5" style="6" customWidth="1"/>
    <col min="20" max="20" width="6.28515625" style="6" customWidth="1"/>
    <col min="21" max="21" width="5.5703125" style="6" customWidth="1"/>
    <col min="22" max="22" width="6.85546875" style="6" customWidth="1"/>
    <col min="23" max="23" width="3.7109375" style="6" customWidth="1"/>
    <col min="24" max="24" width="4.7109375" style="6" customWidth="1"/>
    <col min="25" max="16384" width="9.140625" style="6"/>
  </cols>
  <sheetData>
    <row r="1" spans="1:27" customFormat="1" ht="15.75" x14ac:dyDescent="0.25">
      <c r="A1" s="437" t="s">
        <v>18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7"/>
      <c r="P1" s="437"/>
      <c r="Q1" s="437"/>
      <c r="R1" s="437"/>
      <c r="S1" s="437"/>
      <c r="T1" s="437"/>
      <c r="U1" s="437"/>
      <c r="V1" s="437"/>
    </row>
    <row r="2" spans="1:27" customFormat="1" ht="22.5" customHeight="1" x14ac:dyDescent="0.2">
      <c r="A2" s="438" t="s">
        <v>255</v>
      </c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7"/>
      <c r="X2" s="17"/>
      <c r="Y2" s="17"/>
      <c r="Z2" s="17"/>
      <c r="AA2" s="17"/>
    </row>
    <row r="3" spans="1:27" s="41" customFormat="1" ht="21.75" customHeight="1" thickBot="1" x14ac:dyDescent="0.25">
      <c r="A3" s="391" t="s">
        <v>253</v>
      </c>
      <c r="C3" s="40"/>
      <c r="Q3" s="392"/>
      <c r="R3" s="391"/>
    </row>
    <row r="4" spans="1:27" s="41" customFormat="1" ht="15" customHeight="1" thickBot="1" x14ac:dyDescent="0.25">
      <c r="A4" s="439" t="s">
        <v>0</v>
      </c>
      <c r="B4" s="439" t="s">
        <v>1</v>
      </c>
      <c r="C4" s="439" t="s">
        <v>62</v>
      </c>
      <c r="D4" s="442" t="s">
        <v>250</v>
      </c>
      <c r="E4" s="445" t="s">
        <v>249</v>
      </c>
      <c r="F4" s="445" t="s">
        <v>22</v>
      </c>
      <c r="G4" s="448" t="s">
        <v>20</v>
      </c>
      <c r="H4" s="449"/>
      <c r="I4" s="449"/>
      <c r="J4" s="449"/>
      <c r="K4" s="450"/>
      <c r="L4" s="451" t="s">
        <v>21</v>
      </c>
      <c r="M4" s="452"/>
      <c r="N4" s="452"/>
      <c r="O4" s="452"/>
      <c r="P4" s="452"/>
      <c r="Q4" s="453"/>
      <c r="R4" s="451" t="s">
        <v>71</v>
      </c>
      <c r="S4" s="452"/>
      <c r="T4" s="452"/>
      <c r="U4" s="453"/>
      <c r="V4" s="454" t="s">
        <v>2</v>
      </c>
      <c r="X4" s="7"/>
    </row>
    <row r="5" spans="1:27" s="41" customFormat="1" ht="15.75" customHeight="1" thickBot="1" x14ac:dyDescent="0.25">
      <c r="A5" s="440"/>
      <c r="B5" s="440"/>
      <c r="C5" s="440"/>
      <c r="D5" s="443"/>
      <c r="E5" s="446"/>
      <c r="F5" s="446"/>
      <c r="G5" s="451">
        <v>100</v>
      </c>
      <c r="H5" s="452"/>
      <c r="I5" s="452"/>
      <c r="J5" s="452"/>
      <c r="K5" s="453"/>
      <c r="L5" s="451">
        <v>100</v>
      </c>
      <c r="M5" s="452"/>
      <c r="N5" s="452"/>
      <c r="O5" s="452"/>
      <c r="P5" s="452"/>
      <c r="Q5" s="453"/>
      <c r="R5" s="451">
        <v>100</v>
      </c>
      <c r="S5" s="452"/>
      <c r="T5" s="452"/>
      <c r="U5" s="453"/>
      <c r="V5" s="455"/>
      <c r="X5" s="7"/>
    </row>
    <row r="6" spans="1:27" s="41" customFormat="1" ht="102" customHeight="1" x14ac:dyDescent="0.2">
      <c r="A6" s="440"/>
      <c r="B6" s="440"/>
      <c r="C6" s="440"/>
      <c r="D6" s="443"/>
      <c r="E6" s="446"/>
      <c r="F6" s="446"/>
      <c r="G6" s="174" t="s">
        <v>23</v>
      </c>
      <c r="H6" s="158" t="s">
        <v>24</v>
      </c>
      <c r="I6" s="158" t="s">
        <v>25</v>
      </c>
      <c r="J6" s="352" t="s">
        <v>26</v>
      </c>
      <c r="K6" s="364" t="s">
        <v>3</v>
      </c>
      <c r="L6" s="174" t="s">
        <v>27</v>
      </c>
      <c r="M6" s="158" t="s">
        <v>28</v>
      </c>
      <c r="N6" s="158" t="s">
        <v>29</v>
      </c>
      <c r="O6" s="158" t="s">
        <v>30</v>
      </c>
      <c r="P6" s="240" t="s">
        <v>33</v>
      </c>
      <c r="Q6" s="364" t="s">
        <v>3</v>
      </c>
      <c r="R6" s="174" t="s">
        <v>31</v>
      </c>
      <c r="S6" s="158" t="s">
        <v>16</v>
      </c>
      <c r="T6" s="178" t="s">
        <v>63</v>
      </c>
      <c r="U6" s="364" t="s">
        <v>3</v>
      </c>
      <c r="V6" s="456"/>
      <c r="X6" s="7"/>
    </row>
    <row r="7" spans="1:27" s="40" customFormat="1" ht="18" customHeight="1" thickBot="1" x14ac:dyDescent="0.25">
      <c r="A7" s="441"/>
      <c r="B7" s="441"/>
      <c r="C7" s="441"/>
      <c r="D7" s="444"/>
      <c r="E7" s="447"/>
      <c r="F7" s="447"/>
      <c r="G7" s="53">
        <v>40</v>
      </c>
      <c r="H7" s="54">
        <v>20</v>
      </c>
      <c r="I7" s="54">
        <v>20</v>
      </c>
      <c r="J7" s="37">
        <v>20</v>
      </c>
      <c r="K7" s="434">
        <v>100</v>
      </c>
      <c r="L7" s="53">
        <v>20</v>
      </c>
      <c r="M7" s="54">
        <v>20</v>
      </c>
      <c r="N7" s="54">
        <v>10</v>
      </c>
      <c r="O7" s="37">
        <v>10</v>
      </c>
      <c r="P7" s="38">
        <v>40</v>
      </c>
      <c r="Q7" s="434">
        <v>100</v>
      </c>
      <c r="R7" s="53">
        <v>30</v>
      </c>
      <c r="S7" s="54">
        <v>30</v>
      </c>
      <c r="T7" s="54">
        <v>40</v>
      </c>
      <c r="U7" s="434">
        <v>100</v>
      </c>
      <c r="V7" s="39">
        <v>300</v>
      </c>
      <c r="X7" s="7"/>
    </row>
    <row r="8" spans="1:27" s="26" customFormat="1" ht="24" customHeight="1" x14ac:dyDescent="0.2">
      <c r="A8" s="244">
        <v>1</v>
      </c>
      <c r="B8" s="241"/>
      <c r="C8" s="242"/>
      <c r="D8" s="243"/>
      <c r="E8" s="97"/>
      <c r="F8" s="317"/>
      <c r="G8" s="28"/>
      <c r="H8" s="29"/>
      <c r="I8" s="29"/>
      <c r="J8" s="30"/>
      <c r="K8" s="27"/>
      <c r="L8" s="28"/>
      <c r="M8" s="29"/>
      <c r="N8" s="29"/>
      <c r="O8" s="30"/>
      <c r="P8" s="31"/>
      <c r="Q8" s="32"/>
      <c r="R8" s="28"/>
      <c r="S8" s="29"/>
      <c r="T8" s="29"/>
      <c r="U8" s="27"/>
      <c r="V8" s="32"/>
    </row>
    <row r="9" spans="1:27" s="26" customFormat="1" ht="24" customHeight="1" x14ac:dyDescent="0.2">
      <c r="A9" s="244">
        <f>A8+1</f>
        <v>2</v>
      </c>
      <c r="B9" s="241"/>
      <c r="C9" s="242"/>
      <c r="D9" s="243"/>
      <c r="E9" s="97"/>
      <c r="F9" s="317"/>
      <c r="G9" s="28"/>
      <c r="H9" s="29"/>
      <c r="I9" s="29"/>
      <c r="J9" s="30"/>
      <c r="K9" s="27"/>
      <c r="L9" s="28"/>
      <c r="M9" s="29"/>
      <c r="N9" s="29"/>
      <c r="O9" s="30"/>
      <c r="P9" s="31"/>
      <c r="Q9" s="32"/>
      <c r="R9" s="28"/>
      <c r="S9" s="29"/>
      <c r="T9" s="29"/>
      <c r="U9" s="27"/>
      <c r="V9" s="32"/>
    </row>
    <row r="10" spans="1:27" s="26" customFormat="1" ht="24" customHeight="1" x14ac:dyDescent="0.2">
      <c r="A10" s="244">
        <f t="shared" ref="A10:A17" si="0">A9+1</f>
        <v>3</v>
      </c>
      <c r="B10" s="241"/>
      <c r="C10" s="242"/>
      <c r="D10" s="243"/>
      <c r="E10" s="299"/>
      <c r="F10" s="304"/>
      <c r="G10" s="28"/>
      <c r="H10" s="29"/>
      <c r="I10" s="29"/>
      <c r="J10" s="30"/>
      <c r="K10" s="27"/>
      <c r="L10" s="28"/>
      <c r="M10" s="29"/>
      <c r="N10" s="29"/>
      <c r="O10" s="30"/>
      <c r="P10" s="31"/>
      <c r="Q10" s="32"/>
      <c r="R10" s="28"/>
      <c r="S10" s="29"/>
      <c r="T10" s="29"/>
      <c r="U10" s="27"/>
      <c r="V10" s="32"/>
    </row>
    <row r="11" spans="1:27" s="26" customFormat="1" ht="24" customHeight="1" x14ac:dyDescent="0.2">
      <c r="A11" s="244">
        <f t="shared" si="0"/>
        <v>4</v>
      </c>
      <c r="B11" s="49"/>
      <c r="C11" s="50"/>
      <c r="D11" s="51"/>
      <c r="E11" s="300"/>
      <c r="F11" s="305"/>
      <c r="G11" s="28"/>
      <c r="H11" s="29"/>
      <c r="I11" s="29"/>
      <c r="J11" s="30"/>
      <c r="K11" s="27"/>
      <c r="L11" s="28"/>
      <c r="M11" s="29"/>
      <c r="N11" s="29"/>
      <c r="O11" s="30"/>
      <c r="P11" s="31"/>
      <c r="Q11" s="32"/>
      <c r="R11" s="28"/>
      <c r="S11" s="29"/>
      <c r="T11" s="29"/>
      <c r="U11" s="27"/>
      <c r="V11" s="32"/>
      <c r="X11" s="7"/>
    </row>
    <row r="12" spans="1:27" s="26" customFormat="1" ht="24" customHeight="1" x14ac:dyDescent="0.2">
      <c r="A12" s="244">
        <f t="shared" si="0"/>
        <v>5</v>
      </c>
      <c r="B12" s="49"/>
      <c r="C12" s="50"/>
      <c r="D12" s="51"/>
      <c r="E12" s="350"/>
      <c r="F12" s="305"/>
      <c r="G12" s="28"/>
      <c r="H12" s="29"/>
      <c r="I12" s="29"/>
      <c r="J12" s="30"/>
      <c r="K12" s="27"/>
      <c r="L12" s="28"/>
      <c r="M12" s="29"/>
      <c r="N12" s="29"/>
      <c r="O12" s="30"/>
      <c r="P12" s="31"/>
      <c r="Q12" s="32"/>
      <c r="R12" s="28"/>
      <c r="S12" s="29"/>
      <c r="T12" s="29"/>
      <c r="U12" s="27"/>
      <c r="V12" s="32"/>
      <c r="X12" s="7"/>
    </row>
    <row r="13" spans="1:27" s="26" customFormat="1" ht="24" customHeight="1" x14ac:dyDescent="0.2">
      <c r="A13" s="244">
        <f t="shared" si="0"/>
        <v>6</v>
      </c>
      <c r="B13" s="49"/>
      <c r="C13" s="50"/>
      <c r="D13" s="51"/>
      <c r="E13" s="350"/>
      <c r="F13" s="305"/>
      <c r="G13" s="28"/>
      <c r="H13" s="29"/>
      <c r="I13" s="29"/>
      <c r="J13" s="30"/>
      <c r="K13" s="27"/>
      <c r="L13" s="28"/>
      <c r="M13" s="29"/>
      <c r="N13" s="29"/>
      <c r="O13" s="30"/>
      <c r="P13" s="31"/>
      <c r="Q13" s="32"/>
      <c r="R13" s="28"/>
      <c r="S13" s="29"/>
      <c r="T13" s="29"/>
      <c r="U13" s="27"/>
      <c r="V13" s="32"/>
      <c r="X13" s="7"/>
    </row>
    <row r="14" spans="1:27" s="26" customFormat="1" ht="24" customHeight="1" x14ac:dyDescent="0.2">
      <c r="A14" s="244">
        <f t="shared" si="0"/>
        <v>7</v>
      </c>
      <c r="B14" s="49"/>
      <c r="C14" s="50"/>
      <c r="D14" s="51"/>
      <c r="E14" s="350"/>
      <c r="F14" s="305"/>
      <c r="G14" s="28"/>
      <c r="H14" s="29"/>
      <c r="I14" s="29"/>
      <c r="J14" s="30"/>
      <c r="K14" s="27"/>
      <c r="L14" s="28"/>
      <c r="M14" s="29"/>
      <c r="N14" s="29"/>
      <c r="O14" s="30"/>
      <c r="P14" s="31"/>
      <c r="Q14" s="32"/>
      <c r="R14" s="28"/>
      <c r="S14" s="29"/>
      <c r="T14" s="29"/>
      <c r="U14" s="27"/>
      <c r="V14" s="32"/>
      <c r="X14" s="7"/>
    </row>
    <row r="15" spans="1:27" s="26" customFormat="1" ht="24" customHeight="1" x14ac:dyDescent="0.2">
      <c r="A15" s="244">
        <f t="shared" si="0"/>
        <v>8</v>
      </c>
      <c r="B15" s="49"/>
      <c r="C15" s="50"/>
      <c r="D15" s="51"/>
      <c r="E15" s="350"/>
      <c r="F15" s="305"/>
      <c r="G15" s="28"/>
      <c r="H15" s="29"/>
      <c r="I15" s="29"/>
      <c r="J15" s="30"/>
      <c r="K15" s="27"/>
      <c r="L15" s="28"/>
      <c r="M15" s="29"/>
      <c r="N15" s="29"/>
      <c r="O15" s="30"/>
      <c r="P15" s="31"/>
      <c r="Q15" s="32"/>
      <c r="R15" s="28"/>
      <c r="S15" s="29"/>
      <c r="T15" s="29"/>
      <c r="U15" s="27"/>
      <c r="V15" s="32"/>
      <c r="X15" s="7"/>
    </row>
    <row r="16" spans="1:27" s="26" customFormat="1" ht="24" customHeight="1" x14ac:dyDescent="0.2">
      <c r="A16" s="244">
        <f t="shared" si="0"/>
        <v>9</v>
      </c>
      <c r="B16" s="49"/>
      <c r="C16" s="50"/>
      <c r="D16" s="51"/>
      <c r="E16" s="350"/>
      <c r="F16" s="305"/>
      <c r="G16" s="28"/>
      <c r="H16" s="29"/>
      <c r="I16" s="29"/>
      <c r="J16" s="30"/>
      <c r="K16" s="27"/>
      <c r="L16" s="28"/>
      <c r="M16" s="29"/>
      <c r="N16" s="29"/>
      <c r="O16" s="30"/>
      <c r="P16" s="31"/>
      <c r="Q16" s="32"/>
      <c r="R16" s="28"/>
      <c r="S16" s="29"/>
      <c r="T16" s="29"/>
      <c r="U16" s="27"/>
      <c r="V16" s="32"/>
      <c r="X16" s="7"/>
    </row>
    <row r="17" spans="1:45" s="26" customFormat="1" ht="24" customHeight="1" thickBot="1" x14ac:dyDescent="0.25">
      <c r="A17" s="252">
        <f t="shared" si="0"/>
        <v>10</v>
      </c>
      <c r="B17" s="117"/>
      <c r="C17" s="118"/>
      <c r="D17" s="119"/>
      <c r="E17" s="301"/>
      <c r="F17" s="351"/>
      <c r="G17" s="65"/>
      <c r="H17" s="66"/>
      <c r="I17" s="66"/>
      <c r="J17" s="67"/>
      <c r="K17" s="69"/>
      <c r="L17" s="65"/>
      <c r="M17" s="66"/>
      <c r="N17" s="66"/>
      <c r="O17" s="67"/>
      <c r="P17" s="68"/>
      <c r="Q17" s="70"/>
      <c r="R17" s="65"/>
      <c r="S17" s="66"/>
      <c r="T17" s="66"/>
      <c r="U17" s="69"/>
      <c r="V17" s="70"/>
      <c r="X17" s="7"/>
    </row>
    <row r="18" spans="1:45" s="26" customFormat="1" ht="9.75" customHeight="1" thickBot="1" x14ac:dyDescent="0.25">
      <c r="A18" s="359"/>
      <c r="B18" s="360"/>
      <c r="C18" s="361"/>
      <c r="D18" s="360"/>
      <c r="E18" s="360"/>
    </row>
    <row r="19" spans="1:45" s="11" customFormat="1" x14ac:dyDescent="0.2">
      <c r="A19" s="60" t="s">
        <v>75</v>
      </c>
      <c r="B19" s="8"/>
      <c r="C19" s="45"/>
      <c r="D19" s="8"/>
      <c r="E19" s="8"/>
      <c r="F19" s="125" t="s">
        <v>76</v>
      </c>
      <c r="G19" s="8"/>
      <c r="H19" s="8"/>
      <c r="I19" s="8"/>
      <c r="J19" s="9"/>
      <c r="K19" s="8"/>
      <c r="L19" s="8"/>
      <c r="M19" s="8"/>
      <c r="N19" s="8"/>
      <c r="O19" s="8"/>
      <c r="P19" s="8"/>
      <c r="Q19" s="8"/>
      <c r="R19" s="125" t="s">
        <v>77</v>
      </c>
      <c r="S19" s="8"/>
      <c r="T19" s="8"/>
      <c r="U19" s="8"/>
      <c r="V19" s="10"/>
    </row>
    <row r="20" spans="1:45" s="11" customFormat="1" ht="12.75" customHeight="1" x14ac:dyDescent="0.2">
      <c r="A20" s="137" t="s">
        <v>8</v>
      </c>
      <c r="B20" s="138" t="s">
        <v>157</v>
      </c>
      <c r="C20" s="132"/>
      <c r="D20" s="132"/>
      <c r="E20" s="132"/>
      <c r="F20" s="306" t="s">
        <v>8</v>
      </c>
      <c r="G20" s="457" t="s">
        <v>234</v>
      </c>
      <c r="H20" s="457"/>
      <c r="I20" s="457"/>
      <c r="J20" s="457"/>
      <c r="K20" s="457"/>
      <c r="L20" s="457"/>
      <c r="M20" s="457"/>
      <c r="N20" s="457"/>
      <c r="O20" s="457"/>
      <c r="P20" s="457"/>
      <c r="Q20" s="132"/>
      <c r="R20" s="14" t="s">
        <v>254</v>
      </c>
      <c r="V20" s="13"/>
    </row>
    <row r="21" spans="1:45" s="11" customFormat="1" ht="11.25" x14ac:dyDescent="0.2">
      <c r="A21" s="139"/>
      <c r="B21" s="138" t="s">
        <v>158</v>
      </c>
      <c r="C21" s="132"/>
      <c r="D21" s="132"/>
      <c r="E21" s="132"/>
      <c r="F21" s="307"/>
      <c r="G21" s="457"/>
      <c r="H21" s="457"/>
      <c r="I21" s="457"/>
      <c r="J21" s="457"/>
      <c r="K21" s="457"/>
      <c r="L21" s="457"/>
      <c r="M21" s="457"/>
      <c r="N21" s="457"/>
      <c r="O21" s="457"/>
      <c r="P21" s="457"/>
      <c r="Q21" s="132"/>
      <c r="V21" s="13"/>
    </row>
    <row r="22" spans="1:45" s="11" customFormat="1" ht="13.5" customHeight="1" x14ac:dyDescent="0.2">
      <c r="A22" s="137" t="s">
        <v>9</v>
      </c>
      <c r="B22" s="138" t="s">
        <v>82</v>
      </c>
      <c r="C22" s="46"/>
      <c r="F22" s="306" t="s">
        <v>9</v>
      </c>
      <c r="G22" s="362" t="s">
        <v>233</v>
      </c>
      <c r="V22" s="13"/>
    </row>
    <row r="23" spans="1:45" s="11" customFormat="1" ht="12.75" customHeight="1" x14ac:dyDescent="0.2">
      <c r="A23" s="137" t="s">
        <v>11</v>
      </c>
      <c r="B23" s="138" t="s">
        <v>235</v>
      </c>
      <c r="C23" s="46"/>
      <c r="F23" s="306" t="s">
        <v>11</v>
      </c>
      <c r="G23" s="362" t="s">
        <v>79</v>
      </c>
      <c r="J23" s="12"/>
      <c r="K23" s="14"/>
      <c r="Q23" s="12"/>
      <c r="V23" s="13"/>
    </row>
    <row r="24" spans="1:45" s="11" customFormat="1" ht="12.75" customHeight="1" x14ac:dyDescent="0.2">
      <c r="A24" s="137" t="s">
        <v>12</v>
      </c>
      <c r="B24" s="363" t="s">
        <v>84</v>
      </c>
      <c r="C24" s="46"/>
      <c r="F24" s="306" t="s">
        <v>12</v>
      </c>
      <c r="G24" s="362" t="s">
        <v>81</v>
      </c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V24" s="13"/>
    </row>
    <row r="25" spans="1:45" s="11" customFormat="1" ht="7.5" customHeight="1" thickBot="1" x14ac:dyDescent="0.25">
      <c r="A25" s="127"/>
      <c r="B25" s="15"/>
      <c r="C25" s="47"/>
      <c r="D25" s="15"/>
      <c r="E25" s="15"/>
      <c r="F25" s="131"/>
      <c r="G25" s="458"/>
      <c r="H25" s="458"/>
      <c r="I25" s="458"/>
      <c r="J25" s="458"/>
      <c r="K25" s="458"/>
      <c r="L25" s="458"/>
      <c r="M25" s="458"/>
      <c r="N25" s="458"/>
      <c r="O25" s="458"/>
      <c r="P25" s="458"/>
      <c r="Q25" s="458"/>
      <c r="R25" s="15"/>
      <c r="S25" s="15"/>
      <c r="T25" s="15"/>
      <c r="U25" s="15"/>
      <c r="V25" s="16"/>
    </row>
    <row r="26" spans="1:45" s="18" customFormat="1" ht="16.5" customHeight="1" x14ac:dyDescent="0.2">
      <c r="A26" s="134" t="s">
        <v>105</v>
      </c>
      <c r="C26" s="19"/>
      <c r="AR26" s="19"/>
      <c r="AS26" s="19"/>
    </row>
    <row r="27" spans="1:45" s="18" customFormat="1" ht="6" customHeight="1" x14ac:dyDescent="0.2">
      <c r="C27" s="19"/>
      <c r="AH27" s="19"/>
      <c r="AI27" s="19"/>
    </row>
    <row r="28" spans="1:45" s="88" customFormat="1" ht="15" x14ac:dyDescent="0.25">
      <c r="B28" s="88" t="s">
        <v>53</v>
      </c>
      <c r="C28" s="89"/>
      <c r="E28" s="88" t="s">
        <v>54</v>
      </c>
      <c r="Q28" s="88" t="s">
        <v>55</v>
      </c>
      <c r="AO28" s="89"/>
      <c r="AP28" s="89"/>
    </row>
    <row r="29" spans="1:45" s="18" customFormat="1" ht="19.5" customHeight="1" x14ac:dyDescent="0.2">
      <c r="C29" s="19"/>
      <c r="AO29" s="19"/>
      <c r="AP29" s="19"/>
    </row>
    <row r="30" spans="1:45" s="18" customFormat="1" ht="15" customHeight="1" x14ac:dyDescent="0.2">
      <c r="C30" s="19"/>
      <c r="AO30" s="19"/>
      <c r="AP30" s="19"/>
    </row>
    <row r="31" spans="1:45" s="18" customFormat="1" ht="17.25" customHeight="1" x14ac:dyDescent="0.2">
      <c r="B31" s="90"/>
      <c r="C31" s="19"/>
      <c r="E31" s="90"/>
      <c r="F31" s="90"/>
      <c r="G31" s="90"/>
      <c r="H31" s="90"/>
      <c r="I31" s="90"/>
      <c r="J31" s="90"/>
      <c r="Q31" s="90"/>
      <c r="R31" s="90"/>
      <c r="S31" s="90"/>
      <c r="T31" s="90"/>
      <c r="U31" s="90"/>
      <c r="V31" s="90"/>
      <c r="AO31" s="19"/>
      <c r="AP31" s="19"/>
    </row>
    <row r="32" spans="1:45" s="18" customFormat="1" ht="17.25" customHeight="1" x14ac:dyDescent="0.2">
      <c r="B32" s="18" t="s">
        <v>56</v>
      </c>
      <c r="C32" s="19"/>
      <c r="E32" s="18" t="s">
        <v>56</v>
      </c>
      <c r="Q32" s="18" t="s">
        <v>57</v>
      </c>
      <c r="AO32" s="19"/>
      <c r="AP32" s="19"/>
    </row>
    <row r="33" spans="1:42" s="18" customFormat="1" ht="18" customHeight="1" x14ac:dyDescent="0.2">
      <c r="B33" s="18" t="s">
        <v>58</v>
      </c>
      <c r="C33" s="19"/>
      <c r="E33" s="18" t="s">
        <v>59</v>
      </c>
      <c r="Q33" s="18" t="s">
        <v>58</v>
      </c>
      <c r="AO33" s="19"/>
      <c r="AP33" s="19"/>
    </row>
    <row r="34" spans="1:42" ht="6.75" customHeight="1" x14ac:dyDescent="0.2"/>
    <row r="35" spans="1:42" s="26" customFormat="1" ht="24" customHeight="1" x14ac:dyDescent="0.2">
      <c r="A35" s="244">
        <v>11</v>
      </c>
      <c r="B35" s="241"/>
      <c r="C35" s="242"/>
      <c r="D35" s="243"/>
      <c r="E35" s="97"/>
      <c r="F35" s="317"/>
      <c r="G35" s="28"/>
      <c r="H35" s="29"/>
      <c r="I35" s="29"/>
      <c r="J35" s="30"/>
      <c r="K35" s="27"/>
      <c r="L35" s="28"/>
      <c r="M35" s="29"/>
      <c r="N35" s="29"/>
      <c r="O35" s="30"/>
      <c r="P35" s="31"/>
      <c r="Q35" s="32"/>
      <c r="R35" s="28"/>
      <c r="S35" s="29"/>
      <c r="T35" s="29"/>
      <c r="U35" s="27"/>
      <c r="V35" s="32"/>
    </row>
    <row r="36" spans="1:42" s="26" customFormat="1" ht="24" customHeight="1" x14ac:dyDescent="0.2">
      <c r="A36" s="244">
        <f>A35+1</f>
        <v>12</v>
      </c>
      <c r="B36" s="241"/>
      <c r="C36" s="242"/>
      <c r="D36" s="243"/>
      <c r="E36" s="97"/>
      <c r="F36" s="317"/>
      <c r="G36" s="28"/>
      <c r="H36" s="29"/>
      <c r="I36" s="29"/>
      <c r="J36" s="30"/>
      <c r="K36" s="27"/>
      <c r="L36" s="28"/>
      <c r="M36" s="29"/>
      <c r="N36" s="29"/>
      <c r="O36" s="30"/>
      <c r="P36" s="31"/>
      <c r="Q36" s="32"/>
      <c r="R36" s="28"/>
      <c r="S36" s="29"/>
      <c r="T36" s="29"/>
      <c r="U36" s="27"/>
      <c r="V36" s="32"/>
    </row>
    <row r="37" spans="1:42" s="26" customFormat="1" ht="24" customHeight="1" x14ac:dyDescent="0.2">
      <c r="A37" s="244">
        <f t="shared" ref="A37:A44" si="1">A36+1</f>
        <v>13</v>
      </c>
      <c r="B37" s="241"/>
      <c r="C37" s="242"/>
      <c r="D37" s="243"/>
      <c r="E37" s="299"/>
      <c r="F37" s="304"/>
      <c r="G37" s="28"/>
      <c r="H37" s="29"/>
      <c r="I37" s="29"/>
      <c r="J37" s="30"/>
      <c r="K37" s="27"/>
      <c r="L37" s="28"/>
      <c r="M37" s="29"/>
      <c r="N37" s="29"/>
      <c r="O37" s="30"/>
      <c r="P37" s="31"/>
      <c r="Q37" s="32"/>
      <c r="R37" s="28"/>
      <c r="S37" s="29"/>
      <c r="T37" s="29"/>
      <c r="U37" s="27"/>
      <c r="V37" s="32"/>
    </row>
    <row r="38" spans="1:42" s="26" customFormat="1" ht="24" customHeight="1" x14ac:dyDescent="0.2">
      <c r="A38" s="244">
        <f t="shared" si="1"/>
        <v>14</v>
      </c>
      <c r="B38" s="49"/>
      <c r="C38" s="50"/>
      <c r="D38" s="51"/>
      <c r="E38" s="300"/>
      <c r="F38" s="305"/>
      <c r="G38" s="28"/>
      <c r="H38" s="29"/>
      <c r="I38" s="29"/>
      <c r="J38" s="30"/>
      <c r="K38" s="27"/>
      <c r="L38" s="28"/>
      <c r="M38" s="29"/>
      <c r="N38" s="29"/>
      <c r="O38" s="30"/>
      <c r="P38" s="31"/>
      <c r="Q38" s="32"/>
      <c r="R38" s="28"/>
      <c r="S38" s="29"/>
      <c r="T38" s="29"/>
      <c r="U38" s="27"/>
      <c r="V38" s="32"/>
      <c r="X38" s="7"/>
    </row>
    <row r="39" spans="1:42" s="26" customFormat="1" ht="24" customHeight="1" x14ac:dyDescent="0.2">
      <c r="A39" s="244">
        <f t="shared" si="1"/>
        <v>15</v>
      </c>
      <c r="B39" s="49"/>
      <c r="C39" s="50"/>
      <c r="D39" s="51"/>
      <c r="E39" s="350"/>
      <c r="F39" s="305"/>
      <c r="G39" s="28"/>
      <c r="H39" s="29"/>
      <c r="I39" s="29"/>
      <c r="J39" s="30"/>
      <c r="K39" s="27"/>
      <c r="L39" s="28"/>
      <c r="M39" s="29"/>
      <c r="N39" s="29"/>
      <c r="O39" s="30"/>
      <c r="P39" s="31"/>
      <c r="Q39" s="32"/>
      <c r="R39" s="28"/>
      <c r="S39" s="29"/>
      <c r="T39" s="29"/>
      <c r="U39" s="27"/>
      <c r="V39" s="32"/>
      <c r="X39" s="7"/>
    </row>
    <row r="40" spans="1:42" s="26" customFormat="1" ht="24" customHeight="1" x14ac:dyDescent="0.2">
      <c r="A40" s="244">
        <f t="shared" si="1"/>
        <v>16</v>
      </c>
      <c r="B40" s="49"/>
      <c r="C40" s="50"/>
      <c r="D40" s="51"/>
      <c r="E40" s="350"/>
      <c r="F40" s="305"/>
      <c r="G40" s="28"/>
      <c r="H40" s="29"/>
      <c r="I40" s="29"/>
      <c r="J40" s="30"/>
      <c r="K40" s="27"/>
      <c r="L40" s="28"/>
      <c r="M40" s="29"/>
      <c r="N40" s="29"/>
      <c r="O40" s="30"/>
      <c r="P40" s="31"/>
      <c r="Q40" s="32"/>
      <c r="R40" s="28"/>
      <c r="S40" s="29"/>
      <c r="T40" s="29"/>
      <c r="U40" s="27"/>
      <c r="V40" s="32"/>
      <c r="X40" s="7"/>
    </row>
    <row r="41" spans="1:42" s="26" customFormat="1" ht="24" customHeight="1" x14ac:dyDescent="0.2">
      <c r="A41" s="244">
        <f t="shared" si="1"/>
        <v>17</v>
      </c>
      <c r="B41" s="49"/>
      <c r="C41" s="50"/>
      <c r="D41" s="51"/>
      <c r="E41" s="350"/>
      <c r="F41" s="305"/>
      <c r="G41" s="28"/>
      <c r="H41" s="29"/>
      <c r="I41" s="29"/>
      <c r="J41" s="30"/>
      <c r="K41" s="27"/>
      <c r="L41" s="28"/>
      <c r="M41" s="29"/>
      <c r="N41" s="29"/>
      <c r="O41" s="30"/>
      <c r="P41" s="31"/>
      <c r="Q41" s="32"/>
      <c r="R41" s="28"/>
      <c r="S41" s="29"/>
      <c r="T41" s="29"/>
      <c r="U41" s="27"/>
      <c r="V41" s="32"/>
      <c r="X41" s="7"/>
    </row>
    <row r="42" spans="1:42" s="26" customFormat="1" ht="24" customHeight="1" x14ac:dyDescent="0.2">
      <c r="A42" s="244">
        <f t="shared" si="1"/>
        <v>18</v>
      </c>
      <c r="B42" s="49"/>
      <c r="C42" s="50"/>
      <c r="D42" s="51"/>
      <c r="E42" s="350"/>
      <c r="F42" s="305"/>
      <c r="G42" s="28"/>
      <c r="H42" s="29"/>
      <c r="I42" s="29"/>
      <c r="J42" s="30"/>
      <c r="K42" s="27"/>
      <c r="L42" s="28"/>
      <c r="M42" s="29"/>
      <c r="N42" s="29"/>
      <c r="O42" s="30"/>
      <c r="P42" s="31"/>
      <c r="Q42" s="32"/>
      <c r="R42" s="28"/>
      <c r="S42" s="29"/>
      <c r="T42" s="29"/>
      <c r="U42" s="27"/>
      <c r="V42" s="32"/>
      <c r="X42" s="7"/>
    </row>
    <row r="43" spans="1:42" s="26" customFormat="1" ht="24" customHeight="1" x14ac:dyDescent="0.2">
      <c r="A43" s="244">
        <f t="shared" si="1"/>
        <v>19</v>
      </c>
      <c r="B43" s="49"/>
      <c r="C43" s="50"/>
      <c r="D43" s="51"/>
      <c r="E43" s="350"/>
      <c r="F43" s="305"/>
      <c r="G43" s="28"/>
      <c r="H43" s="29"/>
      <c r="I43" s="29"/>
      <c r="J43" s="30"/>
      <c r="K43" s="27"/>
      <c r="L43" s="28"/>
      <c r="M43" s="29"/>
      <c r="N43" s="29"/>
      <c r="O43" s="30"/>
      <c r="P43" s="31"/>
      <c r="Q43" s="32"/>
      <c r="R43" s="28"/>
      <c r="S43" s="29"/>
      <c r="T43" s="29"/>
      <c r="U43" s="27"/>
      <c r="V43" s="32"/>
      <c r="X43" s="7"/>
    </row>
    <row r="44" spans="1:42" s="26" customFormat="1" ht="24" customHeight="1" thickBot="1" x14ac:dyDescent="0.25">
      <c r="A44" s="252">
        <f t="shared" si="1"/>
        <v>20</v>
      </c>
      <c r="B44" s="117"/>
      <c r="C44" s="118"/>
      <c r="D44" s="119"/>
      <c r="E44" s="301"/>
      <c r="F44" s="351"/>
      <c r="G44" s="65"/>
      <c r="H44" s="66"/>
      <c r="I44" s="66"/>
      <c r="J44" s="67"/>
      <c r="K44" s="69"/>
      <c r="L44" s="65"/>
      <c r="M44" s="66"/>
      <c r="N44" s="66"/>
      <c r="O44" s="67"/>
      <c r="P44" s="68"/>
      <c r="Q44" s="70"/>
      <c r="R44" s="65"/>
      <c r="S44" s="66"/>
      <c r="T44" s="66"/>
      <c r="U44" s="69"/>
      <c r="V44" s="70"/>
      <c r="X44" s="7"/>
    </row>
    <row r="45" spans="1:42" s="26" customFormat="1" ht="9.75" customHeight="1" thickBot="1" x14ac:dyDescent="0.25">
      <c r="A45" s="359"/>
      <c r="B45" s="360"/>
      <c r="C45" s="361"/>
      <c r="D45" s="360"/>
      <c r="E45" s="360"/>
    </row>
    <row r="46" spans="1:42" s="11" customFormat="1" x14ac:dyDescent="0.2">
      <c r="A46" s="60" t="s">
        <v>75</v>
      </c>
      <c r="B46" s="8"/>
      <c r="C46" s="45"/>
      <c r="D46" s="8"/>
      <c r="E46" s="8"/>
      <c r="F46" s="125" t="s">
        <v>76</v>
      </c>
      <c r="G46" s="8"/>
      <c r="H46" s="8"/>
      <c r="I46" s="8"/>
      <c r="J46" s="9"/>
      <c r="K46" s="8"/>
      <c r="L46" s="8"/>
      <c r="M46" s="8"/>
      <c r="N46" s="8"/>
      <c r="O46" s="8"/>
      <c r="P46" s="8"/>
      <c r="Q46" s="8"/>
      <c r="R46" s="125" t="s">
        <v>77</v>
      </c>
      <c r="S46" s="8"/>
      <c r="T46" s="8"/>
      <c r="U46" s="8"/>
      <c r="V46" s="10"/>
    </row>
    <row r="47" spans="1:42" s="11" customFormat="1" ht="12.75" customHeight="1" x14ac:dyDescent="0.2">
      <c r="A47" s="137" t="s">
        <v>8</v>
      </c>
      <c r="B47" s="138" t="s">
        <v>157</v>
      </c>
      <c r="C47" s="132"/>
      <c r="D47" s="132"/>
      <c r="E47" s="132"/>
      <c r="F47" s="306" t="s">
        <v>8</v>
      </c>
      <c r="G47" s="457" t="s">
        <v>234</v>
      </c>
      <c r="H47" s="457"/>
      <c r="I47" s="457"/>
      <c r="J47" s="457"/>
      <c r="K47" s="457"/>
      <c r="L47" s="457"/>
      <c r="M47" s="457"/>
      <c r="N47" s="457"/>
      <c r="O47" s="457"/>
      <c r="P47" s="457"/>
      <c r="Q47" s="132"/>
      <c r="R47" s="14" t="s">
        <v>254</v>
      </c>
      <c r="V47" s="13"/>
    </row>
    <row r="48" spans="1:42" s="11" customFormat="1" ht="11.25" x14ac:dyDescent="0.2">
      <c r="A48" s="139"/>
      <c r="B48" s="138" t="s">
        <v>158</v>
      </c>
      <c r="C48" s="132"/>
      <c r="D48" s="132"/>
      <c r="E48" s="132"/>
      <c r="F48" s="307"/>
      <c r="G48" s="457"/>
      <c r="H48" s="457"/>
      <c r="I48" s="457"/>
      <c r="J48" s="457"/>
      <c r="K48" s="457"/>
      <c r="L48" s="457"/>
      <c r="M48" s="457"/>
      <c r="N48" s="457"/>
      <c r="O48" s="457"/>
      <c r="P48" s="457"/>
      <c r="Q48" s="132"/>
      <c r="V48" s="13"/>
    </row>
    <row r="49" spans="1:45" s="11" customFormat="1" ht="13.5" customHeight="1" x14ac:dyDescent="0.2">
      <c r="A49" s="137" t="s">
        <v>9</v>
      </c>
      <c r="B49" s="138" t="s">
        <v>82</v>
      </c>
      <c r="C49" s="46"/>
      <c r="F49" s="306" t="s">
        <v>9</v>
      </c>
      <c r="G49" s="362" t="s">
        <v>233</v>
      </c>
      <c r="V49" s="13"/>
    </row>
    <row r="50" spans="1:45" s="11" customFormat="1" ht="12.75" customHeight="1" x14ac:dyDescent="0.2">
      <c r="A50" s="137" t="s">
        <v>11</v>
      </c>
      <c r="B50" s="138" t="s">
        <v>235</v>
      </c>
      <c r="C50" s="46"/>
      <c r="F50" s="306" t="s">
        <v>11</v>
      </c>
      <c r="G50" s="362" t="s">
        <v>79</v>
      </c>
      <c r="J50" s="12"/>
      <c r="K50" s="14"/>
      <c r="Q50" s="12"/>
      <c r="V50" s="13"/>
    </row>
    <row r="51" spans="1:45" s="11" customFormat="1" ht="12.75" customHeight="1" x14ac:dyDescent="0.2">
      <c r="A51" s="137" t="s">
        <v>12</v>
      </c>
      <c r="B51" s="363" t="s">
        <v>84</v>
      </c>
      <c r="C51" s="46"/>
      <c r="F51" s="306" t="s">
        <v>12</v>
      </c>
      <c r="G51" s="362" t="s">
        <v>81</v>
      </c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V51" s="13"/>
    </row>
    <row r="52" spans="1:45" s="11" customFormat="1" ht="7.5" customHeight="1" thickBot="1" x14ac:dyDescent="0.25">
      <c r="A52" s="127"/>
      <c r="B52" s="15"/>
      <c r="C52" s="47"/>
      <c r="D52" s="15"/>
      <c r="E52" s="15"/>
      <c r="F52" s="131"/>
      <c r="G52" s="458"/>
      <c r="H52" s="458"/>
      <c r="I52" s="458"/>
      <c r="J52" s="458"/>
      <c r="K52" s="458"/>
      <c r="L52" s="458"/>
      <c r="M52" s="458"/>
      <c r="N52" s="458"/>
      <c r="O52" s="458"/>
      <c r="P52" s="458"/>
      <c r="Q52" s="458"/>
      <c r="R52" s="15"/>
      <c r="S52" s="15"/>
      <c r="T52" s="15"/>
      <c r="U52" s="15"/>
      <c r="V52" s="16"/>
    </row>
    <row r="53" spans="1:45" s="18" customFormat="1" ht="16.5" customHeight="1" x14ac:dyDescent="0.2">
      <c r="A53" s="134" t="s">
        <v>105</v>
      </c>
      <c r="C53" s="19"/>
      <c r="AR53" s="19"/>
      <c r="AS53" s="19"/>
    </row>
    <row r="54" spans="1:45" s="18" customFormat="1" ht="6" customHeight="1" x14ac:dyDescent="0.2">
      <c r="C54" s="19"/>
      <c r="AH54" s="19"/>
      <c r="AI54" s="19"/>
    </row>
    <row r="55" spans="1:45" s="88" customFormat="1" ht="15" x14ac:dyDescent="0.25">
      <c r="B55" s="88" t="s">
        <v>53</v>
      </c>
      <c r="C55" s="89"/>
      <c r="E55" s="88" t="s">
        <v>54</v>
      </c>
      <c r="Q55" s="88" t="s">
        <v>55</v>
      </c>
      <c r="AO55" s="89"/>
      <c r="AP55" s="89"/>
    </row>
    <row r="56" spans="1:45" s="18" customFormat="1" ht="19.5" customHeight="1" x14ac:dyDescent="0.2">
      <c r="C56" s="19"/>
      <c r="AO56" s="19"/>
      <c r="AP56" s="19"/>
    </row>
    <row r="57" spans="1:45" s="18" customFormat="1" ht="15" customHeight="1" x14ac:dyDescent="0.2">
      <c r="C57" s="19"/>
      <c r="AO57" s="19"/>
      <c r="AP57" s="19"/>
    </row>
    <row r="58" spans="1:45" s="18" customFormat="1" ht="17.25" customHeight="1" x14ac:dyDescent="0.2">
      <c r="B58" s="90"/>
      <c r="C58" s="19"/>
      <c r="E58" s="90"/>
      <c r="F58" s="90"/>
      <c r="G58" s="90"/>
      <c r="H58" s="90"/>
      <c r="I58" s="90"/>
      <c r="J58" s="90"/>
      <c r="Q58" s="90"/>
      <c r="R58" s="90"/>
      <c r="S58" s="90"/>
      <c r="T58" s="90"/>
      <c r="U58" s="90"/>
      <c r="V58" s="90"/>
      <c r="AO58" s="19"/>
      <c r="AP58" s="19"/>
    </row>
    <row r="59" spans="1:45" s="18" customFormat="1" ht="17.25" customHeight="1" x14ac:dyDescent="0.2">
      <c r="B59" s="18" t="s">
        <v>56</v>
      </c>
      <c r="C59" s="19"/>
      <c r="E59" s="18" t="s">
        <v>56</v>
      </c>
      <c r="Q59" s="18" t="s">
        <v>57</v>
      </c>
      <c r="AO59" s="19"/>
      <c r="AP59" s="19"/>
    </row>
    <row r="60" spans="1:45" s="18" customFormat="1" ht="18" customHeight="1" x14ac:dyDescent="0.2">
      <c r="B60" s="18" t="s">
        <v>58</v>
      </c>
      <c r="C60" s="19"/>
      <c r="E60" s="18" t="s">
        <v>59</v>
      </c>
      <c r="Q60" s="18" t="s">
        <v>58</v>
      </c>
      <c r="AO60" s="19"/>
      <c r="AP60" s="19"/>
    </row>
    <row r="61" spans="1:45" ht="6" customHeight="1" x14ac:dyDescent="0.2"/>
    <row r="62" spans="1:45" s="26" customFormat="1" ht="24" customHeight="1" x14ac:dyDescent="0.2">
      <c r="A62" s="244">
        <v>21</v>
      </c>
      <c r="B62" s="241"/>
      <c r="C62" s="242"/>
      <c r="D62" s="243"/>
      <c r="E62" s="97"/>
      <c r="F62" s="317"/>
      <c r="G62" s="28"/>
      <c r="H62" s="29"/>
      <c r="I62" s="29"/>
      <c r="J62" s="30"/>
      <c r="K62" s="27"/>
      <c r="L62" s="28"/>
      <c r="M62" s="29"/>
      <c r="N62" s="29"/>
      <c r="O62" s="30"/>
      <c r="P62" s="31"/>
      <c r="Q62" s="32"/>
      <c r="R62" s="28"/>
      <c r="S62" s="29"/>
      <c r="T62" s="29"/>
      <c r="U62" s="27"/>
      <c r="V62" s="32"/>
    </row>
    <row r="63" spans="1:45" s="26" customFormat="1" ht="24" customHeight="1" x14ac:dyDescent="0.2">
      <c r="A63" s="244">
        <f>A62+1</f>
        <v>22</v>
      </c>
      <c r="B63" s="241"/>
      <c r="C63" s="242"/>
      <c r="D63" s="243"/>
      <c r="E63" s="97"/>
      <c r="F63" s="317"/>
      <c r="G63" s="28"/>
      <c r="H63" s="29"/>
      <c r="I63" s="29"/>
      <c r="J63" s="30"/>
      <c r="K63" s="27"/>
      <c r="L63" s="28"/>
      <c r="M63" s="29"/>
      <c r="N63" s="29"/>
      <c r="O63" s="30"/>
      <c r="P63" s="31"/>
      <c r="Q63" s="32"/>
      <c r="R63" s="28"/>
      <c r="S63" s="29"/>
      <c r="T63" s="29"/>
      <c r="U63" s="27"/>
      <c r="V63" s="32"/>
    </row>
    <row r="64" spans="1:45" s="26" customFormat="1" ht="24" customHeight="1" x14ac:dyDescent="0.2">
      <c r="A64" s="244">
        <f t="shared" ref="A64:A71" si="2">A63+1</f>
        <v>23</v>
      </c>
      <c r="B64" s="241"/>
      <c r="C64" s="242"/>
      <c r="D64" s="243"/>
      <c r="E64" s="299"/>
      <c r="F64" s="304"/>
      <c r="G64" s="28"/>
      <c r="H64" s="29"/>
      <c r="I64" s="29"/>
      <c r="J64" s="30"/>
      <c r="K64" s="27"/>
      <c r="L64" s="28"/>
      <c r="M64" s="29"/>
      <c r="N64" s="29"/>
      <c r="O64" s="30"/>
      <c r="P64" s="31"/>
      <c r="Q64" s="32"/>
      <c r="R64" s="28"/>
      <c r="S64" s="29"/>
      <c r="T64" s="29"/>
      <c r="U64" s="27"/>
      <c r="V64" s="32"/>
    </row>
    <row r="65" spans="1:45" s="26" customFormat="1" ht="24" customHeight="1" x14ac:dyDescent="0.2">
      <c r="A65" s="244">
        <f t="shared" si="2"/>
        <v>24</v>
      </c>
      <c r="B65" s="49"/>
      <c r="C65" s="50"/>
      <c r="D65" s="51"/>
      <c r="E65" s="300"/>
      <c r="F65" s="305"/>
      <c r="G65" s="28"/>
      <c r="H65" s="29"/>
      <c r="I65" s="29"/>
      <c r="J65" s="30"/>
      <c r="K65" s="27"/>
      <c r="L65" s="28"/>
      <c r="M65" s="29"/>
      <c r="N65" s="29"/>
      <c r="O65" s="30"/>
      <c r="P65" s="31"/>
      <c r="Q65" s="32"/>
      <c r="R65" s="28"/>
      <c r="S65" s="29"/>
      <c r="T65" s="29"/>
      <c r="U65" s="27"/>
      <c r="V65" s="32"/>
      <c r="X65" s="7"/>
    </row>
    <row r="66" spans="1:45" s="26" customFormat="1" ht="24" customHeight="1" x14ac:dyDescent="0.2">
      <c r="A66" s="244">
        <f t="shared" si="2"/>
        <v>25</v>
      </c>
      <c r="B66" s="49"/>
      <c r="C66" s="50"/>
      <c r="D66" s="51"/>
      <c r="E66" s="350"/>
      <c r="F66" s="305"/>
      <c r="G66" s="28"/>
      <c r="H66" s="29"/>
      <c r="I66" s="29"/>
      <c r="J66" s="30"/>
      <c r="K66" s="27"/>
      <c r="L66" s="28"/>
      <c r="M66" s="29"/>
      <c r="N66" s="29"/>
      <c r="O66" s="30"/>
      <c r="P66" s="31"/>
      <c r="Q66" s="32"/>
      <c r="R66" s="28"/>
      <c r="S66" s="29"/>
      <c r="T66" s="29"/>
      <c r="U66" s="27"/>
      <c r="V66" s="32"/>
      <c r="X66" s="7"/>
    </row>
    <row r="67" spans="1:45" s="26" customFormat="1" ht="24" customHeight="1" x14ac:dyDescent="0.2">
      <c r="A67" s="244">
        <f t="shared" si="2"/>
        <v>26</v>
      </c>
      <c r="B67" s="49"/>
      <c r="C67" s="50"/>
      <c r="D67" s="51"/>
      <c r="E67" s="350"/>
      <c r="F67" s="305"/>
      <c r="G67" s="28"/>
      <c r="H67" s="29"/>
      <c r="I67" s="29"/>
      <c r="J67" s="30"/>
      <c r="K67" s="27"/>
      <c r="L67" s="28"/>
      <c r="M67" s="29"/>
      <c r="N67" s="29"/>
      <c r="O67" s="30"/>
      <c r="P67" s="31"/>
      <c r="Q67" s="32"/>
      <c r="R67" s="28"/>
      <c r="S67" s="29"/>
      <c r="T67" s="29"/>
      <c r="U67" s="27"/>
      <c r="V67" s="32"/>
      <c r="X67" s="7"/>
    </row>
    <row r="68" spans="1:45" s="26" customFormat="1" ht="24" customHeight="1" x14ac:dyDescent="0.2">
      <c r="A68" s="244">
        <f t="shared" si="2"/>
        <v>27</v>
      </c>
      <c r="B68" s="49"/>
      <c r="C68" s="50"/>
      <c r="D68" s="51"/>
      <c r="E68" s="350"/>
      <c r="F68" s="305"/>
      <c r="G68" s="28"/>
      <c r="H68" s="29"/>
      <c r="I68" s="29"/>
      <c r="J68" s="30"/>
      <c r="K68" s="27"/>
      <c r="L68" s="28"/>
      <c r="M68" s="29"/>
      <c r="N68" s="29"/>
      <c r="O68" s="30"/>
      <c r="P68" s="31"/>
      <c r="Q68" s="32"/>
      <c r="R68" s="28"/>
      <c r="S68" s="29"/>
      <c r="T68" s="29"/>
      <c r="U68" s="27"/>
      <c r="V68" s="32"/>
      <c r="X68" s="7"/>
    </row>
    <row r="69" spans="1:45" s="26" customFormat="1" ht="24" customHeight="1" x14ac:dyDescent="0.2">
      <c r="A69" s="244">
        <f t="shared" si="2"/>
        <v>28</v>
      </c>
      <c r="B69" s="49"/>
      <c r="C69" s="50"/>
      <c r="D69" s="51"/>
      <c r="E69" s="350"/>
      <c r="F69" s="305"/>
      <c r="G69" s="28"/>
      <c r="H69" s="29"/>
      <c r="I69" s="29"/>
      <c r="J69" s="30"/>
      <c r="K69" s="27"/>
      <c r="L69" s="28"/>
      <c r="M69" s="29"/>
      <c r="N69" s="29"/>
      <c r="O69" s="30"/>
      <c r="P69" s="31"/>
      <c r="Q69" s="32"/>
      <c r="R69" s="28"/>
      <c r="S69" s="29"/>
      <c r="T69" s="29"/>
      <c r="U69" s="27"/>
      <c r="V69" s="32"/>
      <c r="X69" s="7"/>
    </row>
    <row r="70" spans="1:45" s="26" customFormat="1" ht="24" customHeight="1" x14ac:dyDescent="0.2">
      <c r="A70" s="244">
        <f t="shared" si="2"/>
        <v>29</v>
      </c>
      <c r="B70" s="49"/>
      <c r="C70" s="50"/>
      <c r="D70" s="51"/>
      <c r="E70" s="350"/>
      <c r="F70" s="305"/>
      <c r="G70" s="28"/>
      <c r="H70" s="29"/>
      <c r="I70" s="29"/>
      <c r="J70" s="30"/>
      <c r="K70" s="27"/>
      <c r="L70" s="28"/>
      <c r="M70" s="29"/>
      <c r="N70" s="29"/>
      <c r="O70" s="30"/>
      <c r="P70" s="31"/>
      <c r="Q70" s="32"/>
      <c r="R70" s="28"/>
      <c r="S70" s="29"/>
      <c r="T70" s="29"/>
      <c r="U70" s="27"/>
      <c r="V70" s="32"/>
      <c r="X70" s="7"/>
    </row>
    <row r="71" spans="1:45" s="26" customFormat="1" ht="24" customHeight="1" thickBot="1" x14ac:dyDescent="0.25">
      <c r="A71" s="252">
        <f t="shared" si="2"/>
        <v>30</v>
      </c>
      <c r="B71" s="117"/>
      <c r="C71" s="118"/>
      <c r="D71" s="119"/>
      <c r="E71" s="301"/>
      <c r="F71" s="351"/>
      <c r="G71" s="65"/>
      <c r="H71" s="66"/>
      <c r="I71" s="66"/>
      <c r="J71" s="67"/>
      <c r="K71" s="69"/>
      <c r="L71" s="65"/>
      <c r="M71" s="66"/>
      <c r="N71" s="66"/>
      <c r="O71" s="67"/>
      <c r="P71" s="68"/>
      <c r="Q71" s="70"/>
      <c r="R71" s="65"/>
      <c r="S71" s="66"/>
      <c r="T71" s="66"/>
      <c r="U71" s="69"/>
      <c r="V71" s="70"/>
      <c r="X71" s="7"/>
    </row>
    <row r="72" spans="1:45" s="26" customFormat="1" ht="9.75" customHeight="1" thickBot="1" x14ac:dyDescent="0.25">
      <c r="A72" s="359"/>
      <c r="B72" s="360"/>
      <c r="C72" s="361"/>
      <c r="D72" s="360"/>
      <c r="E72" s="360"/>
    </row>
    <row r="73" spans="1:45" s="11" customFormat="1" x14ac:dyDescent="0.2">
      <c r="A73" s="60" t="s">
        <v>75</v>
      </c>
      <c r="B73" s="8"/>
      <c r="C73" s="45"/>
      <c r="D73" s="8"/>
      <c r="E73" s="8"/>
      <c r="F73" s="125" t="s">
        <v>76</v>
      </c>
      <c r="G73" s="8"/>
      <c r="H73" s="8"/>
      <c r="I73" s="8"/>
      <c r="J73" s="9"/>
      <c r="K73" s="8"/>
      <c r="L73" s="8"/>
      <c r="M73" s="8"/>
      <c r="N73" s="8"/>
      <c r="O73" s="8"/>
      <c r="P73" s="8"/>
      <c r="Q73" s="8"/>
      <c r="R73" s="125" t="s">
        <v>77</v>
      </c>
      <c r="S73" s="8"/>
      <c r="T73" s="8"/>
      <c r="U73" s="8"/>
      <c r="V73" s="10"/>
    </row>
    <row r="74" spans="1:45" s="11" customFormat="1" ht="12.75" customHeight="1" x14ac:dyDescent="0.2">
      <c r="A74" s="137" t="s">
        <v>8</v>
      </c>
      <c r="B74" s="138" t="s">
        <v>157</v>
      </c>
      <c r="C74" s="132"/>
      <c r="D74" s="132"/>
      <c r="E74" s="132"/>
      <c r="F74" s="306" t="s">
        <v>8</v>
      </c>
      <c r="G74" s="457" t="s">
        <v>234</v>
      </c>
      <c r="H74" s="457"/>
      <c r="I74" s="457"/>
      <c r="J74" s="457"/>
      <c r="K74" s="457"/>
      <c r="L74" s="457"/>
      <c r="M74" s="457"/>
      <c r="N74" s="457"/>
      <c r="O74" s="457"/>
      <c r="P74" s="457"/>
      <c r="Q74" s="132"/>
      <c r="R74" s="14" t="s">
        <v>254</v>
      </c>
      <c r="V74" s="13"/>
    </row>
    <row r="75" spans="1:45" s="11" customFormat="1" ht="11.25" x14ac:dyDescent="0.2">
      <c r="A75" s="139"/>
      <c r="B75" s="138" t="s">
        <v>158</v>
      </c>
      <c r="C75" s="132"/>
      <c r="D75" s="132"/>
      <c r="E75" s="132"/>
      <c r="F75" s="307"/>
      <c r="G75" s="457"/>
      <c r="H75" s="457"/>
      <c r="I75" s="457"/>
      <c r="J75" s="457"/>
      <c r="K75" s="457"/>
      <c r="L75" s="457"/>
      <c r="M75" s="457"/>
      <c r="N75" s="457"/>
      <c r="O75" s="457"/>
      <c r="P75" s="457"/>
      <c r="Q75" s="132"/>
      <c r="V75" s="13"/>
    </row>
    <row r="76" spans="1:45" s="11" customFormat="1" ht="13.5" customHeight="1" x14ac:dyDescent="0.2">
      <c r="A76" s="137" t="s">
        <v>9</v>
      </c>
      <c r="B76" s="138" t="s">
        <v>82</v>
      </c>
      <c r="C76" s="46"/>
      <c r="F76" s="306" t="s">
        <v>9</v>
      </c>
      <c r="G76" s="362" t="s">
        <v>233</v>
      </c>
      <c r="V76" s="13"/>
    </row>
    <row r="77" spans="1:45" s="11" customFormat="1" ht="12.75" customHeight="1" x14ac:dyDescent="0.2">
      <c r="A77" s="137" t="s">
        <v>11</v>
      </c>
      <c r="B77" s="138" t="s">
        <v>235</v>
      </c>
      <c r="C77" s="46"/>
      <c r="F77" s="306" t="s">
        <v>11</v>
      </c>
      <c r="G77" s="362" t="s">
        <v>79</v>
      </c>
      <c r="J77" s="12"/>
      <c r="K77" s="14"/>
      <c r="Q77" s="12"/>
      <c r="V77" s="13"/>
    </row>
    <row r="78" spans="1:45" s="11" customFormat="1" ht="12.75" customHeight="1" x14ac:dyDescent="0.2">
      <c r="A78" s="137" t="s">
        <v>12</v>
      </c>
      <c r="B78" s="363" t="s">
        <v>84</v>
      </c>
      <c r="C78" s="46"/>
      <c r="F78" s="306" t="s">
        <v>12</v>
      </c>
      <c r="G78" s="362" t="s">
        <v>81</v>
      </c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V78" s="13"/>
    </row>
    <row r="79" spans="1:45" s="11" customFormat="1" ht="7.5" customHeight="1" thickBot="1" x14ac:dyDescent="0.25">
      <c r="A79" s="127"/>
      <c r="B79" s="15"/>
      <c r="C79" s="47"/>
      <c r="D79" s="15"/>
      <c r="E79" s="15"/>
      <c r="F79" s="131"/>
      <c r="G79" s="458"/>
      <c r="H79" s="458"/>
      <c r="I79" s="458"/>
      <c r="J79" s="458"/>
      <c r="K79" s="458"/>
      <c r="L79" s="458"/>
      <c r="M79" s="458"/>
      <c r="N79" s="458"/>
      <c r="O79" s="458"/>
      <c r="P79" s="458"/>
      <c r="Q79" s="458"/>
      <c r="R79" s="15"/>
      <c r="S79" s="15"/>
      <c r="T79" s="15"/>
      <c r="U79" s="15"/>
      <c r="V79" s="16"/>
    </row>
    <row r="80" spans="1:45" s="18" customFormat="1" ht="16.5" customHeight="1" x14ac:dyDescent="0.2">
      <c r="A80" s="134" t="s">
        <v>105</v>
      </c>
      <c r="C80" s="19"/>
      <c r="AR80" s="19"/>
      <c r="AS80" s="19"/>
    </row>
    <row r="81" spans="1:42" s="18" customFormat="1" ht="6" customHeight="1" x14ac:dyDescent="0.2">
      <c r="C81" s="19"/>
      <c r="AH81" s="19"/>
      <c r="AI81" s="19"/>
    </row>
    <row r="82" spans="1:42" s="88" customFormat="1" ht="15" x14ac:dyDescent="0.25">
      <c r="B82" s="88" t="s">
        <v>53</v>
      </c>
      <c r="C82" s="89"/>
      <c r="E82" s="88" t="s">
        <v>54</v>
      </c>
      <c r="Q82" s="88" t="s">
        <v>55</v>
      </c>
      <c r="AO82" s="89"/>
      <c r="AP82" s="89"/>
    </row>
    <row r="83" spans="1:42" s="18" customFormat="1" ht="19.5" customHeight="1" x14ac:dyDescent="0.2">
      <c r="C83" s="19"/>
      <c r="AO83" s="19"/>
      <c r="AP83" s="19"/>
    </row>
    <row r="84" spans="1:42" s="18" customFormat="1" ht="15" customHeight="1" x14ac:dyDescent="0.2">
      <c r="C84" s="19"/>
      <c r="AO84" s="19"/>
      <c r="AP84" s="19"/>
    </row>
    <row r="85" spans="1:42" s="18" customFormat="1" ht="17.25" customHeight="1" x14ac:dyDescent="0.2">
      <c r="B85" s="90"/>
      <c r="C85" s="19"/>
      <c r="E85" s="90"/>
      <c r="F85" s="90"/>
      <c r="G85" s="90"/>
      <c r="H85" s="90"/>
      <c r="I85" s="90"/>
      <c r="J85" s="90"/>
      <c r="Q85" s="90"/>
      <c r="R85" s="90"/>
      <c r="S85" s="90"/>
      <c r="T85" s="90"/>
      <c r="U85" s="90"/>
      <c r="V85" s="90"/>
      <c r="AO85" s="19"/>
      <c r="AP85" s="19"/>
    </row>
    <row r="86" spans="1:42" s="18" customFormat="1" ht="17.25" customHeight="1" x14ac:dyDescent="0.2">
      <c r="B86" s="18" t="s">
        <v>56</v>
      </c>
      <c r="C86" s="19"/>
      <c r="E86" s="18" t="s">
        <v>56</v>
      </c>
      <c r="Q86" s="18" t="s">
        <v>57</v>
      </c>
      <c r="AO86" s="19"/>
      <c r="AP86" s="19"/>
    </row>
    <row r="87" spans="1:42" s="18" customFormat="1" ht="18" customHeight="1" x14ac:dyDescent="0.2">
      <c r="B87" s="18" t="s">
        <v>58</v>
      </c>
      <c r="C87" s="19"/>
      <c r="E87" s="18" t="s">
        <v>59</v>
      </c>
      <c r="Q87" s="18" t="s">
        <v>58</v>
      </c>
      <c r="AO87" s="19"/>
      <c r="AP87" s="19"/>
    </row>
    <row r="88" spans="1:42" ht="6.75" customHeight="1" x14ac:dyDescent="0.2"/>
    <row r="89" spans="1:42" s="26" customFormat="1" ht="24" customHeight="1" x14ac:dyDescent="0.2">
      <c r="A89" s="244">
        <v>31</v>
      </c>
      <c r="B89" s="241"/>
      <c r="C89" s="242"/>
      <c r="D89" s="243"/>
      <c r="E89" s="97"/>
      <c r="F89" s="317"/>
      <c r="G89" s="28"/>
      <c r="H89" s="29"/>
      <c r="I89" s="29"/>
      <c r="J89" s="30"/>
      <c r="K89" s="27"/>
      <c r="L89" s="28"/>
      <c r="M89" s="29"/>
      <c r="N89" s="29"/>
      <c r="O89" s="30"/>
      <c r="P89" s="31"/>
      <c r="Q89" s="32"/>
      <c r="R89" s="28"/>
      <c r="S89" s="29"/>
      <c r="T89" s="29"/>
      <c r="U89" s="27"/>
      <c r="V89" s="32"/>
    </row>
    <row r="90" spans="1:42" s="26" customFormat="1" ht="24" customHeight="1" x14ac:dyDescent="0.2">
      <c r="A90" s="244">
        <f>A89+1</f>
        <v>32</v>
      </c>
      <c r="B90" s="241"/>
      <c r="C90" s="242"/>
      <c r="D90" s="243"/>
      <c r="E90" s="97"/>
      <c r="F90" s="317"/>
      <c r="G90" s="28"/>
      <c r="H90" s="29"/>
      <c r="I90" s="29"/>
      <c r="J90" s="30"/>
      <c r="K90" s="27"/>
      <c r="L90" s="28"/>
      <c r="M90" s="29"/>
      <c r="N90" s="29"/>
      <c r="O90" s="30"/>
      <c r="P90" s="31"/>
      <c r="Q90" s="32"/>
      <c r="R90" s="28"/>
      <c r="S90" s="29"/>
      <c r="T90" s="29"/>
      <c r="U90" s="27"/>
      <c r="V90" s="32"/>
    </row>
    <row r="91" spans="1:42" s="26" customFormat="1" ht="24" customHeight="1" x14ac:dyDescent="0.2">
      <c r="A91" s="244">
        <f t="shared" ref="A91:A98" si="3">A90+1</f>
        <v>33</v>
      </c>
      <c r="B91" s="241"/>
      <c r="C91" s="242"/>
      <c r="D91" s="243"/>
      <c r="E91" s="299"/>
      <c r="F91" s="304"/>
      <c r="G91" s="28"/>
      <c r="H91" s="29"/>
      <c r="I91" s="29"/>
      <c r="J91" s="30"/>
      <c r="K91" s="27"/>
      <c r="L91" s="28"/>
      <c r="M91" s="29"/>
      <c r="N91" s="29"/>
      <c r="O91" s="30"/>
      <c r="P91" s="31"/>
      <c r="Q91" s="32"/>
      <c r="R91" s="28"/>
      <c r="S91" s="29"/>
      <c r="T91" s="29"/>
      <c r="U91" s="27"/>
      <c r="V91" s="32"/>
    </row>
    <row r="92" spans="1:42" s="26" customFormat="1" ht="24" customHeight="1" x14ac:dyDescent="0.2">
      <c r="A92" s="244">
        <f t="shared" si="3"/>
        <v>34</v>
      </c>
      <c r="B92" s="49"/>
      <c r="C92" s="50"/>
      <c r="D92" s="51"/>
      <c r="E92" s="300"/>
      <c r="F92" s="305"/>
      <c r="G92" s="28"/>
      <c r="H92" s="29"/>
      <c r="I92" s="29"/>
      <c r="J92" s="30"/>
      <c r="K92" s="27"/>
      <c r="L92" s="28"/>
      <c r="M92" s="29"/>
      <c r="N92" s="29"/>
      <c r="O92" s="30"/>
      <c r="P92" s="31"/>
      <c r="Q92" s="32"/>
      <c r="R92" s="28"/>
      <c r="S92" s="29"/>
      <c r="T92" s="29"/>
      <c r="U92" s="27"/>
      <c r="V92" s="32"/>
      <c r="X92" s="7"/>
    </row>
    <row r="93" spans="1:42" s="26" customFormat="1" ht="24" customHeight="1" x14ac:dyDescent="0.2">
      <c r="A93" s="244">
        <f t="shared" si="3"/>
        <v>35</v>
      </c>
      <c r="B93" s="49"/>
      <c r="C93" s="50"/>
      <c r="D93" s="51"/>
      <c r="E93" s="350"/>
      <c r="F93" s="305"/>
      <c r="G93" s="28"/>
      <c r="H93" s="29"/>
      <c r="I93" s="29"/>
      <c r="J93" s="30"/>
      <c r="K93" s="27"/>
      <c r="L93" s="28"/>
      <c r="M93" s="29"/>
      <c r="N93" s="29"/>
      <c r="O93" s="30"/>
      <c r="P93" s="31"/>
      <c r="Q93" s="32"/>
      <c r="R93" s="28"/>
      <c r="S93" s="29"/>
      <c r="T93" s="29"/>
      <c r="U93" s="27"/>
      <c r="V93" s="32"/>
      <c r="X93" s="7"/>
    </row>
    <row r="94" spans="1:42" s="26" customFormat="1" ht="24" customHeight="1" x14ac:dyDescent="0.2">
      <c r="A94" s="244">
        <f t="shared" si="3"/>
        <v>36</v>
      </c>
      <c r="B94" s="49"/>
      <c r="C94" s="50"/>
      <c r="D94" s="51"/>
      <c r="E94" s="350"/>
      <c r="F94" s="305"/>
      <c r="G94" s="28"/>
      <c r="H94" s="29"/>
      <c r="I94" s="29"/>
      <c r="J94" s="30"/>
      <c r="K94" s="27"/>
      <c r="L94" s="28"/>
      <c r="M94" s="29"/>
      <c r="N94" s="29"/>
      <c r="O94" s="30"/>
      <c r="P94" s="31"/>
      <c r="Q94" s="32"/>
      <c r="R94" s="28"/>
      <c r="S94" s="29"/>
      <c r="T94" s="29"/>
      <c r="U94" s="27"/>
      <c r="V94" s="32"/>
      <c r="X94" s="7"/>
    </row>
    <row r="95" spans="1:42" s="26" customFormat="1" ht="24" customHeight="1" x14ac:dyDescent="0.2">
      <c r="A95" s="244">
        <f t="shared" si="3"/>
        <v>37</v>
      </c>
      <c r="B95" s="49"/>
      <c r="C95" s="50"/>
      <c r="D95" s="51"/>
      <c r="E95" s="350"/>
      <c r="F95" s="305"/>
      <c r="G95" s="28"/>
      <c r="H95" s="29"/>
      <c r="I95" s="29"/>
      <c r="J95" s="30"/>
      <c r="K95" s="27"/>
      <c r="L95" s="28"/>
      <c r="M95" s="29"/>
      <c r="N95" s="29"/>
      <c r="O95" s="30"/>
      <c r="P95" s="31"/>
      <c r="Q95" s="32"/>
      <c r="R95" s="28"/>
      <c r="S95" s="29"/>
      <c r="T95" s="29"/>
      <c r="U95" s="27"/>
      <c r="V95" s="32"/>
      <c r="X95" s="7"/>
    </row>
    <row r="96" spans="1:42" s="26" customFormat="1" ht="24" customHeight="1" x14ac:dyDescent="0.2">
      <c r="A96" s="244">
        <f t="shared" si="3"/>
        <v>38</v>
      </c>
      <c r="B96" s="49"/>
      <c r="C96" s="50"/>
      <c r="D96" s="51"/>
      <c r="E96" s="350"/>
      <c r="F96" s="305"/>
      <c r="G96" s="28"/>
      <c r="H96" s="29"/>
      <c r="I96" s="29"/>
      <c r="J96" s="30"/>
      <c r="K96" s="27"/>
      <c r="L96" s="28"/>
      <c r="M96" s="29"/>
      <c r="N96" s="29"/>
      <c r="O96" s="30"/>
      <c r="P96" s="31"/>
      <c r="Q96" s="32"/>
      <c r="R96" s="28"/>
      <c r="S96" s="29"/>
      <c r="T96" s="29"/>
      <c r="U96" s="27"/>
      <c r="V96" s="32"/>
      <c r="X96" s="7"/>
    </row>
    <row r="97" spans="1:45" s="26" customFormat="1" ht="24" customHeight="1" x14ac:dyDescent="0.2">
      <c r="A97" s="244">
        <f t="shared" si="3"/>
        <v>39</v>
      </c>
      <c r="B97" s="49"/>
      <c r="C97" s="50"/>
      <c r="D97" s="51"/>
      <c r="E97" s="350"/>
      <c r="F97" s="305"/>
      <c r="G97" s="28"/>
      <c r="H97" s="29"/>
      <c r="I97" s="29"/>
      <c r="J97" s="30"/>
      <c r="K97" s="27"/>
      <c r="L97" s="28"/>
      <c r="M97" s="29"/>
      <c r="N97" s="29"/>
      <c r="O97" s="30"/>
      <c r="P97" s="31"/>
      <c r="Q97" s="32"/>
      <c r="R97" s="28"/>
      <c r="S97" s="29"/>
      <c r="T97" s="29"/>
      <c r="U97" s="27"/>
      <c r="V97" s="32"/>
      <c r="X97" s="7"/>
    </row>
    <row r="98" spans="1:45" s="26" customFormat="1" ht="24" customHeight="1" thickBot="1" x14ac:dyDescent="0.25">
      <c r="A98" s="252">
        <f t="shared" si="3"/>
        <v>40</v>
      </c>
      <c r="B98" s="117"/>
      <c r="C98" s="118"/>
      <c r="D98" s="119"/>
      <c r="E98" s="301"/>
      <c r="F98" s="351"/>
      <c r="G98" s="65"/>
      <c r="H98" s="66"/>
      <c r="I98" s="66"/>
      <c r="J98" s="67"/>
      <c r="K98" s="69"/>
      <c r="L98" s="65"/>
      <c r="M98" s="66"/>
      <c r="N98" s="66"/>
      <c r="O98" s="67"/>
      <c r="P98" s="68"/>
      <c r="Q98" s="70"/>
      <c r="R98" s="65"/>
      <c r="S98" s="66"/>
      <c r="T98" s="66"/>
      <c r="U98" s="69"/>
      <c r="V98" s="70"/>
      <c r="X98" s="7"/>
    </row>
    <row r="99" spans="1:45" s="26" customFormat="1" ht="9.75" customHeight="1" thickBot="1" x14ac:dyDescent="0.25">
      <c r="A99" s="359"/>
      <c r="B99" s="360"/>
      <c r="C99" s="361"/>
      <c r="D99" s="360"/>
      <c r="E99" s="360"/>
    </row>
    <row r="100" spans="1:45" s="11" customFormat="1" x14ac:dyDescent="0.2">
      <c r="A100" s="60" t="s">
        <v>75</v>
      </c>
      <c r="B100" s="8"/>
      <c r="C100" s="45"/>
      <c r="D100" s="8"/>
      <c r="E100" s="8"/>
      <c r="F100" s="125" t="s">
        <v>76</v>
      </c>
      <c r="G100" s="8"/>
      <c r="H100" s="8"/>
      <c r="I100" s="8"/>
      <c r="J100" s="9"/>
      <c r="K100" s="8"/>
      <c r="L100" s="8"/>
      <c r="M100" s="8"/>
      <c r="N100" s="8"/>
      <c r="O100" s="8"/>
      <c r="P100" s="8"/>
      <c r="Q100" s="8"/>
      <c r="R100" s="125" t="s">
        <v>77</v>
      </c>
      <c r="S100" s="8"/>
      <c r="T100" s="8"/>
      <c r="U100" s="8"/>
      <c r="V100" s="10"/>
    </row>
    <row r="101" spans="1:45" s="11" customFormat="1" ht="12.75" customHeight="1" x14ac:dyDescent="0.2">
      <c r="A101" s="137" t="s">
        <v>8</v>
      </c>
      <c r="B101" s="138" t="s">
        <v>157</v>
      </c>
      <c r="C101" s="132"/>
      <c r="D101" s="132"/>
      <c r="E101" s="132"/>
      <c r="F101" s="306" t="s">
        <v>8</v>
      </c>
      <c r="G101" s="457" t="s">
        <v>234</v>
      </c>
      <c r="H101" s="457"/>
      <c r="I101" s="457"/>
      <c r="J101" s="457"/>
      <c r="K101" s="457"/>
      <c r="L101" s="457"/>
      <c r="M101" s="457"/>
      <c r="N101" s="457"/>
      <c r="O101" s="457"/>
      <c r="P101" s="457"/>
      <c r="Q101" s="132"/>
      <c r="R101" s="14" t="s">
        <v>254</v>
      </c>
      <c r="V101" s="13"/>
    </row>
    <row r="102" spans="1:45" s="11" customFormat="1" ht="11.25" x14ac:dyDescent="0.2">
      <c r="A102" s="139"/>
      <c r="B102" s="138" t="s">
        <v>158</v>
      </c>
      <c r="C102" s="132"/>
      <c r="D102" s="132"/>
      <c r="E102" s="132"/>
      <c r="F102" s="307"/>
      <c r="G102" s="457"/>
      <c r="H102" s="457"/>
      <c r="I102" s="457"/>
      <c r="J102" s="457"/>
      <c r="K102" s="457"/>
      <c r="L102" s="457"/>
      <c r="M102" s="457"/>
      <c r="N102" s="457"/>
      <c r="O102" s="457"/>
      <c r="P102" s="457"/>
      <c r="Q102" s="132"/>
      <c r="V102" s="13"/>
    </row>
    <row r="103" spans="1:45" s="11" customFormat="1" ht="13.5" customHeight="1" x14ac:dyDescent="0.2">
      <c r="A103" s="137" t="s">
        <v>9</v>
      </c>
      <c r="B103" s="138" t="s">
        <v>82</v>
      </c>
      <c r="C103" s="46"/>
      <c r="F103" s="306" t="s">
        <v>9</v>
      </c>
      <c r="G103" s="362" t="s">
        <v>233</v>
      </c>
      <c r="V103" s="13"/>
    </row>
    <row r="104" spans="1:45" s="11" customFormat="1" ht="12.75" customHeight="1" x14ac:dyDescent="0.2">
      <c r="A104" s="137" t="s">
        <v>11</v>
      </c>
      <c r="B104" s="138" t="s">
        <v>235</v>
      </c>
      <c r="C104" s="46"/>
      <c r="F104" s="306" t="s">
        <v>11</v>
      </c>
      <c r="G104" s="362" t="s">
        <v>79</v>
      </c>
      <c r="J104" s="12"/>
      <c r="K104" s="14"/>
      <c r="Q104" s="12"/>
      <c r="V104" s="13"/>
    </row>
    <row r="105" spans="1:45" s="11" customFormat="1" ht="12.75" customHeight="1" x14ac:dyDescent="0.2">
      <c r="A105" s="137" t="s">
        <v>12</v>
      </c>
      <c r="B105" s="363" t="s">
        <v>84</v>
      </c>
      <c r="C105" s="46"/>
      <c r="F105" s="306" t="s">
        <v>12</v>
      </c>
      <c r="G105" s="362" t="s">
        <v>81</v>
      </c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V105" s="13"/>
    </row>
    <row r="106" spans="1:45" s="11" customFormat="1" ht="7.5" customHeight="1" thickBot="1" x14ac:dyDescent="0.25">
      <c r="A106" s="127"/>
      <c r="B106" s="15"/>
      <c r="C106" s="47"/>
      <c r="D106" s="15"/>
      <c r="E106" s="15"/>
      <c r="F106" s="131"/>
      <c r="G106" s="458"/>
      <c r="H106" s="458"/>
      <c r="I106" s="458"/>
      <c r="J106" s="458"/>
      <c r="K106" s="458"/>
      <c r="L106" s="458"/>
      <c r="M106" s="458"/>
      <c r="N106" s="458"/>
      <c r="O106" s="458"/>
      <c r="P106" s="458"/>
      <c r="Q106" s="458"/>
      <c r="R106" s="15"/>
      <c r="S106" s="15"/>
      <c r="T106" s="15"/>
      <c r="U106" s="15"/>
      <c r="V106" s="16"/>
    </row>
    <row r="107" spans="1:45" s="18" customFormat="1" ht="16.5" customHeight="1" x14ac:dyDescent="0.2">
      <c r="A107" s="134" t="s">
        <v>105</v>
      </c>
      <c r="C107" s="19"/>
      <c r="AR107" s="19"/>
      <c r="AS107" s="19"/>
    </row>
    <row r="108" spans="1:45" s="18" customFormat="1" ht="6" customHeight="1" x14ac:dyDescent="0.2">
      <c r="C108" s="19"/>
      <c r="AH108" s="19"/>
      <c r="AI108" s="19"/>
    </row>
    <row r="109" spans="1:45" s="88" customFormat="1" ht="15" x14ac:dyDescent="0.25">
      <c r="B109" s="88" t="s">
        <v>53</v>
      </c>
      <c r="C109" s="89"/>
      <c r="E109" s="88" t="s">
        <v>54</v>
      </c>
      <c r="Q109" s="88" t="s">
        <v>55</v>
      </c>
      <c r="AO109" s="89"/>
      <c r="AP109" s="89"/>
    </row>
    <row r="110" spans="1:45" s="18" customFormat="1" ht="19.5" customHeight="1" x14ac:dyDescent="0.2">
      <c r="C110" s="19"/>
      <c r="AO110" s="19"/>
      <c r="AP110" s="19"/>
    </row>
    <row r="111" spans="1:45" s="18" customFormat="1" ht="15" customHeight="1" x14ac:dyDescent="0.2">
      <c r="C111" s="19"/>
      <c r="AO111" s="19"/>
      <c r="AP111" s="19"/>
    </row>
    <row r="112" spans="1:45" s="18" customFormat="1" ht="17.25" customHeight="1" x14ac:dyDescent="0.2">
      <c r="B112" s="90"/>
      <c r="C112" s="19"/>
      <c r="E112" s="90"/>
      <c r="F112" s="90"/>
      <c r="G112" s="90"/>
      <c r="H112" s="90"/>
      <c r="I112" s="90"/>
      <c r="J112" s="90"/>
      <c r="Q112" s="90"/>
      <c r="R112" s="90"/>
      <c r="S112" s="90"/>
      <c r="T112" s="90"/>
      <c r="U112" s="90"/>
      <c r="V112" s="90"/>
      <c r="AO112" s="19"/>
      <c r="AP112" s="19"/>
    </row>
    <row r="113" spans="1:42" s="18" customFormat="1" ht="17.25" customHeight="1" x14ac:dyDescent="0.2">
      <c r="B113" s="18" t="s">
        <v>56</v>
      </c>
      <c r="C113" s="19"/>
      <c r="E113" s="18" t="s">
        <v>56</v>
      </c>
      <c r="Q113" s="18" t="s">
        <v>57</v>
      </c>
      <c r="AO113" s="19"/>
      <c r="AP113" s="19"/>
    </row>
    <row r="114" spans="1:42" s="18" customFormat="1" ht="18" customHeight="1" x14ac:dyDescent="0.2">
      <c r="B114" s="18" t="s">
        <v>58</v>
      </c>
      <c r="C114" s="19"/>
      <c r="E114" s="18" t="s">
        <v>59</v>
      </c>
      <c r="Q114" s="18" t="s">
        <v>58</v>
      </c>
      <c r="AO114" s="19"/>
      <c r="AP114" s="19"/>
    </row>
    <row r="115" spans="1:42" ht="6" customHeight="1" x14ac:dyDescent="0.2"/>
    <row r="116" spans="1:42" s="26" customFormat="1" ht="24" customHeight="1" x14ac:dyDescent="0.2">
      <c r="A116" s="244">
        <v>41</v>
      </c>
      <c r="B116" s="241"/>
      <c r="C116" s="242"/>
      <c r="D116" s="243"/>
      <c r="E116" s="97"/>
      <c r="F116" s="317"/>
      <c r="G116" s="28"/>
      <c r="H116" s="29"/>
      <c r="I116" s="29"/>
      <c r="J116" s="30"/>
      <c r="K116" s="27"/>
      <c r="L116" s="28"/>
      <c r="M116" s="29"/>
      <c r="N116" s="29"/>
      <c r="O116" s="30"/>
      <c r="P116" s="31"/>
      <c r="Q116" s="32"/>
      <c r="R116" s="28"/>
      <c r="S116" s="29"/>
      <c r="T116" s="29"/>
      <c r="U116" s="27"/>
      <c r="V116" s="32"/>
    </row>
    <row r="117" spans="1:42" s="26" customFormat="1" ht="24" customHeight="1" x14ac:dyDescent="0.2">
      <c r="A117" s="244">
        <f>A116+1</f>
        <v>42</v>
      </c>
      <c r="B117" s="241"/>
      <c r="C117" s="242"/>
      <c r="D117" s="243"/>
      <c r="E117" s="97"/>
      <c r="F117" s="317"/>
      <c r="G117" s="28"/>
      <c r="H117" s="29"/>
      <c r="I117" s="29"/>
      <c r="J117" s="30"/>
      <c r="K117" s="27"/>
      <c r="L117" s="28"/>
      <c r="M117" s="29"/>
      <c r="N117" s="29"/>
      <c r="O117" s="30"/>
      <c r="P117" s="31"/>
      <c r="Q117" s="32"/>
      <c r="R117" s="28"/>
      <c r="S117" s="29"/>
      <c r="T117" s="29"/>
      <c r="U117" s="27"/>
      <c r="V117" s="32"/>
    </row>
    <row r="118" spans="1:42" s="26" customFormat="1" ht="24" customHeight="1" x14ac:dyDescent="0.2">
      <c r="A118" s="244">
        <f t="shared" ref="A118:A125" si="4">A117+1</f>
        <v>43</v>
      </c>
      <c r="B118" s="241"/>
      <c r="C118" s="242"/>
      <c r="D118" s="243"/>
      <c r="E118" s="299"/>
      <c r="F118" s="304"/>
      <c r="G118" s="28"/>
      <c r="H118" s="29"/>
      <c r="I118" s="29"/>
      <c r="J118" s="30"/>
      <c r="K118" s="27"/>
      <c r="L118" s="28"/>
      <c r="M118" s="29"/>
      <c r="N118" s="29"/>
      <c r="O118" s="30"/>
      <c r="P118" s="31"/>
      <c r="Q118" s="32"/>
      <c r="R118" s="28"/>
      <c r="S118" s="29"/>
      <c r="T118" s="29"/>
      <c r="U118" s="27"/>
      <c r="V118" s="32"/>
    </row>
    <row r="119" spans="1:42" s="26" customFormat="1" ht="24" customHeight="1" x14ac:dyDescent="0.2">
      <c r="A119" s="244">
        <f t="shared" si="4"/>
        <v>44</v>
      </c>
      <c r="B119" s="49"/>
      <c r="C119" s="50"/>
      <c r="D119" s="51"/>
      <c r="E119" s="300"/>
      <c r="F119" s="305"/>
      <c r="G119" s="28"/>
      <c r="H119" s="29"/>
      <c r="I119" s="29"/>
      <c r="J119" s="30"/>
      <c r="K119" s="27"/>
      <c r="L119" s="28"/>
      <c r="M119" s="29"/>
      <c r="N119" s="29"/>
      <c r="O119" s="30"/>
      <c r="P119" s="31"/>
      <c r="Q119" s="32"/>
      <c r="R119" s="28"/>
      <c r="S119" s="29"/>
      <c r="T119" s="29"/>
      <c r="U119" s="27"/>
      <c r="V119" s="32"/>
      <c r="X119" s="7"/>
    </row>
    <row r="120" spans="1:42" s="26" customFormat="1" ht="24" customHeight="1" x14ac:dyDescent="0.2">
      <c r="A120" s="244">
        <f t="shared" si="4"/>
        <v>45</v>
      </c>
      <c r="B120" s="49"/>
      <c r="C120" s="50"/>
      <c r="D120" s="51"/>
      <c r="E120" s="350"/>
      <c r="F120" s="305"/>
      <c r="G120" s="28"/>
      <c r="H120" s="29"/>
      <c r="I120" s="29"/>
      <c r="J120" s="30"/>
      <c r="K120" s="27"/>
      <c r="L120" s="28"/>
      <c r="M120" s="29"/>
      <c r="N120" s="29"/>
      <c r="O120" s="30"/>
      <c r="P120" s="31"/>
      <c r="Q120" s="32"/>
      <c r="R120" s="28"/>
      <c r="S120" s="29"/>
      <c r="T120" s="29"/>
      <c r="U120" s="27"/>
      <c r="V120" s="32"/>
      <c r="X120" s="7"/>
    </row>
    <row r="121" spans="1:42" s="26" customFormat="1" ht="24" customHeight="1" x14ac:dyDescent="0.2">
      <c r="A121" s="244">
        <f t="shared" si="4"/>
        <v>46</v>
      </c>
      <c r="B121" s="49"/>
      <c r="C121" s="50"/>
      <c r="D121" s="51"/>
      <c r="E121" s="350"/>
      <c r="F121" s="305"/>
      <c r="G121" s="28"/>
      <c r="H121" s="29"/>
      <c r="I121" s="29"/>
      <c r="J121" s="30"/>
      <c r="K121" s="27"/>
      <c r="L121" s="28"/>
      <c r="M121" s="29"/>
      <c r="N121" s="29"/>
      <c r="O121" s="30"/>
      <c r="P121" s="31"/>
      <c r="Q121" s="32"/>
      <c r="R121" s="28"/>
      <c r="S121" s="29"/>
      <c r="T121" s="29"/>
      <c r="U121" s="27"/>
      <c r="V121" s="32"/>
      <c r="X121" s="7"/>
    </row>
    <row r="122" spans="1:42" s="26" customFormat="1" ht="24" customHeight="1" x14ac:dyDescent="0.2">
      <c r="A122" s="244">
        <f t="shared" si="4"/>
        <v>47</v>
      </c>
      <c r="B122" s="49"/>
      <c r="C122" s="50"/>
      <c r="D122" s="51"/>
      <c r="E122" s="350"/>
      <c r="F122" s="305"/>
      <c r="G122" s="28"/>
      <c r="H122" s="29"/>
      <c r="I122" s="29"/>
      <c r="J122" s="30"/>
      <c r="K122" s="27"/>
      <c r="L122" s="28"/>
      <c r="M122" s="29"/>
      <c r="N122" s="29"/>
      <c r="O122" s="30"/>
      <c r="P122" s="31"/>
      <c r="Q122" s="32"/>
      <c r="R122" s="28"/>
      <c r="S122" s="29"/>
      <c r="T122" s="29"/>
      <c r="U122" s="27"/>
      <c r="V122" s="32"/>
      <c r="X122" s="7"/>
    </row>
    <row r="123" spans="1:42" s="26" customFormat="1" ht="24" customHeight="1" x14ac:dyDescent="0.2">
      <c r="A123" s="244">
        <f t="shared" si="4"/>
        <v>48</v>
      </c>
      <c r="B123" s="49"/>
      <c r="C123" s="50"/>
      <c r="D123" s="51"/>
      <c r="E123" s="350"/>
      <c r="F123" s="305"/>
      <c r="G123" s="28"/>
      <c r="H123" s="29"/>
      <c r="I123" s="29"/>
      <c r="J123" s="30"/>
      <c r="K123" s="27"/>
      <c r="L123" s="28"/>
      <c r="M123" s="29"/>
      <c r="N123" s="29"/>
      <c r="O123" s="30"/>
      <c r="P123" s="31"/>
      <c r="Q123" s="32"/>
      <c r="R123" s="28"/>
      <c r="S123" s="29"/>
      <c r="T123" s="29"/>
      <c r="U123" s="27"/>
      <c r="V123" s="32"/>
      <c r="X123" s="7"/>
    </row>
    <row r="124" spans="1:42" s="26" customFormat="1" ht="24" customHeight="1" x14ac:dyDescent="0.2">
      <c r="A124" s="244">
        <f t="shared" si="4"/>
        <v>49</v>
      </c>
      <c r="B124" s="49"/>
      <c r="C124" s="50"/>
      <c r="D124" s="51"/>
      <c r="E124" s="350"/>
      <c r="F124" s="305"/>
      <c r="G124" s="28"/>
      <c r="H124" s="29"/>
      <c r="I124" s="29"/>
      <c r="J124" s="30"/>
      <c r="K124" s="27"/>
      <c r="L124" s="28"/>
      <c r="M124" s="29"/>
      <c r="N124" s="29"/>
      <c r="O124" s="30"/>
      <c r="P124" s="31"/>
      <c r="Q124" s="32"/>
      <c r="R124" s="28"/>
      <c r="S124" s="29"/>
      <c r="T124" s="29"/>
      <c r="U124" s="27"/>
      <c r="V124" s="32"/>
      <c r="X124" s="7"/>
    </row>
    <row r="125" spans="1:42" s="26" customFormat="1" ht="24" customHeight="1" thickBot="1" x14ac:dyDescent="0.25">
      <c r="A125" s="252">
        <f t="shared" si="4"/>
        <v>50</v>
      </c>
      <c r="B125" s="117"/>
      <c r="C125" s="118"/>
      <c r="D125" s="119"/>
      <c r="E125" s="301"/>
      <c r="F125" s="351"/>
      <c r="G125" s="65"/>
      <c r="H125" s="66"/>
      <c r="I125" s="66"/>
      <c r="J125" s="67"/>
      <c r="K125" s="69"/>
      <c r="L125" s="65"/>
      <c r="M125" s="66"/>
      <c r="N125" s="66"/>
      <c r="O125" s="67"/>
      <c r="P125" s="68"/>
      <c r="Q125" s="70"/>
      <c r="R125" s="65"/>
      <c r="S125" s="66"/>
      <c r="T125" s="66"/>
      <c r="U125" s="69"/>
      <c r="V125" s="70"/>
      <c r="X125" s="7"/>
    </row>
    <row r="126" spans="1:42" s="26" customFormat="1" ht="9.75" customHeight="1" thickBot="1" x14ac:dyDescent="0.25">
      <c r="A126" s="359"/>
      <c r="B126" s="360"/>
      <c r="C126" s="361"/>
      <c r="D126" s="360"/>
      <c r="E126" s="360"/>
    </row>
    <row r="127" spans="1:42" s="11" customFormat="1" x14ac:dyDescent="0.2">
      <c r="A127" s="60" t="s">
        <v>75</v>
      </c>
      <c r="B127" s="8"/>
      <c r="C127" s="45"/>
      <c r="D127" s="8"/>
      <c r="E127" s="8"/>
      <c r="F127" s="125" t="s">
        <v>76</v>
      </c>
      <c r="G127" s="8"/>
      <c r="H127" s="8"/>
      <c r="I127" s="8"/>
      <c r="J127" s="9"/>
      <c r="K127" s="8"/>
      <c r="L127" s="8"/>
      <c r="M127" s="8"/>
      <c r="N127" s="8"/>
      <c r="O127" s="8"/>
      <c r="P127" s="8"/>
      <c r="Q127" s="8"/>
      <c r="R127" s="125" t="s">
        <v>77</v>
      </c>
      <c r="S127" s="8"/>
      <c r="T127" s="8"/>
      <c r="U127" s="8"/>
      <c r="V127" s="10"/>
    </row>
    <row r="128" spans="1:42" s="11" customFormat="1" ht="12.75" customHeight="1" x14ac:dyDescent="0.2">
      <c r="A128" s="137" t="s">
        <v>8</v>
      </c>
      <c r="B128" s="138" t="s">
        <v>157</v>
      </c>
      <c r="C128" s="132"/>
      <c r="D128" s="132"/>
      <c r="E128" s="132"/>
      <c r="F128" s="306" t="s">
        <v>8</v>
      </c>
      <c r="G128" s="457" t="s">
        <v>234</v>
      </c>
      <c r="H128" s="457"/>
      <c r="I128" s="457"/>
      <c r="J128" s="457"/>
      <c r="K128" s="457"/>
      <c r="L128" s="457"/>
      <c r="M128" s="457"/>
      <c r="N128" s="457"/>
      <c r="O128" s="457"/>
      <c r="P128" s="457"/>
      <c r="Q128" s="132"/>
      <c r="R128" s="14" t="s">
        <v>254</v>
      </c>
      <c r="V128" s="13"/>
    </row>
    <row r="129" spans="1:45" s="11" customFormat="1" ht="11.25" x14ac:dyDescent="0.2">
      <c r="A129" s="139"/>
      <c r="B129" s="138" t="s">
        <v>158</v>
      </c>
      <c r="C129" s="132"/>
      <c r="D129" s="132"/>
      <c r="E129" s="132"/>
      <c r="F129" s="307"/>
      <c r="G129" s="457"/>
      <c r="H129" s="457"/>
      <c r="I129" s="457"/>
      <c r="J129" s="457"/>
      <c r="K129" s="457"/>
      <c r="L129" s="457"/>
      <c r="M129" s="457"/>
      <c r="N129" s="457"/>
      <c r="O129" s="457"/>
      <c r="P129" s="457"/>
      <c r="Q129" s="132"/>
      <c r="V129" s="13"/>
    </row>
    <row r="130" spans="1:45" s="11" customFormat="1" ht="13.5" customHeight="1" x14ac:dyDescent="0.2">
      <c r="A130" s="137" t="s">
        <v>9</v>
      </c>
      <c r="B130" s="138" t="s">
        <v>82</v>
      </c>
      <c r="C130" s="46"/>
      <c r="F130" s="306" t="s">
        <v>9</v>
      </c>
      <c r="G130" s="362" t="s">
        <v>233</v>
      </c>
      <c r="V130" s="13"/>
    </row>
    <row r="131" spans="1:45" s="11" customFormat="1" ht="12.75" customHeight="1" x14ac:dyDescent="0.2">
      <c r="A131" s="137" t="s">
        <v>11</v>
      </c>
      <c r="B131" s="138" t="s">
        <v>235</v>
      </c>
      <c r="C131" s="46"/>
      <c r="F131" s="306" t="s">
        <v>11</v>
      </c>
      <c r="G131" s="362" t="s">
        <v>79</v>
      </c>
      <c r="J131" s="12"/>
      <c r="K131" s="14"/>
      <c r="Q131" s="12"/>
      <c r="V131" s="13"/>
    </row>
    <row r="132" spans="1:45" s="11" customFormat="1" ht="12.75" customHeight="1" x14ac:dyDescent="0.2">
      <c r="A132" s="137" t="s">
        <v>12</v>
      </c>
      <c r="B132" s="363" t="s">
        <v>84</v>
      </c>
      <c r="C132" s="46"/>
      <c r="F132" s="306" t="s">
        <v>12</v>
      </c>
      <c r="G132" s="362" t="s">
        <v>81</v>
      </c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V132" s="13"/>
    </row>
    <row r="133" spans="1:45" s="11" customFormat="1" ht="7.5" customHeight="1" thickBot="1" x14ac:dyDescent="0.25">
      <c r="A133" s="127"/>
      <c r="B133" s="15"/>
      <c r="C133" s="47"/>
      <c r="D133" s="15"/>
      <c r="E133" s="15"/>
      <c r="F133" s="131"/>
      <c r="G133" s="458"/>
      <c r="H133" s="458"/>
      <c r="I133" s="458"/>
      <c r="J133" s="458"/>
      <c r="K133" s="458"/>
      <c r="L133" s="458"/>
      <c r="M133" s="458"/>
      <c r="N133" s="458"/>
      <c r="O133" s="458"/>
      <c r="P133" s="458"/>
      <c r="Q133" s="458"/>
      <c r="R133" s="15"/>
      <c r="S133" s="15"/>
      <c r="T133" s="15"/>
      <c r="U133" s="15"/>
      <c r="V133" s="16"/>
    </row>
    <row r="134" spans="1:45" s="18" customFormat="1" ht="16.5" customHeight="1" x14ac:dyDescent="0.2">
      <c r="A134" s="134" t="s">
        <v>105</v>
      </c>
      <c r="C134" s="19"/>
      <c r="AR134" s="19"/>
      <c r="AS134" s="19"/>
    </row>
    <row r="135" spans="1:45" s="18" customFormat="1" ht="6" customHeight="1" x14ac:dyDescent="0.2">
      <c r="C135" s="19"/>
      <c r="AH135" s="19"/>
      <c r="AI135" s="19"/>
    </row>
    <row r="136" spans="1:45" s="88" customFormat="1" ht="15" x14ac:dyDescent="0.25">
      <c r="B136" s="88" t="s">
        <v>53</v>
      </c>
      <c r="C136" s="89"/>
      <c r="E136" s="88" t="s">
        <v>54</v>
      </c>
      <c r="Q136" s="88" t="s">
        <v>55</v>
      </c>
      <c r="AO136" s="89"/>
      <c r="AP136" s="89"/>
    </row>
    <row r="137" spans="1:45" s="18" customFormat="1" ht="19.5" customHeight="1" x14ac:dyDescent="0.2">
      <c r="C137" s="19"/>
      <c r="AO137" s="19"/>
      <c r="AP137" s="19"/>
    </row>
    <row r="138" spans="1:45" s="18" customFormat="1" ht="15" customHeight="1" x14ac:dyDescent="0.2">
      <c r="C138" s="19"/>
      <c r="AO138" s="19"/>
      <c r="AP138" s="19"/>
    </row>
    <row r="139" spans="1:45" s="18" customFormat="1" ht="17.25" customHeight="1" x14ac:dyDescent="0.2">
      <c r="B139" s="90"/>
      <c r="C139" s="19"/>
      <c r="E139" s="90"/>
      <c r="F139" s="90"/>
      <c r="G139" s="90"/>
      <c r="H139" s="90"/>
      <c r="I139" s="90"/>
      <c r="J139" s="90"/>
      <c r="Q139" s="90"/>
      <c r="R139" s="90"/>
      <c r="S139" s="90"/>
      <c r="T139" s="90"/>
      <c r="U139" s="90"/>
      <c r="V139" s="90"/>
      <c r="AO139" s="19"/>
      <c r="AP139" s="19"/>
    </row>
    <row r="140" spans="1:45" s="18" customFormat="1" ht="17.25" customHeight="1" x14ac:dyDescent="0.2">
      <c r="B140" s="18" t="s">
        <v>56</v>
      </c>
      <c r="C140" s="19"/>
      <c r="E140" s="18" t="s">
        <v>56</v>
      </c>
      <c r="Q140" s="18" t="s">
        <v>57</v>
      </c>
      <c r="AO140" s="19"/>
      <c r="AP140" s="19"/>
    </row>
    <row r="141" spans="1:45" s="18" customFormat="1" ht="18" customHeight="1" x14ac:dyDescent="0.2">
      <c r="B141" s="18" t="s">
        <v>58</v>
      </c>
      <c r="C141" s="19"/>
      <c r="E141" s="18" t="s">
        <v>59</v>
      </c>
      <c r="Q141" s="18" t="s">
        <v>58</v>
      </c>
      <c r="AO141" s="19"/>
      <c r="AP141" s="19"/>
    </row>
    <row r="143" spans="1:45" ht="21" customHeight="1" x14ac:dyDescent="0.25">
      <c r="A143" s="393" t="s">
        <v>264</v>
      </c>
    </row>
  </sheetData>
  <mergeCells count="25">
    <mergeCell ref="G133:Q133"/>
    <mergeCell ref="G74:P75"/>
    <mergeCell ref="G79:Q79"/>
    <mergeCell ref="G101:P102"/>
    <mergeCell ref="G106:Q106"/>
    <mergeCell ref="G128:P129"/>
    <mergeCell ref="G47:P48"/>
    <mergeCell ref="G52:Q52"/>
    <mergeCell ref="G20:P21"/>
    <mergeCell ref="G25:Q25"/>
    <mergeCell ref="R4:U4"/>
    <mergeCell ref="A1:V1"/>
    <mergeCell ref="A2:V2"/>
    <mergeCell ref="A4:A7"/>
    <mergeCell ref="B4:B7"/>
    <mergeCell ref="C4:C7"/>
    <mergeCell ref="D4:D7"/>
    <mergeCell ref="F4:F7"/>
    <mergeCell ref="G4:K4"/>
    <mergeCell ref="L4:Q4"/>
    <mergeCell ref="E4:E7"/>
    <mergeCell ref="V4:V6"/>
    <mergeCell ref="G5:K5"/>
    <mergeCell ref="L5:Q5"/>
    <mergeCell ref="R5:U5"/>
  </mergeCells>
  <pageMargins left="0.28000000000000003" right="0.2" top="0.19" bottom="0.24" header="0.23" footer="0.24"/>
  <pageSetup paperSize="5" scale="85" orientation="landscape" horizontalDpi="4294967293" verticalDpi="360" r:id="rId1"/>
  <rowBreaks count="4" manualBreakCount="4">
    <brk id="34" max="21" man="1"/>
    <brk id="61" max="21" man="1"/>
    <brk id="88" max="21" man="1"/>
    <brk id="115" max="21" man="1"/>
  </rowBreaks>
  <colBreaks count="1" manualBreakCount="1">
    <brk id="2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4.9989318521683403E-2"/>
  </sheetPr>
  <dimension ref="A1:AV149"/>
  <sheetViews>
    <sheetView showGridLines="0" view="pageBreakPreview" zoomScale="85" zoomScaleNormal="85" zoomScaleSheetLayoutView="85" workbookViewId="0">
      <selection activeCell="L6" sqref="L6:L7"/>
    </sheetView>
  </sheetViews>
  <sheetFormatPr defaultColWidth="9.140625" defaultRowHeight="12.75" x14ac:dyDescent="0.2"/>
  <cols>
    <col min="1" max="1" width="5.42578125" style="6" customWidth="1"/>
    <col min="2" max="2" width="33" style="6" customWidth="1"/>
    <col min="3" max="3" width="22.5703125" style="48" customWidth="1"/>
    <col min="4" max="4" width="23.28515625" style="6" customWidth="1"/>
    <col min="5" max="5" width="6.42578125" style="6" customWidth="1"/>
    <col min="6" max="6" width="5.42578125" style="6" customWidth="1"/>
    <col min="7" max="18" width="5.5703125" style="6" customWidth="1"/>
    <col min="19" max="21" width="5" style="6" customWidth="1"/>
    <col min="22" max="22" width="6.42578125" style="6" customWidth="1"/>
    <col min="23" max="23" width="5.7109375" style="6" customWidth="1"/>
    <col min="24" max="24" width="5.5703125" style="6" customWidth="1"/>
    <col min="25" max="25" width="6.85546875" style="6" customWidth="1"/>
    <col min="26" max="26" width="3.7109375" style="6" customWidth="1"/>
    <col min="27" max="27" width="4.7109375" style="6" customWidth="1"/>
    <col min="28" max="16384" width="9.140625" style="6"/>
  </cols>
  <sheetData>
    <row r="1" spans="1:27" customFormat="1" ht="15.75" x14ac:dyDescent="0.25">
      <c r="A1" s="437" t="s">
        <v>18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7"/>
      <c r="P1" s="437"/>
      <c r="Q1" s="437"/>
      <c r="R1" s="437"/>
      <c r="S1" s="437"/>
      <c r="T1" s="437"/>
      <c r="U1" s="437"/>
      <c r="V1" s="437"/>
      <c r="W1" s="437"/>
      <c r="X1" s="437"/>
      <c r="Y1" s="437"/>
    </row>
    <row r="2" spans="1:27" customFormat="1" ht="22.5" customHeight="1" x14ac:dyDescent="0.2">
      <c r="A2" s="438" t="s">
        <v>256</v>
      </c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438"/>
      <c r="X2" s="438"/>
      <c r="Y2" s="438"/>
      <c r="Z2" s="17"/>
      <c r="AA2" s="17"/>
    </row>
    <row r="3" spans="1:27" s="41" customFormat="1" ht="21.75" customHeight="1" thickBot="1" x14ac:dyDescent="0.25">
      <c r="A3" s="391" t="s">
        <v>253</v>
      </c>
      <c r="C3" s="40"/>
      <c r="Q3" s="392"/>
      <c r="R3" s="391"/>
    </row>
    <row r="4" spans="1:27" s="41" customFormat="1" ht="15" customHeight="1" thickBot="1" x14ac:dyDescent="0.25">
      <c r="A4" s="439" t="s">
        <v>0</v>
      </c>
      <c r="B4" s="439" t="s">
        <v>1</v>
      </c>
      <c r="C4" s="439" t="s">
        <v>62</v>
      </c>
      <c r="D4" s="442" t="s">
        <v>250</v>
      </c>
      <c r="E4" s="445" t="s">
        <v>249</v>
      </c>
      <c r="F4" s="445" t="s">
        <v>22</v>
      </c>
      <c r="G4" s="448" t="s">
        <v>20</v>
      </c>
      <c r="H4" s="449"/>
      <c r="I4" s="449"/>
      <c r="J4" s="449"/>
      <c r="K4" s="460"/>
      <c r="L4" s="450"/>
      <c r="M4" s="451" t="s">
        <v>21</v>
      </c>
      <c r="N4" s="452"/>
      <c r="O4" s="452"/>
      <c r="P4" s="452"/>
      <c r="Q4" s="452"/>
      <c r="R4" s="453"/>
      <c r="S4" s="451" t="s">
        <v>71</v>
      </c>
      <c r="T4" s="452"/>
      <c r="U4" s="452"/>
      <c r="V4" s="452"/>
      <c r="W4" s="452"/>
      <c r="X4" s="453"/>
      <c r="Y4" s="454" t="s">
        <v>2</v>
      </c>
      <c r="AA4" s="7"/>
    </row>
    <row r="5" spans="1:27" s="41" customFormat="1" ht="15.75" customHeight="1" thickBot="1" x14ac:dyDescent="0.25">
      <c r="A5" s="440"/>
      <c r="B5" s="440"/>
      <c r="C5" s="440"/>
      <c r="D5" s="443"/>
      <c r="E5" s="446"/>
      <c r="F5" s="446"/>
      <c r="G5" s="451">
        <v>100</v>
      </c>
      <c r="H5" s="452"/>
      <c r="I5" s="452"/>
      <c r="J5" s="452"/>
      <c r="K5" s="452"/>
      <c r="L5" s="453"/>
      <c r="M5" s="451">
        <v>100</v>
      </c>
      <c r="N5" s="452"/>
      <c r="O5" s="452"/>
      <c r="P5" s="452"/>
      <c r="Q5" s="452"/>
      <c r="R5" s="453"/>
      <c r="S5" s="451">
        <v>100</v>
      </c>
      <c r="T5" s="452"/>
      <c r="U5" s="452"/>
      <c r="V5" s="452"/>
      <c r="W5" s="452"/>
      <c r="X5" s="453"/>
      <c r="Y5" s="455"/>
      <c r="AA5" s="7"/>
    </row>
    <row r="6" spans="1:27" s="41" customFormat="1" ht="110.25" x14ac:dyDescent="0.2">
      <c r="A6" s="440"/>
      <c r="B6" s="440"/>
      <c r="C6" s="440"/>
      <c r="D6" s="443"/>
      <c r="E6" s="446"/>
      <c r="F6" s="446"/>
      <c r="G6" s="174" t="s">
        <v>23</v>
      </c>
      <c r="H6" s="158" t="s">
        <v>24</v>
      </c>
      <c r="I6" s="158" t="s">
        <v>25</v>
      </c>
      <c r="J6" s="158" t="s">
        <v>26</v>
      </c>
      <c r="K6" s="352" t="s">
        <v>14</v>
      </c>
      <c r="L6" s="364" t="s">
        <v>3</v>
      </c>
      <c r="M6" s="158" t="s">
        <v>27</v>
      </c>
      <c r="N6" s="158" t="s">
        <v>28</v>
      </c>
      <c r="O6" s="158" t="s">
        <v>29</v>
      </c>
      <c r="P6" s="158" t="s">
        <v>30</v>
      </c>
      <c r="Q6" s="352" t="s">
        <v>33</v>
      </c>
      <c r="R6" s="364" t="s">
        <v>3</v>
      </c>
      <c r="S6" s="158" t="s">
        <v>32</v>
      </c>
      <c r="T6" s="158" t="s">
        <v>31</v>
      </c>
      <c r="U6" s="158" t="s">
        <v>16</v>
      </c>
      <c r="V6" s="158" t="s">
        <v>64</v>
      </c>
      <c r="W6" s="121" t="s">
        <v>72</v>
      </c>
      <c r="X6" s="364" t="s">
        <v>3</v>
      </c>
      <c r="Y6" s="456"/>
      <c r="AA6" s="7"/>
    </row>
    <row r="7" spans="1:27" s="40" customFormat="1" ht="18" customHeight="1" thickBot="1" x14ac:dyDescent="0.25">
      <c r="A7" s="441"/>
      <c r="B7" s="441"/>
      <c r="C7" s="441"/>
      <c r="D7" s="444"/>
      <c r="E7" s="447"/>
      <c r="F7" s="447"/>
      <c r="G7" s="36">
        <v>60</v>
      </c>
      <c r="H7" s="54">
        <v>10</v>
      </c>
      <c r="I7" s="54">
        <v>10</v>
      </c>
      <c r="J7" s="37">
        <v>10</v>
      </c>
      <c r="K7" s="37">
        <v>10</v>
      </c>
      <c r="L7" s="434">
        <v>100</v>
      </c>
      <c r="M7" s="53">
        <v>20</v>
      </c>
      <c r="N7" s="54">
        <v>20</v>
      </c>
      <c r="O7" s="54">
        <v>10</v>
      </c>
      <c r="P7" s="37">
        <v>10</v>
      </c>
      <c r="Q7" s="37">
        <v>40</v>
      </c>
      <c r="R7" s="434">
        <v>100</v>
      </c>
      <c r="S7" s="53">
        <v>20</v>
      </c>
      <c r="T7" s="54">
        <v>20</v>
      </c>
      <c r="U7" s="54">
        <v>20</v>
      </c>
      <c r="V7" s="54">
        <v>40</v>
      </c>
      <c r="W7" s="38"/>
      <c r="X7" s="434">
        <v>100</v>
      </c>
      <c r="Y7" s="39">
        <v>300</v>
      </c>
      <c r="AA7" s="7"/>
    </row>
    <row r="8" spans="1:27" s="43" customFormat="1" ht="24" customHeight="1" x14ac:dyDescent="0.25">
      <c r="A8" s="244">
        <v>1</v>
      </c>
      <c r="B8" s="241"/>
      <c r="C8" s="242"/>
      <c r="D8" s="243"/>
      <c r="E8" s="97"/>
      <c r="F8" s="317"/>
      <c r="G8" s="245"/>
      <c r="H8" s="246"/>
      <c r="I8" s="246"/>
      <c r="J8" s="247"/>
      <c r="K8" s="247"/>
      <c r="L8" s="249"/>
      <c r="M8" s="245"/>
      <c r="N8" s="246"/>
      <c r="O8" s="246"/>
      <c r="P8" s="247"/>
      <c r="Q8" s="247"/>
      <c r="R8" s="249"/>
      <c r="S8" s="245"/>
      <c r="T8" s="246"/>
      <c r="U8" s="246"/>
      <c r="V8" s="246"/>
      <c r="W8" s="248"/>
      <c r="X8" s="249"/>
      <c r="Y8" s="250"/>
    </row>
    <row r="9" spans="1:27" s="43" customFormat="1" ht="24" customHeight="1" x14ac:dyDescent="0.25">
      <c r="A9" s="244">
        <f>A8+1</f>
        <v>2</v>
      </c>
      <c r="B9" s="241"/>
      <c r="C9" s="242"/>
      <c r="D9" s="243"/>
      <c r="E9" s="97"/>
      <c r="F9" s="317"/>
      <c r="G9" s="245"/>
      <c r="H9" s="246"/>
      <c r="I9" s="246"/>
      <c r="J9" s="247"/>
      <c r="K9" s="247"/>
      <c r="L9" s="249"/>
      <c r="M9" s="245"/>
      <c r="N9" s="246"/>
      <c r="O9" s="246"/>
      <c r="P9" s="247"/>
      <c r="Q9" s="247"/>
      <c r="R9" s="249"/>
      <c r="S9" s="245"/>
      <c r="T9" s="246"/>
      <c r="U9" s="246"/>
      <c r="V9" s="246"/>
      <c r="W9" s="248"/>
      <c r="X9" s="249"/>
      <c r="Y9" s="250"/>
    </row>
    <row r="10" spans="1:27" s="43" customFormat="1" ht="24" customHeight="1" x14ac:dyDescent="0.25">
      <c r="A10" s="244">
        <f t="shared" ref="A10:A17" si="0">A9+1</f>
        <v>3</v>
      </c>
      <c r="B10" s="241"/>
      <c r="C10" s="242"/>
      <c r="D10" s="243"/>
      <c r="E10" s="97"/>
      <c r="F10" s="317"/>
      <c r="G10" s="245"/>
      <c r="H10" s="246"/>
      <c r="I10" s="246"/>
      <c r="J10" s="247"/>
      <c r="K10" s="247"/>
      <c r="L10" s="249"/>
      <c r="M10" s="245"/>
      <c r="N10" s="246"/>
      <c r="O10" s="246"/>
      <c r="P10" s="247"/>
      <c r="Q10" s="247"/>
      <c r="R10" s="249"/>
      <c r="S10" s="245"/>
      <c r="T10" s="246"/>
      <c r="U10" s="246"/>
      <c r="V10" s="246"/>
      <c r="W10" s="248"/>
      <c r="X10" s="249"/>
      <c r="Y10" s="250"/>
    </row>
    <row r="11" spans="1:27" s="43" customFormat="1" ht="24" customHeight="1" x14ac:dyDescent="0.25">
      <c r="A11" s="244">
        <f t="shared" si="0"/>
        <v>4</v>
      </c>
      <c r="B11" s="241"/>
      <c r="C11" s="242"/>
      <c r="D11" s="243"/>
      <c r="E11" s="299"/>
      <c r="F11" s="251"/>
      <c r="G11" s="245"/>
      <c r="H11" s="246"/>
      <c r="I11" s="246"/>
      <c r="J11" s="247"/>
      <c r="K11" s="247"/>
      <c r="L11" s="249"/>
      <c r="M11" s="245"/>
      <c r="N11" s="246"/>
      <c r="O11" s="246"/>
      <c r="P11" s="247"/>
      <c r="Q11" s="247"/>
      <c r="R11" s="249"/>
      <c r="S11" s="245"/>
      <c r="T11" s="246"/>
      <c r="U11" s="246"/>
      <c r="V11" s="246"/>
      <c r="W11" s="248"/>
      <c r="X11" s="249"/>
      <c r="Y11" s="250"/>
    </row>
    <row r="12" spans="1:27" s="43" customFormat="1" ht="24" customHeight="1" x14ac:dyDescent="0.25">
      <c r="A12" s="244">
        <f t="shared" si="0"/>
        <v>5</v>
      </c>
      <c r="B12" s="241"/>
      <c r="C12" s="242"/>
      <c r="D12" s="243"/>
      <c r="E12" s="353"/>
      <c r="F12" s="251"/>
      <c r="G12" s="245"/>
      <c r="H12" s="246"/>
      <c r="I12" s="246"/>
      <c r="J12" s="247"/>
      <c r="K12" s="247"/>
      <c r="L12" s="249"/>
      <c r="M12" s="245"/>
      <c r="N12" s="246"/>
      <c r="O12" s="246"/>
      <c r="P12" s="247"/>
      <c r="Q12" s="247"/>
      <c r="R12" s="249"/>
      <c r="S12" s="245"/>
      <c r="T12" s="246"/>
      <c r="U12" s="246"/>
      <c r="V12" s="246"/>
      <c r="W12" s="247"/>
      <c r="X12" s="249"/>
      <c r="Y12" s="250"/>
    </row>
    <row r="13" spans="1:27" s="43" customFormat="1" ht="24" customHeight="1" x14ac:dyDescent="0.25">
      <c r="A13" s="244">
        <f t="shared" si="0"/>
        <v>6</v>
      </c>
      <c r="B13" s="241"/>
      <c r="C13" s="242"/>
      <c r="D13" s="243"/>
      <c r="E13" s="353"/>
      <c r="F13" s="251"/>
      <c r="G13" s="245"/>
      <c r="H13" s="246"/>
      <c r="I13" s="246"/>
      <c r="J13" s="247"/>
      <c r="K13" s="247"/>
      <c r="L13" s="249"/>
      <c r="M13" s="245"/>
      <c r="N13" s="246"/>
      <c r="O13" s="246"/>
      <c r="P13" s="247"/>
      <c r="Q13" s="247"/>
      <c r="R13" s="249"/>
      <c r="S13" s="245"/>
      <c r="T13" s="246"/>
      <c r="U13" s="246"/>
      <c r="V13" s="246"/>
      <c r="W13" s="247"/>
      <c r="X13" s="249"/>
      <c r="Y13" s="250"/>
    </row>
    <row r="14" spans="1:27" s="43" customFormat="1" ht="24" customHeight="1" x14ac:dyDescent="0.25">
      <c r="A14" s="244">
        <f t="shared" si="0"/>
        <v>7</v>
      </c>
      <c r="B14" s="241"/>
      <c r="C14" s="242"/>
      <c r="D14" s="243"/>
      <c r="E14" s="353"/>
      <c r="F14" s="251"/>
      <c r="G14" s="245"/>
      <c r="H14" s="246"/>
      <c r="I14" s="246"/>
      <c r="J14" s="247"/>
      <c r="K14" s="247"/>
      <c r="L14" s="249"/>
      <c r="M14" s="245"/>
      <c r="N14" s="246"/>
      <c r="O14" s="246"/>
      <c r="P14" s="247"/>
      <c r="Q14" s="247"/>
      <c r="R14" s="249"/>
      <c r="S14" s="245"/>
      <c r="T14" s="246"/>
      <c r="U14" s="246"/>
      <c r="V14" s="246"/>
      <c r="W14" s="247"/>
      <c r="X14" s="249"/>
      <c r="Y14" s="250"/>
    </row>
    <row r="15" spans="1:27" s="43" customFormat="1" ht="24" customHeight="1" x14ac:dyDescent="0.25">
      <c r="A15" s="244">
        <f t="shared" si="0"/>
        <v>8</v>
      </c>
      <c r="B15" s="241"/>
      <c r="C15" s="242"/>
      <c r="D15" s="243"/>
      <c r="E15" s="353"/>
      <c r="F15" s="251"/>
      <c r="G15" s="245"/>
      <c r="H15" s="246"/>
      <c r="I15" s="246"/>
      <c r="J15" s="247"/>
      <c r="K15" s="247"/>
      <c r="L15" s="249"/>
      <c r="M15" s="245"/>
      <c r="N15" s="246"/>
      <c r="O15" s="246"/>
      <c r="P15" s="247"/>
      <c r="Q15" s="247"/>
      <c r="R15" s="249"/>
      <c r="S15" s="245"/>
      <c r="T15" s="246"/>
      <c r="U15" s="246"/>
      <c r="V15" s="246"/>
      <c r="W15" s="247"/>
      <c r="X15" s="249"/>
      <c r="Y15" s="250"/>
    </row>
    <row r="16" spans="1:27" s="43" customFormat="1" ht="24" customHeight="1" x14ac:dyDescent="0.25">
      <c r="A16" s="244">
        <f t="shared" si="0"/>
        <v>9</v>
      </c>
      <c r="B16" s="241"/>
      <c r="C16" s="242"/>
      <c r="D16" s="243"/>
      <c r="E16" s="353"/>
      <c r="F16" s="251"/>
      <c r="G16" s="245"/>
      <c r="H16" s="246"/>
      <c r="I16" s="246"/>
      <c r="J16" s="247"/>
      <c r="K16" s="247"/>
      <c r="L16" s="249"/>
      <c r="M16" s="245"/>
      <c r="N16" s="246"/>
      <c r="O16" s="246"/>
      <c r="P16" s="247"/>
      <c r="Q16" s="247"/>
      <c r="R16" s="249"/>
      <c r="S16" s="245"/>
      <c r="T16" s="246"/>
      <c r="U16" s="246"/>
      <c r="V16" s="246"/>
      <c r="W16" s="247"/>
      <c r="X16" s="249"/>
      <c r="Y16" s="250"/>
    </row>
    <row r="17" spans="1:48" s="43" customFormat="1" ht="24" customHeight="1" thickBot="1" x14ac:dyDescent="0.3">
      <c r="A17" s="252">
        <f t="shared" si="0"/>
        <v>10</v>
      </c>
      <c r="B17" s="259"/>
      <c r="C17" s="260"/>
      <c r="D17" s="261"/>
      <c r="E17" s="302"/>
      <c r="F17" s="354"/>
      <c r="G17" s="355"/>
      <c r="H17" s="356"/>
      <c r="I17" s="356"/>
      <c r="J17" s="357"/>
      <c r="K17" s="357"/>
      <c r="L17" s="354"/>
      <c r="M17" s="355"/>
      <c r="N17" s="356"/>
      <c r="O17" s="356"/>
      <c r="P17" s="357"/>
      <c r="Q17" s="357"/>
      <c r="R17" s="354"/>
      <c r="S17" s="355"/>
      <c r="T17" s="356"/>
      <c r="U17" s="356"/>
      <c r="V17" s="356"/>
      <c r="W17" s="356"/>
      <c r="X17" s="354"/>
      <c r="Y17" s="358"/>
    </row>
    <row r="18" spans="1:48" s="26" customFormat="1" ht="9.75" customHeight="1" thickBot="1" x14ac:dyDescent="0.25">
      <c r="A18" s="359"/>
      <c r="B18" s="360"/>
      <c r="C18" s="361"/>
      <c r="D18" s="360"/>
      <c r="E18" s="360"/>
    </row>
    <row r="19" spans="1:48" s="11" customFormat="1" x14ac:dyDescent="0.2">
      <c r="A19" s="60" t="s">
        <v>75</v>
      </c>
      <c r="B19" s="8"/>
      <c r="C19" s="45"/>
      <c r="D19" s="8"/>
      <c r="E19" s="8"/>
      <c r="F19" s="125" t="s">
        <v>76</v>
      </c>
      <c r="G19" s="8"/>
      <c r="H19" s="8"/>
      <c r="I19" s="8"/>
      <c r="J19" s="9"/>
      <c r="K19" s="9"/>
      <c r="L19" s="8"/>
      <c r="M19" s="8"/>
      <c r="N19" s="8"/>
      <c r="O19" s="8"/>
      <c r="P19" s="8"/>
      <c r="Q19" s="8"/>
      <c r="R19" s="8"/>
      <c r="S19" s="125" t="s">
        <v>77</v>
      </c>
      <c r="T19" s="8"/>
      <c r="U19" s="8"/>
      <c r="V19" s="8"/>
      <c r="W19" s="8"/>
      <c r="X19" s="8"/>
      <c r="Y19" s="10"/>
    </row>
    <row r="20" spans="1:48" s="11" customFormat="1" ht="12.75" customHeight="1" x14ac:dyDescent="0.2">
      <c r="A20" s="137" t="s">
        <v>8</v>
      </c>
      <c r="B20" s="138" t="s">
        <v>157</v>
      </c>
      <c r="C20" s="132"/>
      <c r="D20" s="132"/>
      <c r="E20" s="132"/>
      <c r="F20" s="130" t="s">
        <v>8</v>
      </c>
      <c r="G20" s="457" t="s">
        <v>134</v>
      </c>
      <c r="H20" s="457"/>
      <c r="I20" s="457"/>
      <c r="J20" s="457"/>
      <c r="K20" s="457"/>
      <c r="L20" s="457"/>
      <c r="M20" s="457"/>
      <c r="N20" s="457"/>
      <c r="O20" s="457"/>
      <c r="P20" s="457"/>
      <c r="Q20" s="457"/>
      <c r="R20" s="132"/>
      <c r="S20" s="11" t="s">
        <v>95</v>
      </c>
      <c r="Y20" s="13"/>
    </row>
    <row r="21" spans="1:48" s="11" customFormat="1" ht="11.25" x14ac:dyDescent="0.2">
      <c r="A21" s="139"/>
      <c r="B21" s="138" t="s">
        <v>158</v>
      </c>
      <c r="C21" s="132"/>
      <c r="D21" s="132"/>
      <c r="E21" s="132"/>
      <c r="F21" s="129"/>
      <c r="G21" s="457"/>
      <c r="H21" s="457"/>
      <c r="I21" s="457"/>
      <c r="J21" s="457"/>
      <c r="K21" s="457"/>
      <c r="L21" s="457"/>
      <c r="M21" s="457"/>
      <c r="N21" s="457"/>
      <c r="O21" s="457"/>
      <c r="P21" s="457"/>
      <c r="Q21" s="457"/>
      <c r="R21" s="132"/>
      <c r="S21" s="11" t="s">
        <v>96</v>
      </c>
      <c r="Y21" s="13"/>
    </row>
    <row r="22" spans="1:48" s="11" customFormat="1" ht="11.25" customHeight="1" x14ac:dyDescent="0.2">
      <c r="A22" s="137" t="s">
        <v>9</v>
      </c>
      <c r="B22" s="126" t="s">
        <v>82</v>
      </c>
      <c r="C22" s="46"/>
      <c r="F22" s="130" t="s">
        <v>9</v>
      </c>
      <c r="G22" s="11" t="s">
        <v>78</v>
      </c>
      <c r="Y22" s="13"/>
    </row>
    <row r="23" spans="1:48" s="11" customFormat="1" ht="12.75" customHeight="1" x14ac:dyDescent="0.2">
      <c r="A23" s="137" t="s">
        <v>11</v>
      </c>
      <c r="B23" s="126" t="s">
        <v>83</v>
      </c>
      <c r="C23" s="46"/>
      <c r="F23" s="130" t="s">
        <v>11</v>
      </c>
      <c r="G23" s="11" t="s">
        <v>79</v>
      </c>
      <c r="J23" s="12"/>
      <c r="K23" s="12"/>
      <c r="L23" s="14"/>
      <c r="R23" s="12"/>
      <c r="Y23" s="13"/>
    </row>
    <row r="24" spans="1:48" s="11" customFormat="1" ht="12.75" customHeight="1" x14ac:dyDescent="0.2">
      <c r="A24" s="137" t="s">
        <v>12</v>
      </c>
      <c r="B24" s="126" t="s">
        <v>84</v>
      </c>
      <c r="C24" s="46"/>
      <c r="F24" s="130" t="s">
        <v>12</v>
      </c>
      <c r="G24" s="459" t="s">
        <v>80</v>
      </c>
      <c r="H24" s="459"/>
      <c r="I24" s="459"/>
      <c r="J24" s="459"/>
      <c r="K24" s="459"/>
      <c r="L24" s="459"/>
      <c r="M24" s="459"/>
      <c r="N24" s="459"/>
      <c r="O24" s="459"/>
      <c r="P24" s="459"/>
      <c r="Q24" s="459"/>
      <c r="R24" s="157"/>
      <c r="Y24" s="13"/>
    </row>
    <row r="25" spans="1:48" s="11" customFormat="1" ht="11.25" customHeight="1" x14ac:dyDescent="0.2">
      <c r="A25" s="137" t="s">
        <v>13</v>
      </c>
      <c r="B25" s="126" t="s">
        <v>85</v>
      </c>
      <c r="C25" s="46"/>
      <c r="F25" s="129"/>
      <c r="G25" s="459"/>
      <c r="H25" s="459"/>
      <c r="I25" s="459"/>
      <c r="J25" s="459"/>
      <c r="K25" s="459"/>
      <c r="L25" s="459"/>
      <c r="M25" s="459"/>
      <c r="N25" s="459"/>
      <c r="O25" s="459"/>
      <c r="P25" s="459"/>
      <c r="Q25" s="459"/>
      <c r="R25" s="157"/>
      <c r="Y25" s="13"/>
    </row>
    <row r="26" spans="1:48" s="11" customFormat="1" ht="13.5" customHeight="1" thickBot="1" x14ac:dyDescent="0.25">
      <c r="A26" s="127"/>
      <c r="B26" s="15"/>
      <c r="C26" s="47"/>
      <c r="D26" s="15"/>
      <c r="E26" s="15"/>
      <c r="F26" s="131" t="s">
        <v>13</v>
      </c>
      <c r="G26" s="458" t="s">
        <v>81</v>
      </c>
      <c r="H26" s="458"/>
      <c r="I26" s="458"/>
      <c r="J26" s="458"/>
      <c r="K26" s="458"/>
      <c r="L26" s="458"/>
      <c r="M26" s="458"/>
      <c r="N26" s="458"/>
      <c r="O26" s="458"/>
      <c r="P26" s="458"/>
      <c r="Q26" s="458"/>
      <c r="R26" s="458"/>
      <c r="S26" s="15"/>
      <c r="T26" s="15"/>
      <c r="U26" s="15"/>
      <c r="V26" s="15"/>
      <c r="W26" s="15"/>
      <c r="X26" s="15"/>
      <c r="Y26" s="16"/>
    </row>
    <row r="27" spans="1:48" s="18" customFormat="1" ht="16.5" customHeight="1" x14ac:dyDescent="0.2">
      <c r="A27" s="134" t="s">
        <v>105</v>
      </c>
      <c r="C27" s="19"/>
      <c r="AU27" s="19"/>
      <c r="AV27" s="19"/>
    </row>
    <row r="28" spans="1:48" s="18" customFormat="1" ht="6" customHeight="1" x14ac:dyDescent="0.2">
      <c r="C28" s="19"/>
      <c r="AK28" s="19"/>
      <c r="AL28" s="19"/>
    </row>
    <row r="29" spans="1:48" s="88" customFormat="1" ht="15" x14ac:dyDescent="0.25">
      <c r="B29" s="88" t="s">
        <v>53</v>
      </c>
      <c r="C29" s="89"/>
      <c r="E29" s="88" t="s">
        <v>54</v>
      </c>
      <c r="R29" s="88" t="s">
        <v>55</v>
      </c>
      <c r="AR29" s="89"/>
      <c r="AS29" s="89"/>
    </row>
    <row r="30" spans="1:48" s="18" customFormat="1" ht="19.5" customHeight="1" x14ac:dyDescent="0.2">
      <c r="C30" s="19"/>
      <c r="AR30" s="19"/>
      <c r="AS30" s="19"/>
    </row>
    <row r="31" spans="1:48" s="18" customFormat="1" ht="19.5" customHeight="1" x14ac:dyDescent="0.2">
      <c r="C31" s="19"/>
      <c r="AR31" s="19"/>
      <c r="AS31" s="19"/>
    </row>
    <row r="32" spans="1:48" s="18" customFormat="1" ht="17.25" customHeight="1" x14ac:dyDescent="0.2">
      <c r="B32" s="90"/>
      <c r="C32" s="19"/>
      <c r="E32" s="90"/>
      <c r="F32" s="90"/>
      <c r="G32" s="90"/>
      <c r="H32" s="90"/>
      <c r="I32" s="90"/>
      <c r="J32" s="90"/>
      <c r="K32" s="90"/>
      <c r="L32" s="90"/>
      <c r="R32" s="90"/>
      <c r="S32" s="90"/>
      <c r="T32" s="90"/>
      <c r="U32" s="90"/>
      <c r="V32" s="90"/>
      <c r="W32" s="90"/>
      <c r="X32" s="90"/>
      <c r="Y32" s="90"/>
      <c r="AR32" s="19"/>
      <c r="AS32" s="19"/>
    </row>
    <row r="33" spans="1:45" s="18" customFormat="1" ht="23.25" customHeight="1" x14ac:dyDescent="0.2">
      <c r="B33" s="18" t="s">
        <v>56</v>
      </c>
      <c r="C33" s="19"/>
      <c r="E33" s="18" t="s">
        <v>56</v>
      </c>
      <c r="R33" s="18" t="s">
        <v>57</v>
      </c>
      <c r="AR33" s="19"/>
      <c r="AS33" s="19"/>
    </row>
    <row r="34" spans="1:45" s="18" customFormat="1" ht="18" customHeight="1" x14ac:dyDescent="0.2">
      <c r="B34" s="18" t="s">
        <v>58</v>
      </c>
      <c r="C34" s="19"/>
      <c r="E34" s="18" t="s">
        <v>59</v>
      </c>
      <c r="R34" s="18" t="s">
        <v>58</v>
      </c>
      <c r="AR34" s="19"/>
      <c r="AS34" s="19"/>
    </row>
    <row r="35" spans="1:45" ht="8.25" customHeight="1" x14ac:dyDescent="0.2"/>
    <row r="36" spans="1:45" s="43" customFormat="1" ht="24" customHeight="1" x14ac:dyDescent="0.25">
      <c r="A36" s="244">
        <v>11</v>
      </c>
      <c r="B36" s="241"/>
      <c r="C36" s="242"/>
      <c r="D36" s="243"/>
      <c r="E36" s="97"/>
      <c r="F36" s="317"/>
      <c r="G36" s="245"/>
      <c r="H36" s="246"/>
      <c r="I36" s="246"/>
      <c r="J36" s="247"/>
      <c r="K36" s="247"/>
      <c r="L36" s="249"/>
      <c r="M36" s="245"/>
      <c r="N36" s="246"/>
      <c r="O36" s="246"/>
      <c r="P36" s="247"/>
      <c r="Q36" s="247"/>
      <c r="R36" s="249"/>
      <c r="S36" s="245"/>
      <c r="T36" s="246"/>
      <c r="U36" s="246"/>
      <c r="V36" s="246"/>
      <c r="W36" s="248"/>
      <c r="X36" s="249"/>
      <c r="Y36" s="250"/>
    </row>
    <row r="37" spans="1:45" s="43" customFormat="1" ht="24" customHeight="1" x14ac:dyDescent="0.25">
      <c r="A37" s="244">
        <f>A36+1</f>
        <v>12</v>
      </c>
      <c r="B37" s="241"/>
      <c r="C37" s="242"/>
      <c r="D37" s="243"/>
      <c r="E37" s="97"/>
      <c r="F37" s="317"/>
      <c r="G37" s="245"/>
      <c r="H37" s="246"/>
      <c r="I37" s="246"/>
      <c r="J37" s="247"/>
      <c r="K37" s="247"/>
      <c r="L37" s="249"/>
      <c r="M37" s="245"/>
      <c r="N37" s="246"/>
      <c r="O37" s="246"/>
      <c r="P37" s="247"/>
      <c r="Q37" s="247"/>
      <c r="R37" s="249"/>
      <c r="S37" s="245"/>
      <c r="T37" s="246"/>
      <c r="U37" s="246"/>
      <c r="V37" s="246"/>
      <c r="W37" s="248"/>
      <c r="X37" s="249"/>
      <c r="Y37" s="250"/>
    </row>
    <row r="38" spans="1:45" s="43" customFormat="1" ht="24" customHeight="1" x14ac:dyDescent="0.25">
      <c r="A38" s="244">
        <f t="shared" ref="A38:A45" si="1">A37+1</f>
        <v>13</v>
      </c>
      <c r="B38" s="241"/>
      <c r="C38" s="242"/>
      <c r="D38" s="243"/>
      <c r="E38" s="97"/>
      <c r="F38" s="317"/>
      <c r="G38" s="245"/>
      <c r="H38" s="246"/>
      <c r="I38" s="246"/>
      <c r="J38" s="247"/>
      <c r="K38" s="247"/>
      <c r="L38" s="249"/>
      <c r="M38" s="245"/>
      <c r="N38" s="246"/>
      <c r="O38" s="246"/>
      <c r="P38" s="247"/>
      <c r="Q38" s="247"/>
      <c r="R38" s="249"/>
      <c r="S38" s="245"/>
      <c r="T38" s="246"/>
      <c r="U38" s="246"/>
      <c r="V38" s="246"/>
      <c r="W38" s="248"/>
      <c r="X38" s="249"/>
      <c r="Y38" s="250"/>
    </row>
    <row r="39" spans="1:45" s="43" customFormat="1" ht="24" customHeight="1" x14ac:dyDescent="0.25">
      <c r="A39" s="244">
        <f t="shared" si="1"/>
        <v>14</v>
      </c>
      <c r="B39" s="241"/>
      <c r="C39" s="242"/>
      <c r="D39" s="243"/>
      <c r="E39" s="299"/>
      <c r="F39" s="251"/>
      <c r="G39" s="245"/>
      <c r="H39" s="246"/>
      <c r="I39" s="246"/>
      <c r="J39" s="247"/>
      <c r="K39" s="247"/>
      <c r="L39" s="249"/>
      <c r="M39" s="245"/>
      <c r="N39" s="246"/>
      <c r="O39" s="246"/>
      <c r="P39" s="247"/>
      <c r="Q39" s="247"/>
      <c r="R39" s="249"/>
      <c r="S39" s="245"/>
      <c r="T39" s="246"/>
      <c r="U39" s="246"/>
      <c r="V39" s="246"/>
      <c r="W39" s="248"/>
      <c r="X39" s="249"/>
      <c r="Y39" s="250"/>
    </row>
    <row r="40" spans="1:45" s="43" customFormat="1" ht="24" customHeight="1" x14ac:dyDescent="0.25">
      <c r="A40" s="244">
        <f t="shared" si="1"/>
        <v>15</v>
      </c>
      <c r="B40" s="241"/>
      <c r="C40" s="242"/>
      <c r="D40" s="243"/>
      <c r="E40" s="353"/>
      <c r="F40" s="251"/>
      <c r="G40" s="245"/>
      <c r="H40" s="246"/>
      <c r="I40" s="246"/>
      <c r="J40" s="247"/>
      <c r="K40" s="247"/>
      <c r="L40" s="249"/>
      <c r="M40" s="245"/>
      <c r="N40" s="246"/>
      <c r="O40" s="246"/>
      <c r="P40" s="247"/>
      <c r="Q40" s="247"/>
      <c r="R40" s="249"/>
      <c r="S40" s="245"/>
      <c r="T40" s="246"/>
      <c r="U40" s="246"/>
      <c r="V40" s="246"/>
      <c r="W40" s="247"/>
      <c r="X40" s="249"/>
      <c r="Y40" s="250"/>
    </row>
    <row r="41" spans="1:45" s="43" customFormat="1" ht="24" customHeight="1" x14ac:dyDescent="0.25">
      <c r="A41" s="244">
        <f t="shared" si="1"/>
        <v>16</v>
      </c>
      <c r="B41" s="241"/>
      <c r="C41" s="242"/>
      <c r="D41" s="243"/>
      <c r="E41" s="353"/>
      <c r="F41" s="251"/>
      <c r="G41" s="245"/>
      <c r="H41" s="246"/>
      <c r="I41" s="246"/>
      <c r="J41" s="247"/>
      <c r="K41" s="247"/>
      <c r="L41" s="249"/>
      <c r="M41" s="245"/>
      <c r="N41" s="246"/>
      <c r="O41" s="246"/>
      <c r="P41" s="247"/>
      <c r="Q41" s="247"/>
      <c r="R41" s="249"/>
      <c r="S41" s="245"/>
      <c r="T41" s="246"/>
      <c r="U41" s="246"/>
      <c r="V41" s="246"/>
      <c r="W41" s="247"/>
      <c r="X41" s="249"/>
      <c r="Y41" s="250"/>
    </row>
    <row r="42" spans="1:45" s="43" customFormat="1" ht="24" customHeight="1" x14ac:dyDescent="0.25">
      <c r="A42" s="244">
        <f t="shared" si="1"/>
        <v>17</v>
      </c>
      <c r="B42" s="241"/>
      <c r="C42" s="242"/>
      <c r="D42" s="243"/>
      <c r="E42" s="353"/>
      <c r="F42" s="251"/>
      <c r="G42" s="245"/>
      <c r="H42" s="246"/>
      <c r="I42" s="246"/>
      <c r="J42" s="247"/>
      <c r="K42" s="247"/>
      <c r="L42" s="249"/>
      <c r="M42" s="245"/>
      <c r="N42" s="246"/>
      <c r="O42" s="246"/>
      <c r="P42" s="247"/>
      <c r="Q42" s="247"/>
      <c r="R42" s="249"/>
      <c r="S42" s="245"/>
      <c r="T42" s="246"/>
      <c r="U42" s="246"/>
      <c r="V42" s="246"/>
      <c r="W42" s="247"/>
      <c r="X42" s="249"/>
      <c r="Y42" s="250"/>
    </row>
    <row r="43" spans="1:45" s="43" customFormat="1" ht="24" customHeight="1" x14ac:dyDescent="0.25">
      <c r="A43" s="244">
        <f t="shared" si="1"/>
        <v>18</v>
      </c>
      <c r="B43" s="241"/>
      <c r="C43" s="242"/>
      <c r="D43" s="243"/>
      <c r="E43" s="353"/>
      <c r="F43" s="251"/>
      <c r="G43" s="245"/>
      <c r="H43" s="246"/>
      <c r="I43" s="246"/>
      <c r="J43" s="247"/>
      <c r="K43" s="247"/>
      <c r="L43" s="249"/>
      <c r="M43" s="245"/>
      <c r="N43" s="246"/>
      <c r="O43" s="246"/>
      <c r="P43" s="247"/>
      <c r="Q43" s="247"/>
      <c r="R43" s="249"/>
      <c r="S43" s="245"/>
      <c r="T43" s="246"/>
      <c r="U43" s="246"/>
      <c r="V43" s="246"/>
      <c r="W43" s="247"/>
      <c r="X43" s="249"/>
      <c r="Y43" s="250"/>
    </row>
    <row r="44" spans="1:45" s="43" customFormat="1" ht="24" customHeight="1" x14ac:dyDescent="0.25">
      <c r="A44" s="244">
        <f t="shared" si="1"/>
        <v>19</v>
      </c>
      <c r="B44" s="241"/>
      <c r="C44" s="242"/>
      <c r="D44" s="243"/>
      <c r="E44" s="353"/>
      <c r="F44" s="251"/>
      <c r="G44" s="245"/>
      <c r="H44" s="246"/>
      <c r="I44" s="246"/>
      <c r="J44" s="247"/>
      <c r="K44" s="247"/>
      <c r="L44" s="249"/>
      <c r="M44" s="245"/>
      <c r="N44" s="246"/>
      <c r="O44" s="246"/>
      <c r="P44" s="247"/>
      <c r="Q44" s="247"/>
      <c r="R44" s="249"/>
      <c r="S44" s="245"/>
      <c r="T44" s="246"/>
      <c r="U44" s="246"/>
      <c r="V44" s="246"/>
      <c r="W44" s="247"/>
      <c r="X44" s="249"/>
      <c r="Y44" s="250"/>
    </row>
    <row r="45" spans="1:45" s="43" customFormat="1" ht="24" customHeight="1" thickBot="1" x14ac:dyDescent="0.3">
      <c r="A45" s="252">
        <f t="shared" si="1"/>
        <v>20</v>
      </c>
      <c r="B45" s="259"/>
      <c r="C45" s="260"/>
      <c r="D45" s="261"/>
      <c r="E45" s="302"/>
      <c r="F45" s="354"/>
      <c r="G45" s="355"/>
      <c r="H45" s="356"/>
      <c r="I45" s="356"/>
      <c r="J45" s="357"/>
      <c r="K45" s="357"/>
      <c r="L45" s="354"/>
      <c r="M45" s="355"/>
      <c r="N45" s="356"/>
      <c r="O45" s="356"/>
      <c r="P45" s="357"/>
      <c r="Q45" s="357"/>
      <c r="R45" s="354"/>
      <c r="S45" s="355"/>
      <c r="T45" s="356"/>
      <c r="U45" s="356"/>
      <c r="V45" s="356"/>
      <c r="W45" s="356"/>
      <c r="X45" s="354"/>
      <c r="Y45" s="358"/>
    </row>
    <row r="46" spans="1:45" s="26" customFormat="1" ht="9.75" customHeight="1" thickBot="1" x14ac:dyDescent="0.25">
      <c r="A46" s="359"/>
      <c r="B46" s="360"/>
      <c r="C46" s="361"/>
      <c r="D46" s="360"/>
      <c r="E46" s="360"/>
    </row>
    <row r="47" spans="1:45" s="11" customFormat="1" x14ac:dyDescent="0.2">
      <c r="A47" s="60" t="s">
        <v>75</v>
      </c>
      <c r="B47" s="8"/>
      <c r="C47" s="45"/>
      <c r="D47" s="8"/>
      <c r="E47" s="8"/>
      <c r="F47" s="125" t="s">
        <v>76</v>
      </c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125" t="s">
        <v>77</v>
      </c>
      <c r="T47" s="8"/>
      <c r="U47" s="8"/>
      <c r="V47" s="8"/>
      <c r="W47" s="8"/>
      <c r="X47" s="8"/>
      <c r="Y47" s="10"/>
    </row>
    <row r="48" spans="1:45" s="11" customFormat="1" ht="12.75" customHeight="1" x14ac:dyDescent="0.2">
      <c r="A48" s="137" t="s">
        <v>8</v>
      </c>
      <c r="B48" s="138" t="s">
        <v>157</v>
      </c>
      <c r="C48" s="132"/>
      <c r="D48" s="132"/>
      <c r="E48" s="132"/>
      <c r="F48" s="130" t="s">
        <v>8</v>
      </c>
      <c r="G48" s="457" t="s">
        <v>134</v>
      </c>
      <c r="H48" s="457"/>
      <c r="I48" s="457"/>
      <c r="J48" s="457"/>
      <c r="K48" s="457"/>
      <c r="L48" s="457"/>
      <c r="M48" s="457"/>
      <c r="N48" s="457"/>
      <c r="O48" s="457"/>
      <c r="P48" s="457"/>
      <c r="Q48" s="457"/>
      <c r="R48" s="132"/>
      <c r="S48" s="11" t="s">
        <v>95</v>
      </c>
      <c r="Y48" s="13"/>
    </row>
    <row r="49" spans="1:48" s="11" customFormat="1" ht="11.25" x14ac:dyDescent="0.2">
      <c r="A49" s="139"/>
      <c r="B49" s="138" t="s">
        <v>158</v>
      </c>
      <c r="C49" s="132"/>
      <c r="D49" s="132"/>
      <c r="E49" s="132"/>
      <c r="F49" s="129"/>
      <c r="G49" s="457"/>
      <c r="H49" s="457"/>
      <c r="I49" s="457"/>
      <c r="J49" s="457"/>
      <c r="K49" s="457"/>
      <c r="L49" s="457"/>
      <c r="M49" s="457"/>
      <c r="N49" s="457"/>
      <c r="O49" s="457"/>
      <c r="P49" s="457"/>
      <c r="Q49" s="457"/>
      <c r="R49" s="132"/>
      <c r="S49" s="11" t="s">
        <v>96</v>
      </c>
      <c r="Y49" s="13"/>
    </row>
    <row r="50" spans="1:48" s="11" customFormat="1" ht="11.25" customHeight="1" x14ac:dyDescent="0.2">
      <c r="A50" s="137" t="s">
        <v>9</v>
      </c>
      <c r="B50" s="126" t="s">
        <v>82</v>
      </c>
      <c r="C50" s="46"/>
      <c r="F50" s="130" t="s">
        <v>9</v>
      </c>
      <c r="G50" s="11" t="s">
        <v>78</v>
      </c>
      <c r="Y50" s="13"/>
    </row>
    <row r="51" spans="1:48" s="11" customFormat="1" ht="12.75" customHeight="1" x14ac:dyDescent="0.2">
      <c r="A51" s="137" t="s">
        <v>11</v>
      </c>
      <c r="B51" s="126" t="s">
        <v>83</v>
      </c>
      <c r="C51" s="46"/>
      <c r="F51" s="130" t="s">
        <v>11</v>
      </c>
      <c r="G51" s="11" t="s">
        <v>79</v>
      </c>
      <c r="J51" s="12"/>
      <c r="K51" s="12"/>
      <c r="L51" s="14"/>
      <c r="R51" s="12"/>
      <c r="Y51" s="13"/>
    </row>
    <row r="52" spans="1:48" s="11" customFormat="1" ht="12.75" customHeight="1" x14ac:dyDescent="0.2">
      <c r="A52" s="137" t="s">
        <v>12</v>
      </c>
      <c r="B52" s="126" t="s">
        <v>84</v>
      </c>
      <c r="C52" s="46"/>
      <c r="F52" s="130" t="s">
        <v>12</v>
      </c>
      <c r="G52" s="459" t="s">
        <v>80</v>
      </c>
      <c r="H52" s="459"/>
      <c r="I52" s="459"/>
      <c r="J52" s="459"/>
      <c r="K52" s="459"/>
      <c r="L52" s="459"/>
      <c r="M52" s="459"/>
      <c r="N52" s="459"/>
      <c r="O52" s="459"/>
      <c r="P52" s="459"/>
      <c r="Q52" s="459"/>
      <c r="R52" s="157"/>
      <c r="Y52" s="13"/>
    </row>
    <row r="53" spans="1:48" s="11" customFormat="1" ht="11.25" customHeight="1" x14ac:dyDescent="0.2">
      <c r="A53" s="137" t="s">
        <v>13</v>
      </c>
      <c r="B53" s="126" t="s">
        <v>85</v>
      </c>
      <c r="C53" s="46"/>
      <c r="F53" s="129"/>
      <c r="G53" s="459"/>
      <c r="H53" s="459"/>
      <c r="I53" s="459"/>
      <c r="J53" s="459"/>
      <c r="K53" s="459"/>
      <c r="L53" s="459"/>
      <c r="M53" s="459"/>
      <c r="N53" s="459"/>
      <c r="O53" s="459"/>
      <c r="P53" s="459"/>
      <c r="Q53" s="459"/>
      <c r="R53" s="157"/>
      <c r="Y53" s="13"/>
    </row>
    <row r="54" spans="1:48" s="11" customFormat="1" ht="13.5" customHeight="1" thickBot="1" x14ac:dyDescent="0.25">
      <c r="A54" s="127"/>
      <c r="B54" s="15"/>
      <c r="C54" s="47"/>
      <c r="D54" s="15"/>
      <c r="E54" s="15"/>
      <c r="F54" s="131" t="s">
        <v>13</v>
      </c>
      <c r="G54" s="458" t="s">
        <v>81</v>
      </c>
      <c r="H54" s="458"/>
      <c r="I54" s="458"/>
      <c r="J54" s="458"/>
      <c r="K54" s="458"/>
      <c r="L54" s="458"/>
      <c r="M54" s="458"/>
      <c r="N54" s="458"/>
      <c r="O54" s="458"/>
      <c r="P54" s="458"/>
      <c r="Q54" s="458"/>
      <c r="R54" s="458"/>
      <c r="S54" s="15"/>
      <c r="T54" s="15"/>
      <c r="U54" s="15"/>
      <c r="V54" s="15"/>
      <c r="W54" s="15"/>
      <c r="X54" s="15"/>
      <c r="Y54" s="16"/>
    </row>
    <row r="55" spans="1:48" s="18" customFormat="1" ht="16.5" customHeight="1" x14ac:dyDescent="0.2">
      <c r="A55" s="134" t="s">
        <v>105</v>
      </c>
      <c r="C55" s="19"/>
      <c r="AU55" s="19"/>
      <c r="AV55" s="19"/>
    </row>
    <row r="56" spans="1:48" s="18" customFormat="1" ht="6" customHeight="1" x14ac:dyDescent="0.2">
      <c r="C56" s="19"/>
      <c r="AK56" s="19"/>
      <c r="AL56" s="19"/>
    </row>
    <row r="57" spans="1:48" s="88" customFormat="1" ht="15" x14ac:dyDescent="0.25">
      <c r="B57" s="88" t="s">
        <v>53</v>
      </c>
      <c r="C57" s="89"/>
      <c r="E57" s="88" t="s">
        <v>54</v>
      </c>
      <c r="R57" s="88" t="s">
        <v>55</v>
      </c>
      <c r="AR57" s="89"/>
      <c r="AS57" s="89"/>
    </row>
    <row r="58" spans="1:48" s="18" customFormat="1" ht="19.5" customHeight="1" x14ac:dyDescent="0.2">
      <c r="C58" s="19"/>
      <c r="AR58" s="19"/>
      <c r="AS58" s="19"/>
    </row>
    <row r="59" spans="1:48" s="18" customFormat="1" ht="19.5" customHeight="1" x14ac:dyDescent="0.2">
      <c r="C59" s="19"/>
      <c r="AR59" s="19"/>
      <c r="AS59" s="19"/>
    </row>
    <row r="60" spans="1:48" s="18" customFormat="1" ht="17.25" customHeight="1" x14ac:dyDescent="0.2">
      <c r="B60" s="90"/>
      <c r="C60" s="19"/>
      <c r="E60" s="90"/>
      <c r="F60" s="90"/>
      <c r="G60" s="90"/>
      <c r="H60" s="90"/>
      <c r="I60" s="90"/>
      <c r="J60" s="90"/>
      <c r="K60" s="90"/>
      <c r="L60" s="90"/>
      <c r="R60" s="90"/>
      <c r="S60" s="90"/>
      <c r="T60" s="90"/>
      <c r="U60" s="90"/>
      <c r="V60" s="90"/>
      <c r="W60" s="90"/>
      <c r="X60" s="90"/>
      <c r="Y60" s="90"/>
      <c r="AR60" s="19"/>
      <c r="AS60" s="19"/>
    </row>
    <row r="61" spans="1:48" s="18" customFormat="1" ht="23.25" customHeight="1" x14ac:dyDescent="0.2">
      <c r="B61" s="18" t="s">
        <v>56</v>
      </c>
      <c r="C61" s="19"/>
      <c r="E61" s="18" t="s">
        <v>56</v>
      </c>
      <c r="R61" s="18" t="s">
        <v>57</v>
      </c>
      <c r="AR61" s="19"/>
      <c r="AS61" s="19"/>
    </row>
    <row r="62" spans="1:48" s="18" customFormat="1" ht="18" customHeight="1" x14ac:dyDescent="0.2">
      <c r="B62" s="18" t="s">
        <v>58</v>
      </c>
      <c r="C62" s="19"/>
      <c r="E62" s="18" t="s">
        <v>59</v>
      </c>
      <c r="R62" s="18" t="s">
        <v>58</v>
      </c>
      <c r="AR62" s="19"/>
      <c r="AS62" s="19"/>
    </row>
    <row r="63" spans="1:48" ht="8.25" customHeight="1" x14ac:dyDescent="0.2"/>
    <row r="64" spans="1:48" s="43" customFormat="1" ht="24" customHeight="1" x14ac:dyDescent="0.25">
      <c r="A64" s="244">
        <v>21</v>
      </c>
      <c r="B64" s="241"/>
      <c r="C64" s="242"/>
      <c r="D64" s="243"/>
      <c r="E64" s="97"/>
      <c r="F64" s="317"/>
      <c r="G64" s="245"/>
      <c r="H64" s="246"/>
      <c r="I64" s="246"/>
      <c r="J64" s="247"/>
      <c r="K64" s="247"/>
      <c r="L64" s="249"/>
      <c r="M64" s="245"/>
      <c r="N64" s="246"/>
      <c r="O64" s="246"/>
      <c r="P64" s="247"/>
      <c r="Q64" s="247"/>
      <c r="R64" s="249"/>
      <c r="S64" s="245"/>
      <c r="T64" s="246"/>
      <c r="U64" s="246"/>
      <c r="V64" s="246"/>
      <c r="W64" s="248"/>
      <c r="X64" s="249"/>
      <c r="Y64" s="250"/>
    </row>
    <row r="65" spans="1:25" s="43" customFormat="1" ht="24" customHeight="1" x14ac:dyDescent="0.25">
      <c r="A65" s="244">
        <f>A64+1</f>
        <v>22</v>
      </c>
      <c r="B65" s="241"/>
      <c r="C65" s="242"/>
      <c r="D65" s="243"/>
      <c r="E65" s="97"/>
      <c r="F65" s="317"/>
      <c r="G65" s="245"/>
      <c r="H65" s="246"/>
      <c r="I65" s="246"/>
      <c r="J65" s="247"/>
      <c r="K65" s="247"/>
      <c r="L65" s="249"/>
      <c r="M65" s="245"/>
      <c r="N65" s="246"/>
      <c r="O65" s="246"/>
      <c r="P65" s="247"/>
      <c r="Q65" s="247"/>
      <c r="R65" s="249"/>
      <c r="S65" s="245"/>
      <c r="T65" s="246"/>
      <c r="U65" s="246"/>
      <c r="V65" s="246"/>
      <c r="W65" s="248"/>
      <c r="X65" s="249"/>
      <c r="Y65" s="250"/>
    </row>
    <row r="66" spans="1:25" s="43" customFormat="1" ht="24" customHeight="1" x14ac:dyDescent="0.25">
      <c r="A66" s="244">
        <f t="shared" ref="A66:A73" si="2">A65+1</f>
        <v>23</v>
      </c>
      <c r="B66" s="241"/>
      <c r="C66" s="242"/>
      <c r="D66" s="243"/>
      <c r="E66" s="97"/>
      <c r="F66" s="317"/>
      <c r="G66" s="245"/>
      <c r="H66" s="246"/>
      <c r="I66" s="246"/>
      <c r="J66" s="247"/>
      <c r="K66" s="247"/>
      <c r="L66" s="249"/>
      <c r="M66" s="245"/>
      <c r="N66" s="246"/>
      <c r="O66" s="246"/>
      <c r="P66" s="247"/>
      <c r="Q66" s="247"/>
      <c r="R66" s="249"/>
      <c r="S66" s="245"/>
      <c r="T66" s="246"/>
      <c r="U66" s="246"/>
      <c r="V66" s="246"/>
      <c r="W66" s="248"/>
      <c r="X66" s="249"/>
      <c r="Y66" s="250"/>
    </row>
    <row r="67" spans="1:25" s="43" customFormat="1" ht="24" customHeight="1" x14ac:dyDescent="0.25">
      <c r="A67" s="244">
        <f t="shared" si="2"/>
        <v>24</v>
      </c>
      <c r="B67" s="241"/>
      <c r="C67" s="242"/>
      <c r="D67" s="243"/>
      <c r="E67" s="299"/>
      <c r="F67" s="251"/>
      <c r="G67" s="245"/>
      <c r="H67" s="246"/>
      <c r="I67" s="246"/>
      <c r="J67" s="247"/>
      <c r="K67" s="247"/>
      <c r="L67" s="249"/>
      <c r="M67" s="245"/>
      <c r="N67" s="246"/>
      <c r="O67" s="246"/>
      <c r="P67" s="247"/>
      <c r="Q67" s="247"/>
      <c r="R67" s="249"/>
      <c r="S67" s="245"/>
      <c r="T67" s="246"/>
      <c r="U67" s="246"/>
      <c r="V67" s="246"/>
      <c r="W67" s="248"/>
      <c r="X67" s="249"/>
      <c r="Y67" s="250"/>
    </row>
    <row r="68" spans="1:25" s="43" customFormat="1" ht="24" customHeight="1" x14ac:dyDescent="0.25">
      <c r="A68" s="244">
        <f t="shared" si="2"/>
        <v>25</v>
      </c>
      <c r="B68" s="241"/>
      <c r="C68" s="242"/>
      <c r="D68" s="243"/>
      <c r="E68" s="353"/>
      <c r="F68" s="251"/>
      <c r="G68" s="245"/>
      <c r="H68" s="246"/>
      <c r="I68" s="246"/>
      <c r="J68" s="247"/>
      <c r="K68" s="247"/>
      <c r="L68" s="249"/>
      <c r="M68" s="245"/>
      <c r="N68" s="246"/>
      <c r="O68" s="246"/>
      <c r="P68" s="247"/>
      <c r="Q68" s="247"/>
      <c r="R68" s="249"/>
      <c r="S68" s="245"/>
      <c r="T68" s="246"/>
      <c r="U68" s="246"/>
      <c r="V68" s="246"/>
      <c r="W68" s="247"/>
      <c r="X68" s="249"/>
      <c r="Y68" s="250"/>
    </row>
    <row r="69" spans="1:25" s="43" customFormat="1" ht="24" customHeight="1" x14ac:dyDescent="0.25">
      <c r="A69" s="244">
        <f t="shared" si="2"/>
        <v>26</v>
      </c>
      <c r="B69" s="241"/>
      <c r="C69" s="242"/>
      <c r="D69" s="243"/>
      <c r="E69" s="353"/>
      <c r="F69" s="251"/>
      <c r="G69" s="245"/>
      <c r="H69" s="246"/>
      <c r="I69" s="246"/>
      <c r="J69" s="247"/>
      <c r="K69" s="247"/>
      <c r="L69" s="249"/>
      <c r="M69" s="245"/>
      <c r="N69" s="246"/>
      <c r="O69" s="246"/>
      <c r="P69" s="247"/>
      <c r="Q69" s="247"/>
      <c r="R69" s="249"/>
      <c r="S69" s="245"/>
      <c r="T69" s="246"/>
      <c r="U69" s="246"/>
      <c r="V69" s="246"/>
      <c r="W69" s="247"/>
      <c r="X69" s="249"/>
      <c r="Y69" s="250"/>
    </row>
    <row r="70" spans="1:25" s="43" customFormat="1" ht="24" customHeight="1" x14ac:dyDescent="0.25">
      <c r="A70" s="244">
        <f t="shared" si="2"/>
        <v>27</v>
      </c>
      <c r="B70" s="241"/>
      <c r="C70" s="242"/>
      <c r="D70" s="243"/>
      <c r="E70" s="353"/>
      <c r="F70" s="251"/>
      <c r="G70" s="245"/>
      <c r="H70" s="246"/>
      <c r="I70" s="246"/>
      <c r="J70" s="247"/>
      <c r="K70" s="247"/>
      <c r="L70" s="249"/>
      <c r="M70" s="245"/>
      <c r="N70" s="246"/>
      <c r="O70" s="246"/>
      <c r="P70" s="247"/>
      <c r="Q70" s="247"/>
      <c r="R70" s="249"/>
      <c r="S70" s="245"/>
      <c r="T70" s="246"/>
      <c r="U70" s="246"/>
      <c r="V70" s="246"/>
      <c r="W70" s="247"/>
      <c r="X70" s="249"/>
      <c r="Y70" s="250"/>
    </row>
    <row r="71" spans="1:25" s="43" customFormat="1" ht="24" customHeight="1" x14ac:dyDescent="0.25">
      <c r="A71" s="244">
        <f t="shared" si="2"/>
        <v>28</v>
      </c>
      <c r="B71" s="241"/>
      <c r="C71" s="242"/>
      <c r="D71" s="243"/>
      <c r="E71" s="353"/>
      <c r="F71" s="251"/>
      <c r="G71" s="245"/>
      <c r="H71" s="246"/>
      <c r="I71" s="246"/>
      <c r="J71" s="247"/>
      <c r="K71" s="247"/>
      <c r="L71" s="249"/>
      <c r="M71" s="245"/>
      <c r="N71" s="246"/>
      <c r="O71" s="246"/>
      <c r="P71" s="247"/>
      <c r="Q71" s="247"/>
      <c r="R71" s="249"/>
      <c r="S71" s="245"/>
      <c r="T71" s="246"/>
      <c r="U71" s="246"/>
      <c r="V71" s="246"/>
      <c r="W71" s="247"/>
      <c r="X71" s="249"/>
      <c r="Y71" s="250"/>
    </row>
    <row r="72" spans="1:25" s="43" customFormat="1" ht="24" customHeight="1" x14ac:dyDescent="0.25">
      <c r="A72" s="244">
        <f t="shared" si="2"/>
        <v>29</v>
      </c>
      <c r="B72" s="241"/>
      <c r="C72" s="242"/>
      <c r="D72" s="243"/>
      <c r="E72" s="353"/>
      <c r="F72" s="251"/>
      <c r="G72" s="245"/>
      <c r="H72" s="246"/>
      <c r="I72" s="246"/>
      <c r="J72" s="247"/>
      <c r="K72" s="247"/>
      <c r="L72" s="249"/>
      <c r="M72" s="245"/>
      <c r="N72" s="246"/>
      <c r="O72" s="246"/>
      <c r="P72" s="247"/>
      <c r="Q72" s="247"/>
      <c r="R72" s="249"/>
      <c r="S72" s="245"/>
      <c r="T72" s="246"/>
      <c r="U72" s="246"/>
      <c r="V72" s="246"/>
      <c r="W72" s="247"/>
      <c r="X72" s="249"/>
      <c r="Y72" s="250"/>
    </row>
    <row r="73" spans="1:25" s="43" customFormat="1" ht="24" customHeight="1" thickBot="1" x14ac:dyDescent="0.3">
      <c r="A73" s="252">
        <f t="shared" si="2"/>
        <v>30</v>
      </c>
      <c r="B73" s="259"/>
      <c r="C73" s="260"/>
      <c r="D73" s="261"/>
      <c r="E73" s="302"/>
      <c r="F73" s="354"/>
      <c r="G73" s="355"/>
      <c r="H73" s="356"/>
      <c r="I73" s="356"/>
      <c r="J73" s="357"/>
      <c r="K73" s="357"/>
      <c r="L73" s="354"/>
      <c r="M73" s="355"/>
      <c r="N73" s="356"/>
      <c r="O73" s="356"/>
      <c r="P73" s="357"/>
      <c r="Q73" s="357"/>
      <c r="R73" s="354"/>
      <c r="S73" s="355"/>
      <c r="T73" s="356"/>
      <c r="U73" s="356"/>
      <c r="V73" s="356"/>
      <c r="W73" s="356"/>
      <c r="X73" s="354"/>
      <c r="Y73" s="358"/>
    </row>
    <row r="74" spans="1:25" s="26" customFormat="1" ht="9.75" customHeight="1" thickBot="1" x14ac:dyDescent="0.25">
      <c r="A74" s="359"/>
      <c r="B74" s="360"/>
      <c r="C74" s="361"/>
      <c r="D74" s="360"/>
      <c r="E74" s="360"/>
    </row>
    <row r="75" spans="1:25" s="11" customFormat="1" x14ac:dyDescent="0.2">
      <c r="A75" s="60" t="s">
        <v>75</v>
      </c>
      <c r="B75" s="8"/>
      <c r="C75" s="45"/>
      <c r="D75" s="8"/>
      <c r="E75" s="8"/>
      <c r="F75" s="125" t="s">
        <v>76</v>
      </c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125" t="s">
        <v>77</v>
      </c>
      <c r="T75" s="8"/>
      <c r="U75" s="8"/>
      <c r="V75" s="8"/>
      <c r="W75" s="8"/>
      <c r="X75" s="8"/>
      <c r="Y75" s="10"/>
    </row>
    <row r="76" spans="1:25" s="11" customFormat="1" ht="12.75" customHeight="1" x14ac:dyDescent="0.2">
      <c r="A76" s="137" t="s">
        <v>8</v>
      </c>
      <c r="B76" s="138" t="s">
        <v>157</v>
      </c>
      <c r="C76" s="132"/>
      <c r="D76" s="132"/>
      <c r="E76" s="132"/>
      <c r="F76" s="130" t="s">
        <v>8</v>
      </c>
      <c r="G76" s="457" t="s">
        <v>134</v>
      </c>
      <c r="H76" s="457"/>
      <c r="I76" s="457"/>
      <c r="J76" s="457"/>
      <c r="K76" s="457"/>
      <c r="L76" s="457"/>
      <c r="M76" s="457"/>
      <c r="N76" s="457"/>
      <c r="O76" s="457"/>
      <c r="P76" s="457"/>
      <c r="Q76" s="457"/>
      <c r="R76" s="132"/>
      <c r="S76" s="11" t="s">
        <v>95</v>
      </c>
      <c r="Y76" s="13"/>
    </row>
    <row r="77" spans="1:25" s="11" customFormat="1" ht="11.25" x14ac:dyDescent="0.2">
      <c r="A77" s="139"/>
      <c r="B77" s="138" t="s">
        <v>158</v>
      </c>
      <c r="C77" s="132"/>
      <c r="D77" s="132"/>
      <c r="E77" s="132"/>
      <c r="F77" s="129"/>
      <c r="G77" s="457"/>
      <c r="H77" s="457"/>
      <c r="I77" s="457"/>
      <c r="J77" s="457"/>
      <c r="K77" s="457"/>
      <c r="L77" s="457"/>
      <c r="M77" s="457"/>
      <c r="N77" s="457"/>
      <c r="O77" s="457"/>
      <c r="P77" s="457"/>
      <c r="Q77" s="457"/>
      <c r="R77" s="132"/>
      <c r="S77" s="11" t="s">
        <v>96</v>
      </c>
      <c r="Y77" s="13"/>
    </row>
    <row r="78" spans="1:25" s="11" customFormat="1" ht="11.25" customHeight="1" x14ac:dyDescent="0.2">
      <c r="A78" s="137" t="s">
        <v>9</v>
      </c>
      <c r="B78" s="126" t="s">
        <v>82</v>
      </c>
      <c r="C78" s="46"/>
      <c r="F78" s="130" t="s">
        <v>9</v>
      </c>
      <c r="G78" s="11" t="s">
        <v>78</v>
      </c>
      <c r="Y78" s="13"/>
    </row>
    <row r="79" spans="1:25" s="11" customFormat="1" ht="12.75" customHeight="1" x14ac:dyDescent="0.2">
      <c r="A79" s="137" t="s">
        <v>11</v>
      </c>
      <c r="B79" s="126" t="s">
        <v>83</v>
      </c>
      <c r="C79" s="46"/>
      <c r="F79" s="130" t="s">
        <v>11</v>
      </c>
      <c r="G79" s="11" t="s">
        <v>79</v>
      </c>
      <c r="J79" s="12"/>
      <c r="K79" s="12"/>
      <c r="L79" s="14"/>
      <c r="R79" s="12"/>
      <c r="Y79" s="13"/>
    </row>
    <row r="80" spans="1:25" s="11" customFormat="1" ht="12.75" customHeight="1" x14ac:dyDescent="0.2">
      <c r="A80" s="137" t="s">
        <v>12</v>
      </c>
      <c r="B80" s="126" t="s">
        <v>84</v>
      </c>
      <c r="C80" s="46"/>
      <c r="F80" s="130" t="s">
        <v>12</v>
      </c>
      <c r="G80" s="459" t="s">
        <v>80</v>
      </c>
      <c r="H80" s="459"/>
      <c r="I80" s="459"/>
      <c r="J80" s="459"/>
      <c r="K80" s="459"/>
      <c r="L80" s="459"/>
      <c r="M80" s="459"/>
      <c r="N80" s="459"/>
      <c r="O80" s="459"/>
      <c r="P80" s="459"/>
      <c r="Q80" s="459"/>
      <c r="R80" s="157"/>
      <c r="Y80" s="13"/>
    </row>
    <row r="81" spans="1:48" s="11" customFormat="1" ht="11.25" customHeight="1" x14ac:dyDescent="0.2">
      <c r="A81" s="137" t="s">
        <v>13</v>
      </c>
      <c r="B81" s="126" t="s">
        <v>85</v>
      </c>
      <c r="C81" s="46"/>
      <c r="F81" s="129"/>
      <c r="G81" s="459"/>
      <c r="H81" s="459"/>
      <c r="I81" s="459"/>
      <c r="J81" s="459"/>
      <c r="K81" s="459"/>
      <c r="L81" s="459"/>
      <c r="M81" s="459"/>
      <c r="N81" s="459"/>
      <c r="O81" s="459"/>
      <c r="P81" s="459"/>
      <c r="Q81" s="459"/>
      <c r="R81" s="157"/>
      <c r="Y81" s="13"/>
    </row>
    <row r="82" spans="1:48" s="11" customFormat="1" ht="13.5" customHeight="1" thickBot="1" x14ac:dyDescent="0.25">
      <c r="A82" s="127"/>
      <c r="B82" s="15"/>
      <c r="C82" s="47"/>
      <c r="D82" s="15"/>
      <c r="E82" s="15"/>
      <c r="F82" s="131" t="s">
        <v>13</v>
      </c>
      <c r="G82" s="458" t="s">
        <v>81</v>
      </c>
      <c r="H82" s="458"/>
      <c r="I82" s="458"/>
      <c r="J82" s="458"/>
      <c r="K82" s="458"/>
      <c r="L82" s="458"/>
      <c r="M82" s="458"/>
      <c r="N82" s="458"/>
      <c r="O82" s="458"/>
      <c r="P82" s="458"/>
      <c r="Q82" s="458"/>
      <c r="R82" s="458"/>
      <c r="S82" s="15"/>
      <c r="T82" s="15"/>
      <c r="U82" s="15"/>
      <c r="V82" s="15"/>
      <c r="W82" s="15"/>
      <c r="X82" s="15"/>
      <c r="Y82" s="16"/>
    </row>
    <row r="83" spans="1:48" s="18" customFormat="1" ht="16.5" customHeight="1" x14ac:dyDescent="0.2">
      <c r="A83" s="134" t="s">
        <v>105</v>
      </c>
      <c r="C83" s="19"/>
      <c r="AU83" s="19"/>
      <c r="AV83" s="19"/>
    </row>
    <row r="84" spans="1:48" s="18" customFormat="1" ht="6" customHeight="1" x14ac:dyDescent="0.2">
      <c r="C84" s="19"/>
      <c r="AK84" s="19"/>
      <c r="AL84" s="19"/>
    </row>
    <row r="85" spans="1:48" s="88" customFormat="1" ht="15" x14ac:dyDescent="0.25">
      <c r="B85" s="88" t="s">
        <v>53</v>
      </c>
      <c r="C85" s="89"/>
      <c r="E85" s="88" t="s">
        <v>54</v>
      </c>
      <c r="R85" s="88" t="s">
        <v>55</v>
      </c>
      <c r="AR85" s="89"/>
      <c r="AS85" s="89"/>
    </row>
    <row r="86" spans="1:48" s="18" customFormat="1" ht="19.5" customHeight="1" x14ac:dyDescent="0.2">
      <c r="C86" s="19"/>
      <c r="AR86" s="19"/>
      <c r="AS86" s="19"/>
    </row>
    <row r="87" spans="1:48" s="18" customFormat="1" ht="19.5" customHeight="1" x14ac:dyDescent="0.2">
      <c r="C87" s="19"/>
      <c r="AR87" s="19"/>
      <c r="AS87" s="19"/>
    </row>
    <row r="88" spans="1:48" s="18" customFormat="1" ht="17.25" customHeight="1" x14ac:dyDescent="0.2">
      <c r="B88" s="90"/>
      <c r="C88" s="19"/>
      <c r="E88" s="90"/>
      <c r="F88" s="90"/>
      <c r="G88" s="90"/>
      <c r="H88" s="90"/>
      <c r="I88" s="90"/>
      <c r="J88" s="90"/>
      <c r="K88" s="90"/>
      <c r="L88" s="90"/>
      <c r="R88" s="90"/>
      <c r="S88" s="90"/>
      <c r="T88" s="90"/>
      <c r="U88" s="90"/>
      <c r="V88" s="90"/>
      <c r="W88" s="90"/>
      <c r="X88" s="90"/>
      <c r="Y88" s="90"/>
      <c r="AR88" s="19"/>
      <c r="AS88" s="19"/>
    </row>
    <row r="89" spans="1:48" s="18" customFormat="1" ht="23.25" customHeight="1" x14ac:dyDescent="0.2">
      <c r="B89" s="18" t="s">
        <v>56</v>
      </c>
      <c r="C89" s="19"/>
      <c r="E89" s="18" t="s">
        <v>56</v>
      </c>
      <c r="R89" s="18" t="s">
        <v>57</v>
      </c>
      <c r="AR89" s="19"/>
      <c r="AS89" s="19"/>
    </row>
    <row r="90" spans="1:48" s="18" customFormat="1" ht="18" customHeight="1" x14ac:dyDescent="0.2">
      <c r="B90" s="18" t="s">
        <v>58</v>
      </c>
      <c r="C90" s="19"/>
      <c r="E90" s="18" t="s">
        <v>59</v>
      </c>
      <c r="R90" s="18" t="s">
        <v>58</v>
      </c>
      <c r="AR90" s="19"/>
      <c r="AS90" s="19"/>
    </row>
    <row r="92" spans="1:48" s="43" customFormat="1" ht="24" customHeight="1" x14ac:dyDescent="0.25">
      <c r="A92" s="244">
        <v>31</v>
      </c>
      <c r="B92" s="241"/>
      <c r="C92" s="242"/>
      <c r="D92" s="243"/>
      <c r="E92" s="97"/>
      <c r="F92" s="317"/>
      <c r="G92" s="245"/>
      <c r="H92" s="246"/>
      <c r="I92" s="246"/>
      <c r="J92" s="247"/>
      <c r="K92" s="247"/>
      <c r="L92" s="249"/>
      <c r="M92" s="245"/>
      <c r="N92" s="246"/>
      <c r="O92" s="246"/>
      <c r="P92" s="247"/>
      <c r="Q92" s="247"/>
      <c r="R92" s="249"/>
      <c r="S92" s="245"/>
      <c r="T92" s="246"/>
      <c r="U92" s="246"/>
      <c r="V92" s="246"/>
      <c r="W92" s="248"/>
      <c r="X92" s="249"/>
      <c r="Y92" s="250"/>
    </row>
    <row r="93" spans="1:48" s="43" customFormat="1" ht="24" customHeight="1" x14ac:dyDescent="0.25">
      <c r="A93" s="244">
        <f>A92+1</f>
        <v>32</v>
      </c>
      <c r="B93" s="241"/>
      <c r="C93" s="242"/>
      <c r="D93" s="243"/>
      <c r="E93" s="97"/>
      <c r="F93" s="317"/>
      <c r="G93" s="245"/>
      <c r="H93" s="246"/>
      <c r="I93" s="246"/>
      <c r="J93" s="247"/>
      <c r="K93" s="247"/>
      <c r="L93" s="249"/>
      <c r="M93" s="245"/>
      <c r="N93" s="246"/>
      <c r="O93" s="246"/>
      <c r="P93" s="247"/>
      <c r="Q93" s="247"/>
      <c r="R93" s="249"/>
      <c r="S93" s="245"/>
      <c r="T93" s="246"/>
      <c r="U93" s="246"/>
      <c r="V93" s="246"/>
      <c r="W93" s="248"/>
      <c r="X93" s="249"/>
      <c r="Y93" s="250"/>
    </row>
    <row r="94" spans="1:48" s="43" customFormat="1" ht="24" customHeight="1" x14ac:dyDescent="0.25">
      <c r="A94" s="244">
        <f t="shared" ref="A94:A101" si="3">A93+1</f>
        <v>33</v>
      </c>
      <c r="B94" s="241"/>
      <c r="C94" s="242"/>
      <c r="D94" s="243"/>
      <c r="E94" s="97"/>
      <c r="F94" s="317"/>
      <c r="G94" s="245"/>
      <c r="H94" s="246"/>
      <c r="I94" s="246"/>
      <c r="J94" s="247"/>
      <c r="K94" s="247"/>
      <c r="L94" s="249"/>
      <c r="M94" s="245"/>
      <c r="N94" s="246"/>
      <c r="O94" s="246"/>
      <c r="P94" s="247"/>
      <c r="Q94" s="247"/>
      <c r="R94" s="249"/>
      <c r="S94" s="245"/>
      <c r="T94" s="246"/>
      <c r="U94" s="246"/>
      <c r="V94" s="246"/>
      <c r="W94" s="248"/>
      <c r="X94" s="249"/>
      <c r="Y94" s="250"/>
    </row>
    <row r="95" spans="1:48" s="43" customFormat="1" ht="24" customHeight="1" x14ac:dyDescent="0.25">
      <c r="A95" s="244">
        <f t="shared" si="3"/>
        <v>34</v>
      </c>
      <c r="B95" s="241"/>
      <c r="C95" s="242"/>
      <c r="D95" s="243"/>
      <c r="E95" s="299"/>
      <c r="F95" s="251"/>
      <c r="G95" s="245"/>
      <c r="H95" s="246"/>
      <c r="I95" s="246"/>
      <c r="J95" s="247"/>
      <c r="K95" s="247"/>
      <c r="L95" s="249"/>
      <c r="M95" s="245"/>
      <c r="N95" s="246"/>
      <c r="O95" s="246"/>
      <c r="P95" s="247"/>
      <c r="Q95" s="247"/>
      <c r="R95" s="249"/>
      <c r="S95" s="245"/>
      <c r="T95" s="246"/>
      <c r="U95" s="246"/>
      <c r="V95" s="246"/>
      <c r="W95" s="248"/>
      <c r="X95" s="249"/>
      <c r="Y95" s="250"/>
    </row>
    <row r="96" spans="1:48" s="43" customFormat="1" ht="24" customHeight="1" x14ac:dyDescent="0.25">
      <c r="A96" s="244">
        <f t="shared" si="3"/>
        <v>35</v>
      </c>
      <c r="B96" s="241"/>
      <c r="C96" s="242"/>
      <c r="D96" s="243"/>
      <c r="E96" s="353"/>
      <c r="F96" s="251"/>
      <c r="G96" s="245"/>
      <c r="H96" s="246"/>
      <c r="I96" s="246"/>
      <c r="J96" s="247"/>
      <c r="K96" s="247"/>
      <c r="L96" s="249"/>
      <c r="M96" s="245"/>
      <c r="N96" s="246"/>
      <c r="O96" s="246"/>
      <c r="P96" s="247"/>
      <c r="Q96" s="247"/>
      <c r="R96" s="249"/>
      <c r="S96" s="245"/>
      <c r="T96" s="246"/>
      <c r="U96" s="246"/>
      <c r="V96" s="246"/>
      <c r="W96" s="247"/>
      <c r="X96" s="249"/>
      <c r="Y96" s="250"/>
    </row>
    <row r="97" spans="1:48" s="43" customFormat="1" ht="24" customHeight="1" x14ac:dyDescent="0.25">
      <c r="A97" s="244">
        <f t="shared" si="3"/>
        <v>36</v>
      </c>
      <c r="B97" s="241"/>
      <c r="C97" s="242"/>
      <c r="D97" s="243"/>
      <c r="E97" s="353"/>
      <c r="F97" s="251"/>
      <c r="G97" s="245"/>
      <c r="H97" s="246"/>
      <c r="I97" s="246"/>
      <c r="J97" s="247"/>
      <c r="K97" s="247"/>
      <c r="L97" s="249"/>
      <c r="M97" s="245"/>
      <c r="N97" s="246"/>
      <c r="O97" s="246"/>
      <c r="P97" s="247"/>
      <c r="Q97" s="247"/>
      <c r="R97" s="249"/>
      <c r="S97" s="245"/>
      <c r="T97" s="246"/>
      <c r="U97" s="246"/>
      <c r="V97" s="246"/>
      <c r="W97" s="247"/>
      <c r="X97" s="249"/>
      <c r="Y97" s="250"/>
    </row>
    <row r="98" spans="1:48" s="43" customFormat="1" ht="24" customHeight="1" x14ac:dyDescent="0.25">
      <c r="A98" s="244">
        <f t="shared" si="3"/>
        <v>37</v>
      </c>
      <c r="B98" s="241"/>
      <c r="C98" s="242"/>
      <c r="D98" s="243"/>
      <c r="E98" s="353"/>
      <c r="F98" s="251"/>
      <c r="G98" s="245"/>
      <c r="H98" s="246"/>
      <c r="I98" s="246"/>
      <c r="J98" s="247"/>
      <c r="K98" s="247"/>
      <c r="L98" s="249"/>
      <c r="M98" s="245"/>
      <c r="N98" s="246"/>
      <c r="O98" s="246"/>
      <c r="P98" s="247"/>
      <c r="Q98" s="247"/>
      <c r="R98" s="249"/>
      <c r="S98" s="245"/>
      <c r="T98" s="246"/>
      <c r="U98" s="246"/>
      <c r="V98" s="246"/>
      <c r="W98" s="247"/>
      <c r="X98" s="249"/>
      <c r="Y98" s="250"/>
    </row>
    <row r="99" spans="1:48" s="43" customFormat="1" ht="24" customHeight="1" x14ac:dyDescent="0.25">
      <c r="A99" s="244">
        <f t="shared" si="3"/>
        <v>38</v>
      </c>
      <c r="B99" s="241"/>
      <c r="C99" s="242"/>
      <c r="D99" s="243"/>
      <c r="E99" s="353"/>
      <c r="F99" s="251"/>
      <c r="G99" s="245"/>
      <c r="H99" s="246"/>
      <c r="I99" s="246"/>
      <c r="J99" s="247"/>
      <c r="K99" s="247"/>
      <c r="L99" s="249"/>
      <c r="M99" s="245"/>
      <c r="N99" s="246"/>
      <c r="O99" s="246"/>
      <c r="P99" s="247"/>
      <c r="Q99" s="247"/>
      <c r="R99" s="249"/>
      <c r="S99" s="245"/>
      <c r="T99" s="246"/>
      <c r="U99" s="246"/>
      <c r="V99" s="246"/>
      <c r="W99" s="247"/>
      <c r="X99" s="249"/>
      <c r="Y99" s="250"/>
    </row>
    <row r="100" spans="1:48" s="43" customFormat="1" ht="24" customHeight="1" x14ac:dyDescent="0.25">
      <c r="A100" s="244">
        <f t="shared" si="3"/>
        <v>39</v>
      </c>
      <c r="B100" s="241"/>
      <c r="C100" s="242"/>
      <c r="D100" s="243"/>
      <c r="E100" s="353"/>
      <c r="F100" s="251"/>
      <c r="G100" s="245"/>
      <c r="H100" s="246"/>
      <c r="I100" s="246"/>
      <c r="J100" s="247"/>
      <c r="K100" s="247"/>
      <c r="L100" s="249"/>
      <c r="M100" s="245"/>
      <c r="N100" s="246"/>
      <c r="O100" s="246"/>
      <c r="P100" s="247"/>
      <c r="Q100" s="247"/>
      <c r="R100" s="249"/>
      <c r="S100" s="245"/>
      <c r="T100" s="246"/>
      <c r="U100" s="246"/>
      <c r="V100" s="246"/>
      <c r="W100" s="247"/>
      <c r="X100" s="249"/>
      <c r="Y100" s="250"/>
    </row>
    <row r="101" spans="1:48" s="43" customFormat="1" ht="24" customHeight="1" thickBot="1" x14ac:dyDescent="0.3">
      <c r="A101" s="252">
        <f t="shared" si="3"/>
        <v>40</v>
      </c>
      <c r="B101" s="259"/>
      <c r="C101" s="260"/>
      <c r="D101" s="261"/>
      <c r="E101" s="302"/>
      <c r="F101" s="354"/>
      <c r="G101" s="355"/>
      <c r="H101" s="356"/>
      <c r="I101" s="356"/>
      <c r="J101" s="357"/>
      <c r="K101" s="357"/>
      <c r="L101" s="354"/>
      <c r="M101" s="355"/>
      <c r="N101" s="356"/>
      <c r="O101" s="356"/>
      <c r="P101" s="357"/>
      <c r="Q101" s="357"/>
      <c r="R101" s="354"/>
      <c r="S101" s="355"/>
      <c r="T101" s="356"/>
      <c r="U101" s="356"/>
      <c r="V101" s="356"/>
      <c r="W101" s="356"/>
      <c r="X101" s="354"/>
      <c r="Y101" s="358"/>
    </row>
    <row r="102" spans="1:48" s="26" customFormat="1" ht="9.75" customHeight="1" thickBot="1" x14ac:dyDescent="0.25">
      <c r="A102" s="359"/>
      <c r="B102" s="360"/>
      <c r="C102" s="361"/>
      <c r="D102" s="360"/>
      <c r="E102" s="360"/>
    </row>
    <row r="103" spans="1:48" s="11" customFormat="1" x14ac:dyDescent="0.2">
      <c r="A103" s="60" t="s">
        <v>75</v>
      </c>
      <c r="B103" s="8"/>
      <c r="C103" s="45"/>
      <c r="D103" s="8"/>
      <c r="E103" s="8"/>
      <c r="F103" s="125" t="s">
        <v>76</v>
      </c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125" t="s">
        <v>77</v>
      </c>
      <c r="T103" s="8"/>
      <c r="U103" s="8"/>
      <c r="V103" s="8"/>
      <c r="W103" s="8"/>
      <c r="X103" s="8"/>
      <c r="Y103" s="10"/>
    </row>
    <row r="104" spans="1:48" s="11" customFormat="1" ht="12.75" customHeight="1" x14ac:dyDescent="0.2">
      <c r="A104" s="137" t="s">
        <v>8</v>
      </c>
      <c r="B104" s="138" t="s">
        <v>157</v>
      </c>
      <c r="C104" s="132"/>
      <c r="D104" s="132"/>
      <c r="E104" s="132"/>
      <c r="F104" s="130" t="s">
        <v>8</v>
      </c>
      <c r="G104" s="457" t="s">
        <v>134</v>
      </c>
      <c r="H104" s="457"/>
      <c r="I104" s="457"/>
      <c r="J104" s="457"/>
      <c r="K104" s="457"/>
      <c r="L104" s="457"/>
      <c r="M104" s="457"/>
      <c r="N104" s="457"/>
      <c r="O104" s="457"/>
      <c r="P104" s="457"/>
      <c r="Q104" s="457"/>
      <c r="R104" s="132"/>
      <c r="S104" s="11" t="s">
        <v>95</v>
      </c>
      <c r="Y104" s="13"/>
    </row>
    <row r="105" spans="1:48" s="11" customFormat="1" ht="11.25" x14ac:dyDescent="0.2">
      <c r="A105" s="139"/>
      <c r="B105" s="138" t="s">
        <v>158</v>
      </c>
      <c r="C105" s="132"/>
      <c r="D105" s="132"/>
      <c r="E105" s="132"/>
      <c r="F105" s="129"/>
      <c r="G105" s="457"/>
      <c r="H105" s="457"/>
      <c r="I105" s="457"/>
      <c r="J105" s="457"/>
      <c r="K105" s="457"/>
      <c r="L105" s="457"/>
      <c r="M105" s="457"/>
      <c r="N105" s="457"/>
      <c r="O105" s="457"/>
      <c r="P105" s="457"/>
      <c r="Q105" s="457"/>
      <c r="R105" s="132"/>
      <c r="S105" s="11" t="s">
        <v>96</v>
      </c>
      <c r="Y105" s="13"/>
    </row>
    <row r="106" spans="1:48" s="11" customFormat="1" ht="11.25" customHeight="1" x14ac:dyDescent="0.2">
      <c r="A106" s="137" t="s">
        <v>9</v>
      </c>
      <c r="B106" s="126" t="s">
        <v>82</v>
      </c>
      <c r="C106" s="46"/>
      <c r="F106" s="130" t="s">
        <v>9</v>
      </c>
      <c r="G106" s="11" t="s">
        <v>78</v>
      </c>
      <c r="Y106" s="13"/>
    </row>
    <row r="107" spans="1:48" s="11" customFormat="1" ht="12.75" customHeight="1" x14ac:dyDescent="0.2">
      <c r="A107" s="137" t="s">
        <v>11</v>
      </c>
      <c r="B107" s="126" t="s">
        <v>83</v>
      </c>
      <c r="C107" s="46"/>
      <c r="F107" s="130" t="s">
        <v>11</v>
      </c>
      <c r="G107" s="11" t="s">
        <v>79</v>
      </c>
      <c r="J107" s="12"/>
      <c r="K107" s="12"/>
      <c r="L107" s="14"/>
      <c r="R107" s="12"/>
      <c r="Y107" s="13"/>
    </row>
    <row r="108" spans="1:48" s="11" customFormat="1" ht="12.75" customHeight="1" x14ac:dyDescent="0.2">
      <c r="A108" s="137" t="s">
        <v>12</v>
      </c>
      <c r="B108" s="126" t="s">
        <v>84</v>
      </c>
      <c r="C108" s="46"/>
      <c r="F108" s="130" t="s">
        <v>12</v>
      </c>
      <c r="G108" s="459" t="s">
        <v>80</v>
      </c>
      <c r="H108" s="459"/>
      <c r="I108" s="459"/>
      <c r="J108" s="459"/>
      <c r="K108" s="459"/>
      <c r="L108" s="459"/>
      <c r="M108" s="459"/>
      <c r="N108" s="459"/>
      <c r="O108" s="459"/>
      <c r="P108" s="459"/>
      <c r="Q108" s="459"/>
      <c r="R108" s="157"/>
      <c r="Y108" s="13"/>
    </row>
    <row r="109" spans="1:48" s="11" customFormat="1" ht="11.25" customHeight="1" x14ac:dyDescent="0.2">
      <c r="A109" s="137" t="s">
        <v>13</v>
      </c>
      <c r="B109" s="126" t="s">
        <v>85</v>
      </c>
      <c r="C109" s="46"/>
      <c r="F109" s="129"/>
      <c r="G109" s="459"/>
      <c r="H109" s="459"/>
      <c r="I109" s="459"/>
      <c r="J109" s="459"/>
      <c r="K109" s="459"/>
      <c r="L109" s="459"/>
      <c r="M109" s="459"/>
      <c r="N109" s="459"/>
      <c r="O109" s="459"/>
      <c r="P109" s="459"/>
      <c r="Q109" s="459"/>
      <c r="R109" s="157"/>
      <c r="Y109" s="13"/>
    </row>
    <row r="110" spans="1:48" s="11" customFormat="1" ht="13.5" customHeight="1" thickBot="1" x14ac:dyDescent="0.25">
      <c r="A110" s="127"/>
      <c r="B110" s="15"/>
      <c r="C110" s="47"/>
      <c r="D110" s="15"/>
      <c r="E110" s="15"/>
      <c r="F110" s="131" t="s">
        <v>13</v>
      </c>
      <c r="G110" s="458" t="s">
        <v>81</v>
      </c>
      <c r="H110" s="458"/>
      <c r="I110" s="458"/>
      <c r="J110" s="458"/>
      <c r="K110" s="458"/>
      <c r="L110" s="458"/>
      <c r="M110" s="458"/>
      <c r="N110" s="458"/>
      <c r="O110" s="458"/>
      <c r="P110" s="458"/>
      <c r="Q110" s="458"/>
      <c r="R110" s="458"/>
      <c r="S110" s="15"/>
      <c r="T110" s="15"/>
      <c r="U110" s="15"/>
      <c r="V110" s="15"/>
      <c r="W110" s="15"/>
      <c r="X110" s="15"/>
      <c r="Y110" s="16"/>
    </row>
    <row r="111" spans="1:48" s="18" customFormat="1" ht="16.5" customHeight="1" x14ac:dyDescent="0.2">
      <c r="A111" s="134" t="s">
        <v>105</v>
      </c>
      <c r="C111" s="19"/>
      <c r="AU111" s="19"/>
      <c r="AV111" s="19"/>
    </row>
    <row r="112" spans="1:48" s="18" customFormat="1" ht="6" customHeight="1" x14ac:dyDescent="0.2">
      <c r="C112" s="19"/>
      <c r="AK112" s="19"/>
      <c r="AL112" s="19"/>
    </row>
    <row r="113" spans="1:45" s="88" customFormat="1" ht="15" x14ac:dyDescent="0.25">
      <c r="B113" s="88" t="s">
        <v>53</v>
      </c>
      <c r="C113" s="89"/>
      <c r="E113" s="88" t="s">
        <v>54</v>
      </c>
      <c r="R113" s="88" t="s">
        <v>55</v>
      </c>
      <c r="AR113" s="89"/>
      <c r="AS113" s="89"/>
    </row>
    <row r="114" spans="1:45" s="18" customFormat="1" ht="19.5" customHeight="1" x14ac:dyDescent="0.2">
      <c r="C114" s="19"/>
      <c r="AR114" s="19"/>
      <c r="AS114" s="19"/>
    </row>
    <row r="115" spans="1:45" s="18" customFormat="1" ht="19.5" customHeight="1" x14ac:dyDescent="0.2">
      <c r="C115" s="19"/>
      <c r="AR115" s="19"/>
      <c r="AS115" s="19"/>
    </row>
    <row r="116" spans="1:45" s="18" customFormat="1" ht="17.25" customHeight="1" x14ac:dyDescent="0.2">
      <c r="B116" s="90"/>
      <c r="C116" s="19"/>
      <c r="E116" s="90"/>
      <c r="F116" s="90"/>
      <c r="G116" s="90"/>
      <c r="H116" s="90"/>
      <c r="I116" s="90"/>
      <c r="J116" s="90"/>
      <c r="K116" s="90"/>
      <c r="L116" s="90"/>
      <c r="R116" s="90"/>
      <c r="S116" s="90"/>
      <c r="T116" s="90"/>
      <c r="U116" s="90"/>
      <c r="V116" s="90"/>
      <c r="W116" s="90"/>
      <c r="X116" s="90"/>
      <c r="Y116" s="90"/>
      <c r="AR116" s="19"/>
      <c r="AS116" s="19"/>
    </row>
    <row r="117" spans="1:45" s="18" customFormat="1" ht="23.25" customHeight="1" x14ac:dyDescent="0.2">
      <c r="B117" s="18" t="s">
        <v>56</v>
      </c>
      <c r="C117" s="19"/>
      <c r="E117" s="18" t="s">
        <v>56</v>
      </c>
      <c r="R117" s="18" t="s">
        <v>57</v>
      </c>
      <c r="AR117" s="19"/>
      <c r="AS117" s="19"/>
    </row>
    <row r="118" spans="1:45" s="18" customFormat="1" ht="18" customHeight="1" x14ac:dyDescent="0.2">
      <c r="B118" s="18" t="s">
        <v>58</v>
      </c>
      <c r="C118" s="19"/>
      <c r="E118" s="18" t="s">
        <v>59</v>
      </c>
      <c r="R118" s="18" t="s">
        <v>58</v>
      </c>
      <c r="AR118" s="19"/>
      <c r="AS118" s="19"/>
    </row>
    <row r="119" spans="1:45" ht="8.25" customHeight="1" x14ac:dyDescent="0.2"/>
    <row r="120" spans="1:45" s="43" customFormat="1" ht="24" customHeight="1" x14ac:dyDescent="0.25">
      <c r="A120" s="244">
        <v>41</v>
      </c>
      <c r="B120" s="241"/>
      <c r="C120" s="242"/>
      <c r="D120" s="243"/>
      <c r="E120" s="97"/>
      <c r="F120" s="317"/>
      <c r="G120" s="245"/>
      <c r="H120" s="246"/>
      <c r="I120" s="246"/>
      <c r="J120" s="247"/>
      <c r="K120" s="247"/>
      <c r="L120" s="249"/>
      <c r="M120" s="245"/>
      <c r="N120" s="246"/>
      <c r="O120" s="246"/>
      <c r="P120" s="247"/>
      <c r="Q120" s="247"/>
      <c r="R120" s="249"/>
      <c r="S120" s="245"/>
      <c r="T120" s="246"/>
      <c r="U120" s="246"/>
      <c r="V120" s="246"/>
      <c r="W120" s="248"/>
      <c r="X120" s="249"/>
      <c r="Y120" s="250"/>
    </row>
    <row r="121" spans="1:45" s="43" customFormat="1" ht="24" customHeight="1" x14ac:dyDescent="0.25">
      <c r="A121" s="244">
        <f>A120+1</f>
        <v>42</v>
      </c>
      <c r="B121" s="241"/>
      <c r="C121" s="242"/>
      <c r="D121" s="243"/>
      <c r="E121" s="97"/>
      <c r="F121" s="317"/>
      <c r="G121" s="245"/>
      <c r="H121" s="246"/>
      <c r="I121" s="246"/>
      <c r="J121" s="247"/>
      <c r="K121" s="247"/>
      <c r="L121" s="249"/>
      <c r="M121" s="245"/>
      <c r="N121" s="246"/>
      <c r="O121" s="246"/>
      <c r="P121" s="247"/>
      <c r="Q121" s="247"/>
      <c r="R121" s="249"/>
      <c r="S121" s="245"/>
      <c r="T121" s="246"/>
      <c r="U121" s="246"/>
      <c r="V121" s="246"/>
      <c r="W121" s="248"/>
      <c r="X121" s="249"/>
      <c r="Y121" s="250"/>
    </row>
    <row r="122" spans="1:45" s="43" customFormat="1" ht="24" customHeight="1" x14ac:dyDescent="0.25">
      <c r="A122" s="244">
        <f t="shared" ref="A122:A129" si="4">A121+1</f>
        <v>43</v>
      </c>
      <c r="B122" s="241"/>
      <c r="C122" s="242"/>
      <c r="D122" s="243"/>
      <c r="E122" s="97"/>
      <c r="F122" s="317"/>
      <c r="G122" s="245"/>
      <c r="H122" s="246"/>
      <c r="I122" s="246"/>
      <c r="J122" s="247"/>
      <c r="K122" s="247"/>
      <c r="L122" s="249"/>
      <c r="M122" s="245"/>
      <c r="N122" s="246"/>
      <c r="O122" s="246"/>
      <c r="P122" s="247"/>
      <c r="Q122" s="247"/>
      <c r="R122" s="249"/>
      <c r="S122" s="245"/>
      <c r="T122" s="246"/>
      <c r="U122" s="246"/>
      <c r="V122" s="246"/>
      <c r="W122" s="248"/>
      <c r="X122" s="249"/>
      <c r="Y122" s="250"/>
    </row>
    <row r="123" spans="1:45" s="43" customFormat="1" ht="24" customHeight="1" x14ac:dyDescent="0.25">
      <c r="A123" s="244">
        <f t="shared" si="4"/>
        <v>44</v>
      </c>
      <c r="B123" s="241"/>
      <c r="C123" s="242"/>
      <c r="D123" s="243"/>
      <c r="E123" s="299"/>
      <c r="F123" s="251"/>
      <c r="G123" s="245"/>
      <c r="H123" s="246"/>
      <c r="I123" s="246"/>
      <c r="J123" s="247"/>
      <c r="K123" s="247"/>
      <c r="L123" s="249"/>
      <c r="M123" s="245"/>
      <c r="N123" s="246"/>
      <c r="O123" s="246"/>
      <c r="P123" s="247"/>
      <c r="Q123" s="247"/>
      <c r="R123" s="249"/>
      <c r="S123" s="245"/>
      <c r="T123" s="246"/>
      <c r="U123" s="246"/>
      <c r="V123" s="246"/>
      <c r="W123" s="248"/>
      <c r="X123" s="249"/>
      <c r="Y123" s="250"/>
    </row>
    <row r="124" spans="1:45" s="43" customFormat="1" ht="24" customHeight="1" x14ac:dyDescent="0.25">
      <c r="A124" s="244">
        <f t="shared" si="4"/>
        <v>45</v>
      </c>
      <c r="B124" s="241"/>
      <c r="C124" s="242"/>
      <c r="D124" s="243"/>
      <c r="E124" s="353"/>
      <c r="F124" s="251"/>
      <c r="G124" s="245"/>
      <c r="H124" s="246"/>
      <c r="I124" s="246"/>
      <c r="J124" s="247"/>
      <c r="K124" s="247"/>
      <c r="L124" s="249"/>
      <c r="M124" s="245"/>
      <c r="N124" s="246"/>
      <c r="O124" s="246"/>
      <c r="P124" s="247"/>
      <c r="Q124" s="247"/>
      <c r="R124" s="249"/>
      <c r="S124" s="245"/>
      <c r="T124" s="246"/>
      <c r="U124" s="246"/>
      <c r="V124" s="246"/>
      <c r="W124" s="247"/>
      <c r="X124" s="249"/>
      <c r="Y124" s="250"/>
    </row>
    <row r="125" spans="1:45" s="43" customFormat="1" ht="24" customHeight="1" x14ac:dyDescent="0.25">
      <c r="A125" s="244">
        <f t="shared" si="4"/>
        <v>46</v>
      </c>
      <c r="B125" s="241"/>
      <c r="C125" s="242"/>
      <c r="D125" s="243"/>
      <c r="E125" s="353"/>
      <c r="F125" s="251"/>
      <c r="G125" s="245"/>
      <c r="H125" s="246"/>
      <c r="I125" s="246"/>
      <c r="J125" s="247"/>
      <c r="K125" s="247"/>
      <c r="L125" s="249"/>
      <c r="M125" s="245"/>
      <c r="N125" s="246"/>
      <c r="O125" s="246"/>
      <c r="P125" s="247"/>
      <c r="Q125" s="247"/>
      <c r="R125" s="249"/>
      <c r="S125" s="245"/>
      <c r="T125" s="246"/>
      <c r="U125" s="246"/>
      <c r="V125" s="246"/>
      <c r="W125" s="247"/>
      <c r="X125" s="249"/>
      <c r="Y125" s="250"/>
    </row>
    <row r="126" spans="1:45" s="43" customFormat="1" ht="24" customHeight="1" x14ac:dyDescent="0.25">
      <c r="A126" s="244">
        <f t="shared" si="4"/>
        <v>47</v>
      </c>
      <c r="B126" s="241"/>
      <c r="C126" s="242"/>
      <c r="D126" s="243"/>
      <c r="E126" s="353"/>
      <c r="F126" s="251"/>
      <c r="G126" s="245"/>
      <c r="H126" s="246"/>
      <c r="I126" s="246"/>
      <c r="J126" s="247"/>
      <c r="K126" s="247"/>
      <c r="L126" s="249"/>
      <c r="M126" s="245"/>
      <c r="N126" s="246"/>
      <c r="O126" s="246"/>
      <c r="P126" s="247"/>
      <c r="Q126" s="247"/>
      <c r="R126" s="249"/>
      <c r="S126" s="245"/>
      <c r="T126" s="246"/>
      <c r="U126" s="246"/>
      <c r="V126" s="246"/>
      <c r="W126" s="247"/>
      <c r="X126" s="249"/>
      <c r="Y126" s="250"/>
    </row>
    <row r="127" spans="1:45" s="43" customFormat="1" ht="24" customHeight="1" x14ac:dyDescent="0.25">
      <c r="A127" s="244">
        <f t="shared" si="4"/>
        <v>48</v>
      </c>
      <c r="B127" s="241"/>
      <c r="C127" s="242"/>
      <c r="D127" s="243"/>
      <c r="E127" s="353"/>
      <c r="F127" s="251"/>
      <c r="G127" s="245"/>
      <c r="H127" s="246"/>
      <c r="I127" s="246"/>
      <c r="J127" s="247"/>
      <c r="K127" s="247"/>
      <c r="L127" s="249"/>
      <c r="M127" s="245"/>
      <c r="N127" s="246"/>
      <c r="O127" s="246"/>
      <c r="P127" s="247"/>
      <c r="Q127" s="247"/>
      <c r="R127" s="249"/>
      <c r="S127" s="245"/>
      <c r="T127" s="246"/>
      <c r="U127" s="246"/>
      <c r="V127" s="246"/>
      <c r="W127" s="247"/>
      <c r="X127" s="249"/>
      <c r="Y127" s="250"/>
    </row>
    <row r="128" spans="1:45" s="43" customFormat="1" ht="24" customHeight="1" x14ac:dyDescent="0.25">
      <c r="A128" s="244">
        <f t="shared" si="4"/>
        <v>49</v>
      </c>
      <c r="B128" s="241"/>
      <c r="C128" s="242"/>
      <c r="D128" s="243"/>
      <c r="E128" s="353"/>
      <c r="F128" s="251"/>
      <c r="G128" s="245"/>
      <c r="H128" s="246"/>
      <c r="I128" s="246"/>
      <c r="J128" s="247"/>
      <c r="K128" s="247"/>
      <c r="L128" s="249"/>
      <c r="M128" s="245"/>
      <c r="N128" s="246"/>
      <c r="O128" s="246"/>
      <c r="P128" s="247"/>
      <c r="Q128" s="247"/>
      <c r="R128" s="249"/>
      <c r="S128" s="245"/>
      <c r="T128" s="246"/>
      <c r="U128" s="246"/>
      <c r="V128" s="246"/>
      <c r="W128" s="247"/>
      <c r="X128" s="249"/>
      <c r="Y128" s="250"/>
    </row>
    <row r="129" spans="1:48" s="43" customFormat="1" ht="24" customHeight="1" thickBot="1" x14ac:dyDescent="0.3">
      <c r="A129" s="252">
        <f t="shared" si="4"/>
        <v>50</v>
      </c>
      <c r="B129" s="259"/>
      <c r="C129" s="260"/>
      <c r="D129" s="261"/>
      <c r="E129" s="302"/>
      <c r="F129" s="354"/>
      <c r="G129" s="355"/>
      <c r="H129" s="356"/>
      <c r="I129" s="356"/>
      <c r="J129" s="357"/>
      <c r="K129" s="357"/>
      <c r="L129" s="354"/>
      <c r="M129" s="355"/>
      <c r="N129" s="356"/>
      <c r="O129" s="356"/>
      <c r="P129" s="357"/>
      <c r="Q129" s="357"/>
      <c r="R129" s="354"/>
      <c r="S129" s="355"/>
      <c r="T129" s="356"/>
      <c r="U129" s="356"/>
      <c r="V129" s="356"/>
      <c r="W129" s="356"/>
      <c r="X129" s="354"/>
      <c r="Y129" s="358"/>
    </row>
    <row r="130" spans="1:48" s="26" customFormat="1" ht="9.75" customHeight="1" thickBot="1" x14ac:dyDescent="0.25">
      <c r="A130" s="359"/>
      <c r="B130" s="360"/>
      <c r="C130" s="361"/>
      <c r="D130" s="360"/>
      <c r="E130" s="360"/>
    </row>
    <row r="131" spans="1:48" s="11" customFormat="1" x14ac:dyDescent="0.2">
      <c r="A131" s="60" t="s">
        <v>75</v>
      </c>
      <c r="B131" s="8"/>
      <c r="C131" s="45"/>
      <c r="D131" s="8"/>
      <c r="E131" s="8"/>
      <c r="F131" s="125" t="s">
        <v>76</v>
      </c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125" t="s">
        <v>77</v>
      </c>
      <c r="T131" s="8"/>
      <c r="U131" s="8"/>
      <c r="V131" s="8"/>
      <c r="W131" s="8"/>
      <c r="X131" s="8"/>
      <c r="Y131" s="10"/>
    </row>
    <row r="132" spans="1:48" s="11" customFormat="1" ht="12.75" customHeight="1" x14ac:dyDescent="0.2">
      <c r="A132" s="137" t="s">
        <v>8</v>
      </c>
      <c r="B132" s="138" t="s">
        <v>157</v>
      </c>
      <c r="C132" s="132"/>
      <c r="D132" s="132"/>
      <c r="E132" s="132"/>
      <c r="F132" s="130" t="s">
        <v>8</v>
      </c>
      <c r="G132" s="457" t="s">
        <v>134</v>
      </c>
      <c r="H132" s="457"/>
      <c r="I132" s="457"/>
      <c r="J132" s="457"/>
      <c r="K132" s="457"/>
      <c r="L132" s="457"/>
      <c r="M132" s="457"/>
      <c r="N132" s="457"/>
      <c r="O132" s="457"/>
      <c r="P132" s="457"/>
      <c r="Q132" s="457"/>
      <c r="R132" s="132"/>
      <c r="S132" s="11" t="s">
        <v>95</v>
      </c>
      <c r="Y132" s="13"/>
    </row>
    <row r="133" spans="1:48" s="11" customFormat="1" ht="11.25" x14ac:dyDescent="0.2">
      <c r="A133" s="139"/>
      <c r="B133" s="138" t="s">
        <v>158</v>
      </c>
      <c r="C133" s="132"/>
      <c r="D133" s="132"/>
      <c r="E133" s="132"/>
      <c r="F133" s="129"/>
      <c r="G133" s="457"/>
      <c r="H133" s="457"/>
      <c r="I133" s="457"/>
      <c r="J133" s="457"/>
      <c r="K133" s="457"/>
      <c r="L133" s="457"/>
      <c r="M133" s="457"/>
      <c r="N133" s="457"/>
      <c r="O133" s="457"/>
      <c r="P133" s="457"/>
      <c r="Q133" s="457"/>
      <c r="R133" s="132"/>
      <c r="S133" s="11" t="s">
        <v>96</v>
      </c>
      <c r="Y133" s="13"/>
    </row>
    <row r="134" spans="1:48" s="11" customFormat="1" ht="11.25" customHeight="1" x14ac:dyDescent="0.2">
      <c r="A134" s="137" t="s">
        <v>9</v>
      </c>
      <c r="B134" s="126" t="s">
        <v>82</v>
      </c>
      <c r="C134" s="46"/>
      <c r="F134" s="130" t="s">
        <v>9</v>
      </c>
      <c r="G134" s="11" t="s">
        <v>78</v>
      </c>
      <c r="Y134" s="13"/>
    </row>
    <row r="135" spans="1:48" s="11" customFormat="1" ht="12.75" customHeight="1" x14ac:dyDescent="0.2">
      <c r="A135" s="137" t="s">
        <v>11</v>
      </c>
      <c r="B135" s="126" t="s">
        <v>83</v>
      </c>
      <c r="C135" s="46"/>
      <c r="F135" s="130" t="s">
        <v>11</v>
      </c>
      <c r="G135" s="11" t="s">
        <v>79</v>
      </c>
      <c r="J135" s="12"/>
      <c r="K135" s="12"/>
      <c r="L135" s="14"/>
      <c r="R135" s="12"/>
      <c r="Y135" s="13"/>
    </row>
    <row r="136" spans="1:48" s="11" customFormat="1" ht="12.75" customHeight="1" x14ac:dyDescent="0.2">
      <c r="A136" s="137" t="s">
        <v>12</v>
      </c>
      <c r="B136" s="126" t="s">
        <v>84</v>
      </c>
      <c r="C136" s="46"/>
      <c r="F136" s="130" t="s">
        <v>12</v>
      </c>
      <c r="G136" s="459" t="s">
        <v>80</v>
      </c>
      <c r="H136" s="459"/>
      <c r="I136" s="459"/>
      <c r="J136" s="459"/>
      <c r="K136" s="459"/>
      <c r="L136" s="459"/>
      <c r="M136" s="459"/>
      <c r="N136" s="459"/>
      <c r="O136" s="459"/>
      <c r="P136" s="459"/>
      <c r="Q136" s="459"/>
      <c r="R136" s="157"/>
      <c r="Y136" s="13"/>
    </row>
    <row r="137" spans="1:48" s="11" customFormat="1" ht="11.25" customHeight="1" x14ac:dyDescent="0.2">
      <c r="A137" s="137" t="s">
        <v>13</v>
      </c>
      <c r="B137" s="126" t="s">
        <v>85</v>
      </c>
      <c r="C137" s="46"/>
      <c r="F137" s="129"/>
      <c r="G137" s="459"/>
      <c r="H137" s="459"/>
      <c r="I137" s="459"/>
      <c r="J137" s="459"/>
      <c r="K137" s="459"/>
      <c r="L137" s="459"/>
      <c r="M137" s="459"/>
      <c r="N137" s="459"/>
      <c r="O137" s="459"/>
      <c r="P137" s="459"/>
      <c r="Q137" s="459"/>
      <c r="R137" s="157"/>
      <c r="Y137" s="13"/>
    </row>
    <row r="138" spans="1:48" s="11" customFormat="1" ht="13.5" customHeight="1" thickBot="1" x14ac:dyDescent="0.25">
      <c r="A138" s="127"/>
      <c r="B138" s="15"/>
      <c r="C138" s="47"/>
      <c r="D138" s="15"/>
      <c r="E138" s="15"/>
      <c r="F138" s="131" t="s">
        <v>13</v>
      </c>
      <c r="G138" s="458" t="s">
        <v>81</v>
      </c>
      <c r="H138" s="458"/>
      <c r="I138" s="458"/>
      <c r="J138" s="458"/>
      <c r="K138" s="458"/>
      <c r="L138" s="458"/>
      <c r="M138" s="458"/>
      <c r="N138" s="458"/>
      <c r="O138" s="458"/>
      <c r="P138" s="458"/>
      <c r="Q138" s="458"/>
      <c r="R138" s="458"/>
      <c r="S138" s="15"/>
      <c r="T138" s="15"/>
      <c r="U138" s="15"/>
      <c r="V138" s="15"/>
      <c r="W138" s="15"/>
      <c r="X138" s="15"/>
      <c r="Y138" s="16"/>
    </row>
    <row r="139" spans="1:48" s="18" customFormat="1" ht="16.5" customHeight="1" x14ac:dyDescent="0.2">
      <c r="A139" s="134" t="s">
        <v>105</v>
      </c>
      <c r="C139" s="19"/>
      <c r="AU139" s="19"/>
      <c r="AV139" s="19"/>
    </row>
    <row r="140" spans="1:48" s="18" customFormat="1" ht="6" customHeight="1" x14ac:dyDescent="0.2">
      <c r="C140" s="19"/>
      <c r="AK140" s="19"/>
      <c r="AL140" s="19"/>
    </row>
    <row r="141" spans="1:48" s="88" customFormat="1" ht="15" x14ac:dyDescent="0.25">
      <c r="B141" s="88" t="s">
        <v>53</v>
      </c>
      <c r="C141" s="89"/>
      <c r="E141" s="88" t="s">
        <v>54</v>
      </c>
      <c r="R141" s="88" t="s">
        <v>55</v>
      </c>
      <c r="AR141" s="89"/>
      <c r="AS141" s="89"/>
    </row>
    <row r="142" spans="1:48" s="18" customFormat="1" ht="19.5" customHeight="1" x14ac:dyDescent="0.2">
      <c r="C142" s="19"/>
      <c r="AR142" s="19"/>
      <c r="AS142" s="19"/>
    </row>
    <row r="143" spans="1:48" s="18" customFormat="1" ht="19.5" customHeight="1" x14ac:dyDescent="0.2">
      <c r="C143" s="19"/>
      <c r="AR143" s="19"/>
      <c r="AS143" s="19"/>
    </row>
    <row r="144" spans="1:48" s="18" customFormat="1" ht="17.25" customHeight="1" x14ac:dyDescent="0.2">
      <c r="B144" s="90"/>
      <c r="C144" s="19"/>
      <c r="E144" s="90"/>
      <c r="F144" s="90"/>
      <c r="G144" s="90"/>
      <c r="H144" s="90"/>
      <c r="I144" s="90"/>
      <c r="J144" s="90"/>
      <c r="K144" s="90"/>
      <c r="L144" s="90"/>
      <c r="R144" s="90"/>
      <c r="S144" s="90"/>
      <c r="T144" s="90"/>
      <c r="U144" s="90"/>
      <c r="V144" s="90"/>
      <c r="W144" s="90"/>
      <c r="X144" s="90"/>
      <c r="Y144" s="90"/>
      <c r="AR144" s="19"/>
      <c r="AS144" s="19"/>
    </row>
    <row r="145" spans="1:45" s="18" customFormat="1" ht="23.25" customHeight="1" x14ac:dyDescent="0.2">
      <c r="B145" s="18" t="s">
        <v>56</v>
      </c>
      <c r="C145" s="19"/>
      <c r="E145" s="18" t="s">
        <v>56</v>
      </c>
      <c r="R145" s="18" t="s">
        <v>57</v>
      </c>
      <c r="AR145" s="19"/>
      <c r="AS145" s="19"/>
    </row>
    <row r="146" spans="1:45" s="18" customFormat="1" ht="18" customHeight="1" x14ac:dyDescent="0.2">
      <c r="B146" s="18" t="s">
        <v>58</v>
      </c>
      <c r="C146" s="19"/>
      <c r="E146" s="18" t="s">
        <v>59</v>
      </c>
      <c r="R146" s="18" t="s">
        <v>58</v>
      </c>
      <c r="AR146" s="19"/>
      <c r="AS146" s="19"/>
    </row>
    <row r="149" spans="1:45" ht="21" customHeight="1" x14ac:dyDescent="0.25">
      <c r="A149" s="393" t="s">
        <v>264</v>
      </c>
    </row>
  </sheetData>
  <mergeCells count="30">
    <mergeCell ref="G110:R110"/>
    <mergeCell ref="G132:Q133"/>
    <mergeCell ref="G136:Q137"/>
    <mergeCell ref="G138:R138"/>
    <mergeCell ref="G76:Q77"/>
    <mergeCell ref="G80:Q81"/>
    <mergeCell ref="G82:R82"/>
    <mergeCell ref="G104:Q105"/>
    <mergeCell ref="G108:Q109"/>
    <mergeCell ref="G48:Q49"/>
    <mergeCell ref="G52:Q53"/>
    <mergeCell ref="G54:R54"/>
    <mergeCell ref="G26:R26"/>
    <mergeCell ref="A1:Y1"/>
    <mergeCell ref="A2:Y2"/>
    <mergeCell ref="A4:A7"/>
    <mergeCell ref="B4:B7"/>
    <mergeCell ref="C4:C7"/>
    <mergeCell ref="D4:D7"/>
    <mergeCell ref="F4:F7"/>
    <mergeCell ref="G4:L4"/>
    <mergeCell ref="M4:R4"/>
    <mergeCell ref="S4:X4"/>
    <mergeCell ref="Y4:Y6"/>
    <mergeCell ref="G5:L5"/>
    <mergeCell ref="G20:Q21"/>
    <mergeCell ref="G24:Q25"/>
    <mergeCell ref="E4:E7"/>
    <mergeCell ref="M5:R5"/>
    <mergeCell ref="S5:X5"/>
  </mergeCells>
  <pageMargins left="0.28000000000000003" right="0.2" top="0.19" bottom="0.24" header="0.23" footer="0.24"/>
  <pageSetup paperSize="5" scale="80" orientation="landscape" horizontalDpi="4294967293" verticalDpi="360" r:id="rId1"/>
  <rowBreaks count="4" manualBreakCount="4">
    <brk id="35" max="24" man="1"/>
    <brk id="63" max="24" man="1"/>
    <brk id="91" max="24" man="1"/>
    <brk id="119" max="24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4.9989318521683403E-2"/>
  </sheetPr>
  <dimension ref="A1:AW148"/>
  <sheetViews>
    <sheetView showGridLines="0" view="pageBreakPreview" zoomScale="85" zoomScaleNormal="100" zoomScaleSheetLayoutView="85" workbookViewId="0">
      <selection activeCell="L6" sqref="L6:L7"/>
    </sheetView>
  </sheetViews>
  <sheetFormatPr defaultColWidth="9.140625" defaultRowHeight="12.75" x14ac:dyDescent="0.2"/>
  <cols>
    <col min="1" max="1" width="5.42578125" style="6" customWidth="1"/>
    <col min="2" max="2" width="35.85546875" style="6" customWidth="1"/>
    <col min="3" max="3" width="22.5703125" style="48" customWidth="1"/>
    <col min="4" max="4" width="25.140625" style="6" customWidth="1"/>
    <col min="5" max="5" width="6.5703125" style="6" customWidth="1"/>
    <col min="6" max="6" width="6" style="6" customWidth="1"/>
    <col min="7" max="11" width="5.5703125" style="6" customWidth="1"/>
    <col min="12" max="12" width="6" style="6" customWidth="1"/>
    <col min="13" max="16" width="5.5703125" style="6" customWidth="1"/>
    <col min="17" max="17" width="5.7109375" style="6" bestFit="1" customWidth="1"/>
    <col min="18" max="19" width="6" style="6" customWidth="1"/>
    <col min="20" max="24" width="5.5703125" style="6" customWidth="1"/>
    <col min="25" max="25" width="6.42578125" style="6" customWidth="1"/>
    <col min="26" max="26" width="7.7109375" style="6" customWidth="1"/>
    <col min="27" max="27" width="3.7109375" style="6" customWidth="1"/>
    <col min="28" max="28" width="4.7109375" style="6" customWidth="1"/>
    <col min="29" max="16384" width="9.140625" style="6"/>
  </cols>
  <sheetData>
    <row r="1" spans="1:32" customFormat="1" ht="15.75" x14ac:dyDescent="0.25">
      <c r="A1" s="437" t="s">
        <v>18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7"/>
      <c r="P1" s="437"/>
      <c r="Q1" s="437"/>
      <c r="R1" s="437"/>
      <c r="S1" s="437"/>
      <c r="T1" s="437"/>
      <c r="U1" s="437"/>
      <c r="V1" s="437"/>
      <c r="W1" s="437"/>
      <c r="X1" s="437"/>
      <c r="Y1" s="437"/>
      <c r="Z1" s="437"/>
    </row>
    <row r="2" spans="1:32" customFormat="1" ht="22.5" customHeight="1" x14ac:dyDescent="0.2">
      <c r="A2" s="438" t="s">
        <v>257</v>
      </c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438"/>
      <c r="X2" s="438"/>
      <c r="Y2" s="438"/>
      <c r="Z2" s="438"/>
      <c r="AA2" s="17"/>
      <c r="AB2" s="17"/>
      <c r="AC2" s="17"/>
      <c r="AD2" s="17"/>
      <c r="AE2" s="17"/>
      <c r="AF2" s="17"/>
    </row>
    <row r="3" spans="1:32" s="41" customFormat="1" ht="21.75" customHeight="1" thickBot="1" x14ac:dyDescent="0.25">
      <c r="A3" s="391" t="s">
        <v>253</v>
      </c>
      <c r="C3" s="40"/>
      <c r="Q3" s="392"/>
      <c r="R3" s="391"/>
    </row>
    <row r="4" spans="1:32" s="41" customFormat="1" ht="15" customHeight="1" thickBot="1" x14ac:dyDescent="0.25">
      <c r="A4" s="439" t="s">
        <v>0</v>
      </c>
      <c r="B4" s="439" t="s">
        <v>1</v>
      </c>
      <c r="C4" s="439" t="s">
        <v>62</v>
      </c>
      <c r="D4" s="442" t="s">
        <v>250</v>
      </c>
      <c r="E4" s="445" t="s">
        <v>249</v>
      </c>
      <c r="F4" s="445" t="s">
        <v>22</v>
      </c>
      <c r="G4" s="448" t="s">
        <v>20</v>
      </c>
      <c r="H4" s="449"/>
      <c r="I4" s="449"/>
      <c r="J4" s="449"/>
      <c r="K4" s="460"/>
      <c r="L4" s="450"/>
      <c r="M4" s="451" t="s">
        <v>21</v>
      </c>
      <c r="N4" s="452"/>
      <c r="O4" s="452"/>
      <c r="P4" s="452"/>
      <c r="Q4" s="452"/>
      <c r="R4" s="452"/>
      <c r="S4" s="453"/>
      <c r="T4" s="452" t="s">
        <v>71</v>
      </c>
      <c r="U4" s="452"/>
      <c r="V4" s="452"/>
      <c r="W4" s="452"/>
      <c r="X4" s="452"/>
      <c r="Y4" s="453"/>
      <c r="Z4" s="454" t="s">
        <v>2</v>
      </c>
    </row>
    <row r="5" spans="1:32" s="41" customFormat="1" ht="15.75" customHeight="1" thickBot="1" x14ac:dyDescent="0.25">
      <c r="A5" s="440"/>
      <c r="B5" s="440"/>
      <c r="C5" s="440"/>
      <c r="D5" s="443"/>
      <c r="E5" s="446"/>
      <c r="F5" s="446"/>
      <c r="G5" s="451">
        <v>100</v>
      </c>
      <c r="H5" s="452"/>
      <c r="I5" s="452"/>
      <c r="J5" s="452"/>
      <c r="K5" s="452"/>
      <c r="L5" s="453"/>
      <c r="M5" s="451">
        <v>100</v>
      </c>
      <c r="N5" s="452"/>
      <c r="O5" s="452"/>
      <c r="P5" s="452"/>
      <c r="Q5" s="452"/>
      <c r="R5" s="452"/>
      <c r="S5" s="453"/>
      <c r="T5" s="452">
        <v>100</v>
      </c>
      <c r="U5" s="452"/>
      <c r="V5" s="452"/>
      <c r="W5" s="452"/>
      <c r="X5" s="452"/>
      <c r="Y5" s="453"/>
      <c r="Z5" s="455"/>
    </row>
    <row r="6" spans="1:32" s="41" customFormat="1" ht="140.25" customHeight="1" x14ac:dyDescent="0.2">
      <c r="A6" s="440"/>
      <c r="B6" s="440"/>
      <c r="C6" s="440"/>
      <c r="D6" s="443"/>
      <c r="E6" s="446"/>
      <c r="F6" s="446"/>
      <c r="G6" s="175" t="s">
        <v>23</v>
      </c>
      <c r="H6" s="122" t="s">
        <v>24</v>
      </c>
      <c r="I6" s="122" t="s">
        <v>25</v>
      </c>
      <c r="J6" s="176" t="s">
        <v>26</v>
      </c>
      <c r="K6" s="177" t="s">
        <v>14</v>
      </c>
      <c r="L6" s="364" t="s">
        <v>3</v>
      </c>
      <c r="M6" s="367" t="s">
        <v>27</v>
      </c>
      <c r="N6" s="178" t="s">
        <v>28</v>
      </c>
      <c r="O6" s="178" t="s">
        <v>29</v>
      </c>
      <c r="P6" s="178" t="s">
        <v>30</v>
      </c>
      <c r="Q6" s="178" t="s">
        <v>63</v>
      </c>
      <c r="R6" s="178" t="s">
        <v>64</v>
      </c>
      <c r="S6" s="364" t="s">
        <v>3</v>
      </c>
      <c r="T6" s="365" t="s">
        <v>73</v>
      </c>
      <c r="U6" s="178" t="s">
        <v>31</v>
      </c>
      <c r="V6" s="178" t="s">
        <v>74</v>
      </c>
      <c r="W6" s="178" t="s">
        <v>32</v>
      </c>
      <c r="X6" s="178" t="s">
        <v>16</v>
      </c>
      <c r="Y6" s="364" t="s">
        <v>3</v>
      </c>
      <c r="Z6" s="456"/>
    </row>
    <row r="7" spans="1:32" s="40" customFormat="1" ht="16.5" customHeight="1" thickBot="1" x14ac:dyDescent="0.25">
      <c r="A7" s="441"/>
      <c r="B7" s="441"/>
      <c r="C7" s="441"/>
      <c r="D7" s="444"/>
      <c r="E7" s="447"/>
      <c r="F7" s="447"/>
      <c r="G7" s="179">
        <v>60</v>
      </c>
      <c r="H7" s="180">
        <v>10</v>
      </c>
      <c r="I7" s="180">
        <v>10</v>
      </c>
      <c r="J7" s="181">
        <v>10</v>
      </c>
      <c r="K7" s="182">
        <v>10</v>
      </c>
      <c r="L7" s="434">
        <v>100</v>
      </c>
      <c r="M7" s="183">
        <v>20</v>
      </c>
      <c r="N7" s="180">
        <v>20</v>
      </c>
      <c r="O7" s="180">
        <v>10</v>
      </c>
      <c r="P7" s="181">
        <v>10</v>
      </c>
      <c r="Q7" s="180">
        <v>20</v>
      </c>
      <c r="R7" s="181">
        <v>20</v>
      </c>
      <c r="S7" s="434">
        <v>100</v>
      </c>
      <c r="T7" s="179">
        <v>20</v>
      </c>
      <c r="U7" s="180">
        <v>20</v>
      </c>
      <c r="V7" s="180">
        <v>20</v>
      </c>
      <c r="W7" s="180">
        <v>20</v>
      </c>
      <c r="X7" s="180">
        <v>20</v>
      </c>
      <c r="Y7" s="434">
        <v>100</v>
      </c>
      <c r="Z7" s="39">
        <v>300</v>
      </c>
    </row>
    <row r="8" spans="1:32" s="43" customFormat="1" ht="27" customHeight="1" x14ac:dyDescent="0.25">
      <c r="A8" s="244">
        <v>1</v>
      </c>
      <c r="B8" s="241"/>
      <c r="C8" s="242"/>
      <c r="D8" s="243"/>
      <c r="E8" s="97"/>
      <c r="F8" s="315"/>
      <c r="G8" s="245"/>
      <c r="H8" s="246"/>
      <c r="I8" s="246"/>
      <c r="J8" s="247"/>
      <c r="K8" s="248"/>
      <c r="L8" s="249"/>
      <c r="M8" s="245"/>
      <c r="N8" s="246"/>
      <c r="O8" s="246"/>
      <c r="P8" s="247"/>
      <c r="Q8" s="248"/>
      <c r="R8" s="250"/>
      <c r="S8" s="249"/>
      <c r="T8" s="366"/>
      <c r="U8" s="246"/>
      <c r="V8" s="246"/>
      <c r="W8" s="248"/>
      <c r="X8" s="249"/>
      <c r="Y8" s="250"/>
      <c r="Z8" s="369"/>
    </row>
    <row r="9" spans="1:32" s="43" customFormat="1" ht="27" customHeight="1" x14ac:dyDescent="0.25">
      <c r="A9" s="244">
        <f>A8+1</f>
        <v>2</v>
      </c>
      <c r="B9" s="241"/>
      <c r="C9" s="242"/>
      <c r="D9" s="243"/>
      <c r="E9" s="97"/>
      <c r="F9" s="315"/>
      <c r="G9" s="245"/>
      <c r="H9" s="246"/>
      <c r="I9" s="246"/>
      <c r="J9" s="247"/>
      <c r="K9" s="248"/>
      <c r="L9" s="249"/>
      <c r="M9" s="245"/>
      <c r="N9" s="246"/>
      <c r="O9" s="246"/>
      <c r="P9" s="247"/>
      <c r="Q9" s="248"/>
      <c r="R9" s="250"/>
      <c r="S9" s="249"/>
      <c r="T9" s="366"/>
      <c r="U9" s="246"/>
      <c r="V9" s="246"/>
      <c r="W9" s="248"/>
      <c r="X9" s="249"/>
      <c r="Y9" s="250"/>
      <c r="Z9" s="249"/>
    </row>
    <row r="10" spans="1:32" s="43" customFormat="1" ht="27" customHeight="1" x14ac:dyDescent="0.25">
      <c r="A10" s="244">
        <f t="shared" ref="A10:A16" si="0">A9+1</f>
        <v>3</v>
      </c>
      <c r="B10" s="241"/>
      <c r="C10" s="242"/>
      <c r="D10" s="243"/>
      <c r="E10" s="97"/>
      <c r="F10" s="315"/>
      <c r="G10" s="245"/>
      <c r="H10" s="246"/>
      <c r="I10" s="246"/>
      <c r="J10" s="247"/>
      <c r="K10" s="248"/>
      <c r="L10" s="249"/>
      <c r="M10" s="245"/>
      <c r="N10" s="246"/>
      <c r="O10" s="246"/>
      <c r="P10" s="247"/>
      <c r="Q10" s="248"/>
      <c r="R10" s="250"/>
      <c r="S10" s="249"/>
      <c r="T10" s="366"/>
      <c r="U10" s="246"/>
      <c r="V10" s="246"/>
      <c r="W10" s="248"/>
      <c r="X10" s="249"/>
      <c r="Y10" s="250"/>
      <c r="Z10" s="249"/>
    </row>
    <row r="11" spans="1:32" s="43" customFormat="1" ht="27" customHeight="1" x14ac:dyDescent="0.25">
      <c r="A11" s="244">
        <f t="shared" si="0"/>
        <v>4</v>
      </c>
      <c r="B11" s="241"/>
      <c r="C11" s="242"/>
      <c r="D11" s="243"/>
      <c r="E11" s="97"/>
      <c r="F11" s="315"/>
      <c r="G11" s="245"/>
      <c r="H11" s="246"/>
      <c r="I11" s="246"/>
      <c r="J11" s="247"/>
      <c r="K11" s="248"/>
      <c r="L11" s="249"/>
      <c r="M11" s="245"/>
      <c r="N11" s="246"/>
      <c r="O11" s="246"/>
      <c r="P11" s="247"/>
      <c r="Q11" s="248"/>
      <c r="R11" s="250"/>
      <c r="S11" s="249"/>
      <c r="T11" s="366"/>
      <c r="U11" s="246"/>
      <c r="V11" s="246"/>
      <c r="W11" s="248"/>
      <c r="X11" s="249"/>
      <c r="Y11" s="250"/>
      <c r="Z11" s="249"/>
    </row>
    <row r="12" spans="1:32" s="43" customFormat="1" ht="27" customHeight="1" x14ac:dyDescent="0.25">
      <c r="A12" s="244">
        <f t="shared" si="0"/>
        <v>5</v>
      </c>
      <c r="B12" s="241"/>
      <c r="C12" s="242"/>
      <c r="D12" s="243"/>
      <c r="E12" s="97"/>
      <c r="F12" s="315"/>
      <c r="G12" s="245"/>
      <c r="H12" s="246"/>
      <c r="I12" s="246"/>
      <c r="J12" s="247"/>
      <c r="K12" s="248"/>
      <c r="L12" s="249"/>
      <c r="M12" s="245"/>
      <c r="N12" s="246"/>
      <c r="O12" s="246"/>
      <c r="P12" s="247"/>
      <c r="Q12" s="248"/>
      <c r="R12" s="250"/>
      <c r="S12" s="249"/>
      <c r="T12" s="366"/>
      <c r="U12" s="246"/>
      <c r="V12" s="246"/>
      <c r="W12" s="248"/>
      <c r="X12" s="249"/>
      <c r="Y12" s="250"/>
      <c r="Z12" s="249"/>
    </row>
    <row r="13" spans="1:32" s="43" customFormat="1" ht="27" customHeight="1" x14ac:dyDescent="0.25">
      <c r="A13" s="244">
        <f t="shared" si="0"/>
        <v>6</v>
      </c>
      <c r="B13" s="241"/>
      <c r="C13" s="242"/>
      <c r="D13" s="243"/>
      <c r="E13" s="97"/>
      <c r="F13" s="315"/>
      <c r="G13" s="245"/>
      <c r="H13" s="246"/>
      <c r="I13" s="246"/>
      <c r="J13" s="247"/>
      <c r="K13" s="248"/>
      <c r="L13" s="249"/>
      <c r="M13" s="245"/>
      <c r="N13" s="246"/>
      <c r="O13" s="246"/>
      <c r="P13" s="247"/>
      <c r="Q13" s="248"/>
      <c r="R13" s="250"/>
      <c r="S13" s="249"/>
      <c r="T13" s="366"/>
      <c r="U13" s="246"/>
      <c r="V13" s="246"/>
      <c r="W13" s="248"/>
      <c r="X13" s="249"/>
      <c r="Y13" s="250"/>
      <c r="Z13" s="249"/>
    </row>
    <row r="14" spans="1:32" s="43" customFormat="1" ht="27" customHeight="1" x14ac:dyDescent="0.25">
      <c r="A14" s="244">
        <f t="shared" si="0"/>
        <v>7</v>
      </c>
      <c r="B14" s="241"/>
      <c r="C14" s="242"/>
      <c r="D14" s="243"/>
      <c r="E14" s="97"/>
      <c r="F14" s="315"/>
      <c r="G14" s="245"/>
      <c r="H14" s="246"/>
      <c r="I14" s="246"/>
      <c r="J14" s="247"/>
      <c r="K14" s="248"/>
      <c r="L14" s="249"/>
      <c r="M14" s="245"/>
      <c r="N14" s="246"/>
      <c r="O14" s="246"/>
      <c r="P14" s="247"/>
      <c r="Q14" s="248"/>
      <c r="R14" s="250"/>
      <c r="S14" s="249"/>
      <c r="T14" s="366"/>
      <c r="U14" s="246"/>
      <c r="V14" s="246"/>
      <c r="W14" s="248"/>
      <c r="X14" s="249"/>
      <c r="Y14" s="250"/>
      <c r="Z14" s="249"/>
    </row>
    <row r="15" spans="1:32" s="43" customFormat="1" ht="27" customHeight="1" x14ac:dyDescent="0.25">
      <c r="A15" s="244">
        <f t="shared" si="0"/>
        <v>8</v>
      </c>
      <c r="B15" s="241"/>
      <c r="C15" s="242"/>
      <c r="D15" s="243"/>
      <c r="E15" s="97"/>
      <c r="F15" s="315"/>
      <c r="G15" s="245"/>
      <c r="H15" s="246"/>
      <c r="I15" s="246"/>
      <c r="J15" s="247"/>
      <c r="K15" s="248"/>
      <c r="L15" s="249"/>
      <c r="M15" s="245"/>
      <c r="N15" s="246"/>
      <c r="O15" s="246"/>
      <c r="P15" s="247"/>
      <c r="Q15" s="248"/>
      <c r="R15" s="250"/>
      <c r="S15" s="249"/>
      <c r="T15" s="366"/>
      <c r="U15" s="246"/>
      <c r="V15" s="246"/>
      <c r="W15" s="248"/>
      <c r="X15" s="249"/>
      <c r="Y15" s="250"/>
      <c r="Z15" s="249"/>
    </row>
    <row r="16" spans="1:32" s="43" customFormat="1" ht="27" customHeight="1" x14ac:dyDescent="0.25">
      <c r="A16" s="244">
        <f t="shared" si="0"/>
        <v>9</v>
      </c>
      <c r="B16" s="241"/>
      <c r="C16" s="242"/>
      <c r="D16" s="243"/>
      <c r="E16" s="103"/>
      <c r="F16" s="320"/>
      <c r="G16" s="245"/>
      <c r="H16" s="246"/>
      <c r="I16" s="246"/>
      <c r="J16" s="247"/>
      <c r="K16" s="248"/>
      <c r="L16" s="249"/>
      <c r="M16" s="245"/>
      <c r="N16" s="246"/>
      <c r="O16" s="246"/>
      <c r="P16" s="247"/>
      <c r="Q16" s="248"/>
      <c r="R16" s="250"/>
      <c r="S16" s="249"/>
      <c r="T16" s="366"/>
      <c r="U16" s="246"/>
      <c r="V16" s="246"/>
      <c r="W16" s="248"/>
      <c r="X16" s="249"/>
      <c r="Y16" s="250"/>
      <c r="Z16" s="249"/>
    </row>
    <row r="17" spans="1:49" s="43" customFormat="1" ht="27" customHeight="1" thickBot="1" x14ac:dyDescent="0.3">
      <c r="A17" s="244">
        <f t="shared" ref="A17" si="1">A16+1</f>
        <v>10</v>
      </c>
      <c r="B17" s="241"/>
      <c r="C17" s="242"/>
      <c r="D17" s="243"/>
      <c r="E17" s="103"/>
      <c r="F17" s="320"/>
      <c r="G17" s="245"/>
      <c r="H17" s="246"/>
      <c r="I17" s="246"/>
      <c r="J17" s="247"/>
      <c r="K17" s="248"/>
      <c r="L17" s="249"/>
      <c r="M17" s="355"/>
      <c r="N17" s="356"/>
      <c r="O17" s="356"/>
      <c r="P17" s="357"/>
      <c r="Q17" s="368"/>
      <c r="R17" s="358"/>
      <c r="S17" s="354"/>
      <c r="T17" s="366"/>
      <c r="U17" s="246"/>
      <c r="V17" s="246"/>
      <c r="W17" s="248"/>
      <c r="X17" s="249"/>
      <c r="Y17" s="250"/>
      <c r="Z17" s="354"/>
    </row>
    <row r="18" spans="1:49" s="26" customFormat="1" ht="9.75" customHeight="1" thickBot="1" x14ac:dyDescent="0.25">
      <c r="A18" s="359"/>
      <c r="B18" s="360"/>
      <c r="C18" s="361"/>
      <c r="D18" s="360"/>
      <c r="E18" s="360"/>
    </row>
    <row r="19" spans="1:49" s="11" customFormat="1" x14ac:dyDescent="0.2">
      <c r="A19" s="60" t="s">
        <v>75</v>
      </c>
      <c r="B19" s="8"/>
      <c r="C19" s="45"/>
      <c r="D19" s="8"/>
      <c r="E19" s="8"/>
      <c r="F19" s="125" t="s">
        <v>76</v>
      </c>
      <c r="G19" s="8"/>
      <c r="H19" s="8"/>
      <c r="I19" s="8"/>
      <c r="J19" s="9"/>
      <c r="K19" s="9"/>
      <c r="L19" s="8"/>
      <c r="M19" s="8"/>
      <c r="N19" s="8"/>
      <c r="O19" s="8"/>
      <c r="P19" s="8"/>
      <c r="Q19" s="8"/>
      <c r="R19" s="8"/>
      <c r="S19" s="8"/>
      <c r="T19" s="125" t="s">
        <v>77</v>
      </c>
      <c r="U19" s="8"/>
      <c r="V19" s="8"/>
      <c r="W19" s="8"/>
      <c r="X19" s="8"/>
      <c r="Y19" s="8"/>
      <c r="Z19" s="10"/>
    </row>
    <row r="20" spans="1:49" s="11" customFormat="1" ht="12.75" customHeight="1" x14ac:dyDescent="0.2">
      <c r="A20" s="137" t="s">
        <v>8</v>
      </c>
      <c r="B20" s="138" t="s">
        <v>157</v>
      </c>
      <c r="C20" s="132"/>
      <c r="D20" s="132"/>
      <c r="E20" s="132"/>
      <c r="F20" s="130" t="s">
        <v>8</v>
      </c>
      <c r="G20" s="457" t="s">
        <v>134</v>
      </c>
      <c r="H20" s="457"/>
      <c r="I20" s="457"/>
      <c r="J20" s="457"/>
      <c r="K20" s="457"/>
      <c r="L20" s="457"/>
      <c r="M20" s="457"/>
      <c r="N20" s="457"/>
      <c r="O20" s="457"/>
      <c r="P20" s="457"/>
      <c r="Q20" s="457"/>
      <c r="R20" s="457"/>
      <c r="S20" s="132"/>
      <c r="T20" s="11" t="s">
        <v>95</v>
      </c>
      <c r="Z20" s="13"/>
    </row>
    <row r="21" spans="1:49" s="11" customFormat="1" ht="11.25" x14ac:dyDescent="0.2">
      <c r="A21" s="139"/>
      <c r="B21" s="138" t="s">
        <v>158</v>
      </c>
      <c r="C21" s="132"/>
      <c r="D21" s="132"/>
      <c r="E21" s="132"/>
      <c r="F21" s="129"/>
      <c r="G21" s="457"/>
      <c r="H21" s="457"/>
      <c r="I21" s="457"/>
      <c r="J21" s="457"/>
      <c r="K21" s="457"/>
      <c r="L21" s="457"/>
      <c r="M21" s="457"/>
      <c r="N21" s="457"/>
      <c r="O21" s="457"/>
      <c r="P21" s="457"/>
      <c r="Q21" s="457"/>
      <c r="R21" s="457"/>
      <c r="S21" s="132"/>
      <c r="T21" s="11" t="s">
        <v>96</v>
      </c>
      <c r="Z21" s="13"/>
    </row>
    <row r="22" spans="1:49" s="11" customFormat="1" ht="11.25" customHeight="1" x14ac:dyDescent="0.2">
      <c r="A22" s="137" t="s">
        <v>9</v>
      </c>
      <c r="B22" s="126" t="s">
        <v>82</v>
      </c>
      <c r="C22" s="46"/>
      <c r="F22" s="130" t="s">
        <v>9</v>
      </c>
      <c r="G22" s="11" t="s">
        <v>78</v>
      </c>
      <c r="Z22" s="13"/>
    </row>
    <row r="23" spans="1:49" s="11" customFormat="1" ht="12.75" customHeight="1" x14ac:dyDescent="0.2">
      <c r="A23" s="137" t="s">
        <v>11</v>
      </c>
      <c r="B23" s="126" t="s">
        <v>83</v>
      </c>
      <c r="C23" s="46"/>
      <c r="F23" s="130" t="s">
        <v>11</v>
      </c>
      <c r="G23" s="11" t="s">
        <v>79</v>
      </c>
      <c r="J23" s="12"/>
      <c r="K23" s="12"/>
      <c r="L23" s="14"/>
      <c r="S23" s="12"/>
      <c r="Z23" s="13"/>
    </row>
    <row r="24" spans="1:49" s="11" customFormat="1" ht="12.75" customHeight="1" x14ac:dyDescent="0.2">
      <c r="A24" s="137" t="s">
        <v>12</v>
      </c>
      <c r="B24" s="126" t="s">
        <v>84</v>
      </c>
      <c r="C24" s="46"/>
      <c r="F24" s="130" t="s">
        <v>12</v>
      </c>
      <c r="G24" s="459" t="s">
        <v>80</v>
      </c>
      <c r="H24" s="459"/>
      <c r="I24" s="459"/>
      <c r="J24" s="459"/>
      <c r="K24" s="459"/>
      <c r="L24" s="459"/>
      <c r="M24" s="459"/>
      <c r="N24" s="459"/>
      <c r="O24" s="459"/>
      <c r="P24" s="459"/>
      <c r="Q24" s="459"/>
      <c r="R24" s="459"/>
      <c r="S24" s="157"/>
      <c r="Z24" s="13"/>
    </row>
    <row r="25" spans="1:49" s="11" customFormat="1" ht="11.25" customHeight="1" x14ac:dyDescent="0.2">
      <c r="A25" s="137" t="s">
        <v>13</v>
      </c>
      <c r="B25" s="126" t="s">
        <v>85</v>
      </c>
      <c r="C25" s="46"/>
      <c r="F25" s="129"/>
      <c r="G25" s="459"/>
      <c r="H25" s="459"/>
      <c r="I25" s="459"/>
      <c r="J25" s="459"/>
      <c r="K25" s="459"/>
      <c r="L25" s="459"/>
      <c r="M25" s="459"/>
      <c r="N25" s="459"/>
      <c r="O25" s="459"/>
      <c r="P25" s="459"/>
      <c r="Q25" s="459"/>
      <c r="R25" s="459"/>
      <c r="S25" s="157"/>
      <c r="Z25" s="13"/>
    </row>
    <row r="26" spans="1:49" s="11" customFormat="1" ht="13.5" customHeight="1" thickBot="1" x14ac:dyDescent="0.25">
      <c r="A26" s="127"/>
      <c r="B26" s="15"/>
      <c r="C26" s="47"/>
      <c r="D26" s="15"/>
      <c r="E26" s="15"/>
      <c r="F26" s="131" t="s">
        <v>13</v>
      </c>
      <c r="G26" s="458" t="s">
        <v>81</v>
      </c>
      <c r="H26" s="458"/>
      <c r="I26" s="458"/>
      <c r="J26" s="458"/>
      <c r="K26" s="458"/>
      <c r="L26" s="458"/>
      <c r="M26" s="458"/>
      <c r="N26" s="458"/>
      <c r="O26" s="458"/>
      <c r="P26" s="458"/>
      <c r="Q26" s="458"/>
      <c r="R26" s="458"/>
      <c r="S26" s="458"/>
      <c r="T26" s="15"/>
      <c r="U26" s="15"/>
      <c r="V26" s="15"/>
      <c r="W26" s="15"/>
      <c r="X26" s="15"/>
      <c r="Y26" s="15"/>
      <c r="Z26" s="16"/>
    </row>
    <row r="27" spans="1:49" s="18" customFormat="1" ht="16.5" customHeight="1" x14ac:dyDescent="0.2">
      <c r="A27" s="134" t="s">
        <v>105</v>
      </c>
      <c r="C27" s="19"/>
      <c r="AV27" s="19"/>
      <c r="AW27" s="19"/>
    </row>
    <row r="28" spans="1:49" s="18" customFormat="1" ht="5.25" customHeight="1" x14ac:dyDescent="0.2">
      <c r="C28" s="19"/>
      <c r="AM28" s="19"/>
      <c r="AN28" s="19"/>
    </row>
    <row r="29" spans="1:49" s="88" customFormat="1" ht="15" x14ac:dyDescent="0.25">
      <c r="B29" s="88" t="s">
        <v>53</v>
      </c>
      <c r="C29" s="89"/>
      <c r="E29" s="88" t="s">
        <v>54</v>
      </c>
      <c r="R29" s="88" t="s">
        <v>55</v>
      </c>
      <c r="AR29" s="89"/>
      <c r="AS29" s="89"/>
    </row>
    <row r="30" spans="1:49" s="18" customFormat="1" ht="19.5" customHeight="1" x14ac:dyDescent="0.2">
      <c r="C30" s="19"/>
      <c r="AR30" s="19"/>
      <c r="AS30" s="19"/>
    </row>
    <row r="31" spans="1:49" s="18" customFormat="1" ht="19.5" customHeight="1" x14ac:dyDescent="0.2">
      <c r="C31" s="19"/>
      <c r="AR31" s="19"/>
      <c r="AS31" s="19"/>
    </row>
    <row r="32" spans="1:49" s="18" customFormat="1" ht="17.25" customHeight="1" x14ac:dyDescent="0.2">
      <c r="B32" s="90"/>
      <c r="C32" s="19"/>
      <c r="E32" s="90"/>
      <c r="F32" s="90"/>
      <c r="G32" s="90"/>
      <c r="H32" s="90"/>
      <c r="I32" s="90"/>
      <c r="J32" s="90"/>
      <c r="K32" s="90"/>
      <c r="L32" s="90"/>
      <c r="R32" s="90"/>
      <c r="S32" s="90"/>
      <c r="T32" s="90"/>
      <c r="U32" s="90"/>
      <c r="V32" s="90"/>
      <c r="W32" s="90"/>
      <c r="X32" s="90"/>
      <c r="Y32" s="90"/>
      <c r="AR32" s="19"/>
      <c r="AS32" s="19"/>
    </row>
    <row r="33" spans="1:45" s="18" customFormat="1" ht="23.25" customHeight="1" x14ac:dyDescent="0.2">
      <c r="B33" s="18" t="s">
        <v>56</v>
      </c>
      <c r="C33" s="19"/>
      <c r="E33" s="18" t="s">
        <v>56</v>
      </c>
      <c r="R33" s="18" t="s">
        <v>57</v>
      </c>
      <c r="AR33" s="19"/>
      <c r="AS33" s="19"/>
    </row>
    <row r="34" spans="1:45" s="18" customFormat="1" ht="18" customHeight="1" x14ac:dyDescent="0.2">
      <c r="B34" s="18" t="s">
        <v>58</v>
      </c>
      <c r="C34" s="19"/>
      <c r="E34" s="18" t="s">
        <v>59</v>
      </c>
      <c r="R34" s="18" t="s">
        <v>58</v>
      </c>
      <c r="AR34" s="19"/>
      <c r="AS34" s="19"/>
    </row>
    <row r="35" spans="1:45" ht="8.25" customHeight="1" thickBot="1" x14ac:dyDescent="0.25"/>
    <row r="36" spans="1:45" s="43" customFormat="1" ht="27" customHeight="1" x14ac:dyDescent="0.25">
      <c r="A36" s="244">
        <v>11</v>
      </c>
      <c r="B36" s="241"/>
      <c r="C36" s="242"/>
      <c r="D36" s="243"/>
      <c r="E36" s="97"/>
      <c r="F36" s="315"/>
      <c r="G36" s="245"/>
      <c r="H36" s="246"/>
      <c r="I36" s="246"/>
      <c r="J36" s="247"/>
      <c r="K36" s="248"/>
      <c r="L36" s="249"/>
      <c r="M36" s="245"/>
      <c r="N36" s="246"/>
      <c r="O36" s="246"/>
      <c r="P36" s="247"/>
      <c r="Q36" s="248"/>
      <c r="R36" s="250"/>
      <c r="S36" s="249"/>
      <c r="T36" s="366"/>
      <c r="U36" s="246"/>
      <c r="V36" s="246"/>
      <c r="W36" s="248"/>
      <c r="X36" s="249"/>
      <c r="Y36" s="250"/>
      <c r="Z36" s="369"/>
    </row>
    <row r="37" spans="1:45" s="43" customFormat="1" ht="27" customHeight="1" x14ac:dyDescent="0.25">
      <c r="A37" s="244">
        <f>A36+1</f>
        <v>12</v>
      </c>
      <c r="B37" s="241"/>
      <c r="C37" s="242"/>
      <c r="D37" s="243"/>
      <c r="E37" s="97"/>
      <c r="F37" s="315"/>
      <c r="G37" s="245"/>
      <c r="H37" s="246"/>
      <c r="I37" s="246"/>
      <c r="J37" s="247"/>
      <c r="K37" s="248"/>
      <c r="L37" s="249"/>
      <c r="M37" s="245"/>
      <c r="N37" s="246"/>
      <c r="O37" s="246"/>
      <c r="P37" s="247"/>
      <c r="Q37" s="248"/>
      <c r="R37" s="250"/>
      <c r="S37" s="249"/>
      <c r="T37" s="366"/>
      <c r="U37" s="246"/>
      <c r="V37" s="246"/>
      <c r="W37" s="248"/>
      <c r="X37" s="249"/>
      <c r="Y37" s="250"/>
      <c r="Z37" s="249"/>
    </row>
    <row r="38" spans="1:45" s="43" customFormat="1" ht="27" customHeight="1" x14ac:dyDescent="0.25">
      <c r="A38" s="244">
        <f t="shared" ref="A38:A45" si="2">A37+1</f>
        <v>13</v>
      </c>
      <c r="B38" s="241"/>
      <c r="C38" s="242"/>
      <c r="D38" s="243"/>
      <c r="E38" s="97"/>
      <c r="F38" s="315"/>
      <c r="G38" s="245"/>
      <c r="H38" s="246"/>
      <c r="I38" s="246"/>
      <c r="J38" s="247"/>
      <c r="K38" s="248"/>
      <c r="L38" s="249"/>
      <c r="M38" s="245"/>
      <c r="N38" s="246"/>
      <c r="O38" s="246"/>
      <c r="P38" s="247"/>
      <c r="Q38" s="248"/>
      <c r="R38" s="250"/>
      <c r="S38" s="249"/>
      <c r="T38" s="366"/>
      <c r="U38" s="246"/>
      <c r="V38" s="246"/>
      <c r="W38" s="248"/>
      <c r="X38" s="249"/>
      <c r="Y38" s="250"/>
      <c r="Z38" s="249"/>
    </row>
    <row r="39" spans="1:45" s="43" customFormat="1" ht="27" customHeight="1" x14ac:dyDescent="0.25">
      <c r="A39" s="244">
        <f t="shared" si="2"/>
        <v>14</v>
      </c>
      <c r="B39" s="241"/>
      <c r="C39" s="242"/>
      <c r="D39" s="243"/>
      <c r="E39" s="97"/>
      <c r="F39" s="315"/>
      <c r="G39" s="245"/>
      <c r="H39" s="246"/>
      <c r="I39" s="246"/>
      <c r="J39" s="247"/>
      <c r="K39" s="248"/>
      <c r="L39" s="249"/>
      <c r="M39" s="245"/>
      <c r="N39" s="246"/>
      <c r="O39" s="246"/>
      <c r="P39" s="247"/>
      <c r="Q39" s="248"/>
      <c r="R39" s="250"/>
      <c r="S39" s="249"/>
      <c r="T39" s="366"/>
      <c r="U39" s="246"/>
      <c r="V39" s="246"/>
      <c r="W39" s="248"/>
      <c r="X39" s="249"/>
      <c r="Y39" s="250"/>
      <c r="Z39" s="249"/>
    </row>
    <row r="40" spans="1:45" s="43" customFormat="1" ht="27" customHeight="1" x14ac:dyDescent="0.25">
      <c r="A40" s="244">
        <f t="shared" si="2"/>
        <v>15</v>
      </c>
      <c r="B40" s="241"/>
      <c r="C40" s="242"/>
      <c r="D40" s="243"/>
      <c r="E40" s="97"/>
      <c r="F40" s="315"/>
      <c r="G40" s="245"/>
      <c r="H40" s="246"/>
      <c r="I40" s="246"/>
      <c r="J40" s="247"/>
      <c r="K40" s="248"/>
      <c r="L40" s="249"/>
      <c r="M40" s="245"/>
      <c r="N40" s="246"/>
      <c r="O40" s="246"/>
      <c r="P40" s="247"/>
      <c r="Q40" s="248"/>
      <c r="R40" s="250"/>
      <c r="S40" s="249"/>
      <c r="T40" s="366"/>
      <c r="U40" s="246"/>
      <c r="V40" s="246"/>
      <c r="W40" s="248"/>
      <c r="X40" s="249"/>
      <c r="Y40" s="250"/>
      <c r="Z40" s="249"/>
    </row>
    <row r="41" spans="1:45" s="43" customFormat="1" ht="27" customHeight="1" x14ac:dyDescent="0.25">
      <c r="A41" s="244">
        <f t="shared" si="2"/>
        <v>16</v>
      </c>
      <c r="B41" s="241"/>
      <c r="C41" s="242"/>
      <c r="D41" s="243"/>
      <c r="E41" s="97"/>
      <c r="F41" s="315"/>
      <c r="G41" s="245"/>
      <c r="H41" s="246"/>
      <c r="I41" s="246"/>
      <c r="J41" s="247"/>
      <c r="K41" s="248"/>
      <c r="L41" s="249"/>
      <c r="M41" s="245"/>
      <c r="N41" s="246"/>
      <c r="O41" s="246"/>
      <c r="P41" s="247"/>
      <c r="Q41" s="248"/>
      <c r="R41" s="250"/>
      <c r="S41" s="249"/>
      <c r="T41" s="366"/>
      <c r="U41" s="246"/>
      <c r="V41" s="246"/>
      <c r="W41" s="248"/>
      <c r="X41" s="249"/>
      <c r="Y41" s="250"/>
      <c r="Z41" s="249"/>
    </row>
    <row r="42" spans="1:45" s="43" customFormat="1" ht="27" customHeight="1" x14ac:dyDescent="0.25">
      <c r="A42" s="244">
        <f t="shared" si="2"/>
        <v>17</v>
      </c>
      <c r="B42" s="241"/>
      <c r="C42" s="242"/>
      <c r="D42" s="243"/>
      <c r="E42" s="97"/>
      <c r="F42" s="315"/>
      <c r="G42" s="245"/>
      <c r="H42" s="246"/>
      <c r="I42" s="246"/>
      <c r="J42" s="247"/>
      <c r="K42" s="248"/>
      <c r="L42" s="249"/>
      <c r="M42" s="245"/>
      <c r="N42" s="246"/>
      <c r="O42" s="246"/>
      <c r="P42" s="247"/>
      <c r="Q42" s="248"/>
      <c r="R42" s="250"/>
      <c r="S42" s="249"/>
      <c r="T42" s="366"/>
      <c r="U42" s="246"/>
      <c r="V42" s="246"/>
      <c r="W42" s="248"/>
      <c r="X42" s="249"/>
      <c r="Y42" s="250"/>
      <c r="Z42" s="249"/>
    </row>
    <row r="43" spans="1:45" s="43" customFormat="1" ht="27" customHeight="1" x14ac:dyDescent="0.25">
      <c r="A43" s="244">
        <f t="shared" si="2"/>
        <v>18</v>
      </c>
      <c r="B43" s="241"/>
      <c r="C43" s="242"/>
      <c r="D43" s="243"/>
      <c r="E43" s="97"/>
      <c r="F43" s="315"/>
      <c r="G43" s="245"/>
      <c r="H43" s="246"/>
      <c r="I43" s="246"/>
      <c r="J43" s="247"/>
      <c r="K43" s="248"/>
      <c r="L43" s="249"/>
      <c r="M43" s="245"/>
      <c r="N43" s="246"/>
      <c r="O43" s="246"/>
      <c r="P43" s="247"/>
      <c r="Q43" s="248"/>
      <c r="R43" s="250"/>
      <c r="S43" s="249"/>
      <c r="T43" s="366"/>
      <c r="U43" s="246"/>
      <c r="V43" s="246"/>
      <c r="W43" s="248"/>
      <c r="X43" s="249"/>
      <c r="Y43" s="250"/>
      <c r="Z43" s="249"/>
    </row>
    <row r="44" spans="1:45" s="43" customFormat="1" ht="27" customHeight="1" x14ac:dyDescent="0.25">
      <c r="A44" s="244">
        <f t="shared" si="2"/>
        <v>19</v>
      </c>
      <c r="B44" s="241"/>
      <c r="C44" s="242"/>
      <c r="D44" s="243"/>
      <c r="E44" s="103"/>
      <c r="F44" s="320"/>
      <c r="G44" s="245"/>
      <c r="H44" s="246"/>
      <c r="I44" s="246"/>
      <c r="J44" s="247"/>
      <c r="K44" s="248"/>
      <c r="L44" s="249"/>
      <c r="M44" s="245"/>
      <c r="N44" s="246"/>
      <c r="O44" s="246"/>
      <c r="P44" s="247"/>
      <c r="Q44" s="248"/>
      <c r="R44" s="250"/>
      <c r="S44" s="249"/>
      <c r="T44" s="366"/>
      <c r="U44" s="246"/>
      <c r="V44" s="246"/>
      <c r="W44" s="248"/>
      <c r="X44" s="249"/>
      <c r="Y44" s="250"/>
      <c r="Z44" s="249"/>
    </row>
    <row r="45" spans="1:45" s="43" customFormat="1" ht="27" customHeight="1" thickBot="1" x14ac:dyDescent="0.3">
      <c r="A45" s="244">
        <f t="shared" si="2"/>
        <v>20</v>
      </c>
      <c r="B45" s="241"/>
      <c r="C45" s="242"/>
      <c r="D45" s="243"/>
      <c r="E45" s="103"/>
      <c r="F45" s="320"/>
      <c r="G45" s="245"/>
      <c r="H45" s="246"/>
      <c r="I45" s="246"/>
      <c r="J45" s="247"/>
      <c r="K45" s="248"/>
      <c r="L45" s="249"/>
      <c r="M45" s="355"/>
      <c r="N45" s="356"/>
      <c r="O45" s="356"/>
      <c r="P45" s="357"/>
      <c r="Q45" s="368"/>
      <c r="R45" s="358"/>
      <c r="S45" s="354"/>
      <c r="T45" s="366"/>
      <c r="U45" s="246"/>
      <c r="V45" s="246"/>
      <c r="W45" s="248"/>
      <c r="X45" s="249"/>
      <c r="Y45" s="250"/>
      <c r="Z45" s="354"/>
    </row>
    <row r="46" spans="1:45" s="26" customFormat="1" ht="9.75" customHeight="1" thickBot="1" x14ac:dyDescent="0.25">
      <c r="A46" s="359"/>
      <c r="B46" s="360"/>
      <c r="C46" s="361"/>
      <c r="D46" s="360"/>
      <c r="E46" s="360"/>
    </row>
    <row r="47" spans="1:45" s="11" customFormat="1" x14ac:dyDescent="0.2">
      <c r="A47" s="60" t="s">
        <v>75</v>
      </c>
      <c r="B47" s="8"/>
      <c r="C47" s="45"/>
      <c r="D47" s="8"/>
      <c r="E47" s="8"/>
      <c r="F47" s="125" t="s">
        <v>76</v>
      </c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8"/>
      <c r="T47" s="125" t="s">
        <v>77</v>
      </c>
      <c r="U47" s="8"/>
      <c r="V47" s="8"/>
      <c r="W47" s="8"/>
      <c r="X47" s="8"/>
      <c r="Y47" s="8"/>
      <c r="Z47" s="10"/>
    </row>
    <row r="48" spans="1:45" s="11" customFormat="1" ht="12.75" customHeight="1" x14ac:dyDescent="0.2">
      <c r="A48" s="137" t="s">
        <v>8</v>
      </c>
      <c r="B48" s="138" t="s">
        <v>157</v>
      </c>
      <c r="C48" s="132"/>
      <c r="D48" s="132"/>
      <c r="E48" s="132"/>
      <c r="F48" s="130" t="s">
        <v>8</v>
      </c>
      <c r="G48" s="457" t="s">
        <v>134</v>
      </c>
      <c r="H48" s="457"/>
      <c r="I48" s="457"/>
      <c r="J48" s="457"/>
      <c r="K48" s="457"/>
      <c r="L48" s="457"/>
      <c r="M48" s="457"/>
      <c r="N48" s="457"/>
      <c r="O48" s="457"/>
      <c r="P48" s="457"/>
      <c r="Q48" s="457"/>
      <c r="R48" s="457"/>
      <c r="S48" s="132"/>
      <c r="T48" s="11" t="s">
        <v>95</v>
      </c>
      <c r="Z48" s="13"/>
    </row>
    <row r="49" spans="1:49" s="11" customFormat="1" ht="11.25" x14ac:dyDescent="0.2">
      <c r="A49" s="139"/>
      <c r="B49" s="138" t="s">
        <v>158</v>
      </c>
      <c r="C49" s="132"/>
      <c r="D49" s="132"/>
      <c r="E49" s="132"/>
      <c r="F49" s="129"/>
      <c r="G49" s="457"/>
      <c r="H49" s="457"/>
      <c r="I49" s="457"/>
      <c r="J49" s="457"/>
      <c r="K49" s="457"/>
      <c r="L49" s="457"/>
      <c r="M49" s="457"/>
      <c r="N49" s="457"/>
      <c r="O49" s="457"/>
      <c r="P49" s="457"/>
      <c r="Q49" s="457"/>
      <c r="R49" s="457"/>
      <c r="S49" s="132"/>
      <c r="T49" s="11" t="s">
        <v>96</v>
      </c>
      <c r="Z49" s="13"/>
    </row>
    <row r="50" spans="1:49" s="11" customFormat="1" ht="11.25" customHeight="1" x14ac:dyDescent="0.2">
      <c r="A50" s="137" t="s">
        <v>9</v>
      </c>
      <c r="B50" s="126" t="s">
        <v>82</v>
      </c>
      <c r="C50" s="46"/>
      <c r="F50" s="130" t="s">
        <v>9</v>
      </c>
      <c r="G50" s="11" t="s">
        <v>78</v>
      </c>
      <c r="Z50" s="13"/>
    </row>
    <row r="51" spans="1:49" s="11" customFormat="1" ht="12.75" customHeight="1" x14ac:dyDescent="0.2">
      <c r="A51" s="137" t="s">
        <v>11</v>
      </c>
      <c r="B51" s="126" t="s">
        <v>83</v>
      </c>
      <c r="C51" s="46"/>
      <c r="F51" s="130" t="s">
        <v>11</v>
      </c>
      <c r="G51" s="11" t="s">
        <v>79</v>
      </c>
      <c r="J51" s="12"/>
      <c r="K51" s="12"/>
      <c r="L51" s="14"/>
      <c r="S51" s="12"/>
      <c r="Z51" s="13"/>
    </row>
    <row r="52" spans="1:49" s="11" customFormat="1" ht="12.75" customHeight="1" x14ac:dyDescent="0.2">
      <c r="A52" s="137" t="s">
        <v>12</v>
      </c>
      <c r="B52" s="126" t="s">
        <v>84</v>
      </c>
      <c r="C52" s="46"/>
      <c r="F52" s="130" t="s">
        <v>12</v>
      </c>
      <c r="G52" s="459" t="s">
        <v>80</v>
      </c>
      <c r="H52" s="459"/>
      <c r="I52" s="459"/>
      <c r="J52" s="459"/>
      <c r="K52" s="459"/>
      <c r="L52" s="459"/>
      <c r="M52" s="459"/>
      <c r="N52" s="459"/>
      <c r="O52" s="459"/>
      <c r="P52" s="459"/>
      <c r="Q52" s="459"/>
      <c r="R52" s="459"/>
      <c r="S52" s="157"/>
      <c r="Z52" s="13"/>
    </row>
    <row r="53" spans="1:49" s="11" customFormat="1" ht="11.25" customHeight="1" x14ac:dyDescent="0.2">
      <c r="A53" s="137" t="s">
        <v>13</v>
      </c>
      <c r="B53" s="126" t="s">
        <v>85</v>
      </c>
      <c r="C53" s="46"/>
      <c r="F53" s="129"/>
      <c r="G53" s="459"/>
      <c r="H53" s="459"/>
      <c r="I53" s="459"/>
      <c r="J53" s="459"/>
      <c r="K53" s="459"/>
      <c r="L53" s="459"/>
      <c r="M53" s="459"/>
      <c r="N53" s="459"/>
      <c r="O53" s="459"/>
      <c r="P53" s="459"/>
      <c r="Q53" s="459"/>
      <c r="R53" s="459"/>
      <c r="S53" s="157"/>
      <c r="Z53" s="13"/>
    </row>
    <row r="54" spans="1:49" s="11" customFormat="1" ht="13.5" customHeight="1" thickBot="1" x14ac:dyDescent="0.25">
      <c r="A54" s="127"/>
      <c r="B54" s="15"/>
      <c r="C54" s="47"/>
      <c r="D54" s="15"/>
      <c r="E54" s="15"/>
      <c r="F54" s="131" t="s">
        <v>13</v>
      </c>
      <c r="G54" s="458" t="s">
        <v>81</v>
      </c>
      <c r="H54" s="458"/>
      <c r="I54" s="458"/>
      <c r="J54" s="458"/>
      <c r="K54" s="458"/>
      <c r="L54" s="458"/>
      <c r="M54" s="458"/>
      <c r="N54" s="458"/>
      <c r="O54" s="458"/>
      <c r="P54" s="458"/>
      <c r="Q54" s="458"/>
      <c r="R54" s="458"/>
      <c r="S54" s="458"/>
      <c r="T54" s="15"/>
      <c r="U54" s="15"/>
      <c r="V54" s="15"/>
      <c r="W54" s="15"/>
      <c r="X54" s="15"/>
      <c r="Y54" s="15"/>
      <c r="Z54" s="16"/>
    </row>
    <row r="55" spans="1:49" s="18" customFormat="1" ht="16.5" customHeight="1" x14ac:dyDescent="0.2">
      <c r="A55" s="134" t="s">
        <v>105</v>
      </c>
      <c r="C55" s="19"/>
      <c r="AV55" s="19"/>
      <c r="AW55" s="19"/>
    </row>
    <row r="56" spans="1:49" s="18" customFormat="1" ht="5.25" customHeight="1" x14ac:dyDescent="0.2">
      <c r="C56" s="19"/>
      <c r="AM56" s="19"/>
      <c r="AN56" s="19"/>
    </row>
    <row r="57" spans="1:49" s="88" customFormat="1" ht="15" x14ac:dyDescent="0.25">
      <c r="B57" s="88" t="s">
        <v>53</v>
      </c>
      <c r="C57" s="89"/>
      <c r="E57" s="88" t="s">
        <v>54</v>
      </c>
      <c r="R57" s="88" t="s">
        <v>55</v>
      </c>
      <c r="AR57" s="89"/>
      <c r="AS57" s="89"/>
    </row>
    <row r="58" spans="1:49" s="18" customFormat="1" ht="19.5" customHeight="1" x14ac:dyDescent="0.2">
      <c r="C58" s="19"/>
      <c r="AR58" s="19"/>
      <c r="AS58" s="19"/>
    </row>
    <row r="59" spans="1:49" s="18" customFormat="1" ht="19.5" customHeight="1" x14ac:dyDescent="0.2">
      <c r="C59" s="19"/>
      <c r="AR59" s="19"/>
      <c r="AS59" s="19"/>
    </row>
    <row r="60" spans="1:49" s="18" customFormat="1" ht="17.25" customHeight="1" x14ac:dyDescent="0.2">
      <c r="B60" s="90"/>
      <c r="C60" s="19"/>
      <c r="E60" s="90"/>
      <c r="F60" s="90"/>
      <c r="G60" s="90"/>
      <c r="H60" s="90"/>
      <c r="I60" s="90"/>
      <c r="J60" s="90"/>
      <c r="K60" s="90"/>
      <c r="L60" s="90"/>
      <c r="R60" s="90"/>
      <c r="S60" s="90"/>
      <c r="T60" s="90"/>
      <c r="U60" s="90"/>
      <c r="V60" s="90"/>
      <c r="W60" s="90"/>
      <c r="X60" s="90"/>
      <c r="Y60" s="90"/>
      <c r="AR60" s="19"/>
      <c r="AS60" s="19"/>
    </row>
    <row r="61" spans="1:49" s="18" customFormat="1" ht="23.25" customHeight="1" x14ac:dyDescent="0.2">
      <c r="B61" s="18" t="s">
        <v>56</v>
      </c>
      <c r="C61" s="19"/>
      <c r="E61" s="18" t="s">
        <v>56</v>
      </c>
      <c r="R61" s="18" t="s">
        <v>57</v>
      </c>
      <c r="AR61" s="19"/>
      <c r="AS61" s="19"/>
    </row>
    <row r="62" spans="1:49" s="18" customFormat="1" ht="18" customHeight="1" x14ac:dyDescent="0.2">
      <c r="B62" s="18" t="s">
        <v>58</v>
      </c>
      <c r="C62" s="19"/>
      <c r="E62" s="18" t="s">
        <v>59</v>
      </c>
      <c r="R62" s="18" t="s">
        <v>58</v>
      </c>
      <c r="AR62" s="19"/>
      <c r="AS62" s="19"/>
    </row>
    <row r="63" spans="1:49" ht="8.25" customHeight="1" thickBot="1" x14ac:dyDescent="0.25"/>
    <row r="64" spans="1:49" s="43" customFormat="1" ht="27" customHeight="1" x14ac:dyDescent="0.25">
      <c r="A64" s="244">
        <v>21</v>
      </c>
      <c r="B64" s="241"/>
      <c r="C64" s="242"/>
      <c r="D64" s="243"/>
      <c r="E64" s="97"/>
      <c r="F64" s="315"/>
      <c r="G64" s="245"/>
      <c r="H64" s="246"/>
      <c r="I64" s="246"/>
      <c r="J64" s="247"/>
      <c r="K64" s="248"/>
      <c r="L64" s="249"/>
      <c r="M64" s="245"/>
      <c r="N64" s="246"/>
      <c r="O64" s="246"/>
      <c r="P64" s="247"/>
      <c r="Q64" s="248"/>
      <c r="R64" s="250"/>
      <c r="S64" s="249"/>
      <c r="T64" s="366"/>
      <c r="U64" s="246"/>
      <c r="V64" s="246"/>
      <c r="W64" s="248"/>
      <c r="X64" s="249"/>
      <c r="Y64" s="250"/>
      <c r="Z64" s="369"/>
    </row>
    <row r="65" spans="1:26" s="43" customFormat="1" ht="27" customHeight="1" x14ac:dyDescent="0.25">
      <c r="A65" s="244">
        <f>A64+1</f>
        <v>22</v>
      </c>
      <c r="B65" s="241"/>
      <c r="C65" s="242"/>
      <c r="D65" s="243"/>
      <c r="E65" s="97"/>
      <c r="F65" s="315"/>
      <c r="G65" s="245"/>
      <c r="H65" s="246"/>
      <c r="I65" s="246"/>
      <c r="J65" s="247"/>
      <c r="K65" s="248"/>
      <c r="L65" s="249"/>
      <c r="M65" s="245"/>
      <c r="N65" s="246"/>
      <c r="O65" s="246"/>
      <c r="P65" s="247"/>
      <c r="Q65" s="248"/>
      <c r="R65" s="250"/>
      <c r="S65" s="249"/>
      <c r="T65" s="366"/>
      <c r="U65" s="246"/>
      <c r="V65" s="246"/>
      <c r="W65" s="248"/>
      <c r="X65" s="249"/>
      <c r="Y65" s="250"/>
      <c r="Z65" s="249"/>
    </row>
    <row r="66" spans="1:26" s="43" customFormat="1" ht="27" customHeight="1" x14ac:dyDescent="0.25">
      <c r="A66" s="244">
        <f t="shared" ref="A66:A73" si="3">A65+1</f>
        <v>23</v>
      </c>
      <c r="B66" s="241"/>
      <c r="C66" s="242"/>
      <c r="D66" s="243"/>
      <c r="E66" s="97"/>
      <c r="F66" s="315"/>
      <c r="G66" s="245"/>
      <c r="H66" s="246"/>
      <c r="I66" s="246"/>
      <c r="J66" s="247"/>
      <c r="K66" s="248"/>
      <c r="L66" s="249"/>
      <c r="M66" s="245"/>
      <c r="N66" s="246"/>
      <c r="O66" s="246"/>
      <c r="P66" s="247"/>
      <c r="Q66" s="248"/>
      <c r="R66" s="250"/>
      <c r="S66" s="249"/>
      <c r="T66" s="366"/>
      <c r="U66" s="246"/>
      <c r="V66" s="246"/>
      <c r="W66" s="248"/>
      <c r="X66" s="249"/>
      <c r="Y66" s="250"/>
      <c r="Z66" s="249"/>
    </row>
    <row r="67" spans="1:26" s="43" customFormat="1" ht="27" customHeight="1" x14ac:dyDescent="0.25">
      <c r="A67" s="244">
        <f t="shared" si="3"/>
        <v>24</v>
      </c>
      <c r="B67" s="241"/>
      <c r="C67" s="242"/>
      <c r="D67" s="243"/>
      <c r="E67" s="97"/>
      <c r="F67" s="315"/>
      <c r="G67" s="245"/>
      <c r="H67" s="246"/>
      <c r="I67" s="246"/>
      <c r="J67" s="247"/>
      <c r="K67" s="248"/>
      <c r="L67" s="249"/>
      <c r="M67" s="245"/>
      <c r="N67" s="246"/>
      <c r="O67" s="246"/>
      <c r="P67" s="247"/>
      <c r="Q67" s="248"/>
      <c r="R67" s="250"/>
      <c r="S67" s="249"/>
      <c r="T67" s="366"/>
      <c r="U67" s="246"/>
      <c r="V67" s="246"/>
      <c r="W67" s="248"/>
      <c r="X67" s="249"/>
      <c r="Y67" s="250"/>
      <c r="Z67" s="249"/>
    </row>
    <row r="68" spans="1:26" s="43" customFormat="1" ht="27" customHeight="1" x14ac:dyDescent="0.25">
      <c r="A68" s="244">
        <f t="shared" si="3"/>
        <v>25</v>
      </c>
      <c r="B68" s="241"/>
      <c r="C68" s="242"/>
      <c r="D68" s="243"/>
      <c r="E68" s="97"/>
      <c r="F68" s="315"/>
      <c r="G68" s="245"/>
      <c r="H68" s="246"/>
      <c r="I68" s="246"/>
      <c r="J68" s="247"/>
      <c r="K68" s="248"/>
      <c r="L68" s="249"/>
      <c r="M68" s="245"/>
      <c r="N68" s="246"/>
      <c r="O68" s="246"/>
      <c r="P68" s="247"/>
      <c r="Q68" s="248"/>
      <c r="R68" s="250"/>
      <c r="S68" s="249"/>
      <c r="T68" s="366"/>
      <c r="U68" s="246"/>
      <c r="V68" s="246"/>
      <c r="W68" s="248"/>
      <c r="X68" s="249"/>
      <c r="Y68" s="250"/>
      <c r="Z68" s="249"/>
    </row>
    <row r="69" spans="1:26" s="43" customFormat="1" ht="27" customHeight="1" x14ac:dyDescent="0.25">
      <c r="A69" s="244">
        <f t="shared" si="3"/>
        <v>26</v>
      </c>
      <c r="B69" s="241"/>
      <c r="C69" s="242"/>
      <c r="D69" s="243"/>
      <c r="E69" s="97"/>
      <c r="F69" s="315"/>
      <c r="G69" s="245"/>
      <c r="H69" s="246"/>
      <c r="I69" s="246"/>
      <c r="J69" s="247"/>
      <c r="K69" s="248"/>
      <c r="L69" s="249"/>
      <c r="M69" s="245"/>
      <c r="N69" s="246"/>
      <c r="O69" s="246"/>
      <c r="P69" s="247"/>
      <c r="Q69" s="248"/>
      <c r="R69" s="250"/>
      <c r="S69" s="249"/>
      <c r="T69" s="366"/>
      <c r="U69" s="246"/>
      <c r="V69" s="246"/>
      <c r="W69" s="248"/>
      <c r="X69" s="249"/>
      <c r="Y69" s="250"/>
      <c r="Z69" s="249"/>
    </row>
    <row r="70" spans="1:26" s="43" customFormat="1" ht="27" customHeight="1" x14ac:dyDescent="0.25">
      <c r="A70" s="244">
        <f t="shared" si="3"/>
        <v>27</v>
      </c>
      <c r="B70" s="241"/>
      <c r="C70" s="242"/>
      <c r="D70" s="243"/>
      <c r="E70" s="97"/>
      <c r="F70" s="315"/>
      <c r="G70" s="245"/>
      <c r="H70" s="246"/>
      <c r="I70" s="246"/>
      <c r="J70" s="247"/>
      <c r="K70" s="248"/>
      <c r="L70" s="249"/>
      <c r="M70" s="245"/>
      <c r="N70" s="246"/>
      <c r="O70" s="246"/>
      <c r="P70" s="247"/>
      <c r="Q70" s="248"/>
      <c r="R70" s="250"/>
      <c r="S70" s="249"/>
      <c r="T70" s="366"/>
      <c r="U70" s="246"/>
      <c r="V70" s="246"/>
      <c r="W70" s="248"/>
      <c r="X70" s="249"/>
      <c r="Y70" s="250"/>
      <c r="Z70" s="249"/>
    </row>
    <row r="71" spans="1:26" s="43" customFormat="1" ht="27" customHeight="1" x14ac:dyDescent="0.25">
      <c r="A71" s="244">
        <f t="shared" si="3"/>
        <v>28</v>
      </c>
      <c r="B71" s="241"/>
      <c r="C71" s="242"/>
      <c r="D71" s="243"/>
      <c r="E71" s="97"/>
      <c r="F71" s="315"/>
      <c r="G71" s="245"/>
      <c r="H71" s="246"/>
      <c r="I71" s="246"/>
      <c r="J71" s="247"/>
      <c r="K71" s="248"/>
      <c r="L71" s="249"/>
      <c r="M71" s="245"/>
      <c r="N71" s="246"/>
      <c r="O71" s="246"/>
      <c r="P71" s="247"/>
      <c r="Q71" s="248"/>
      <c r="R71" s="250"/>
      <c r="S71" s="249"/>
      <c r="T71" s="366"/>
      <c r="U71" s="246"/>
      <c r="V71" s="246"/>
      <c r="W71" s="248"/>
      <c r="X71" s="249"/>
      <c r="Y71" s="250"/>
      <c r="Z71" s="249"/>
    </row>
    <row r="72" spans="1:26" s="43" customFormat="1" ht="27" customHeight="1" x14ac:dyDescent="0.25">
      <c r="A72" s="244">
        <f t="shared" si="3"/>
        <v>29</v>
      </c>
      <c r="B72" s="241"/>
      <c r="C72" s="242"/>
      <c r="D72" s="243"/>
      <c r="E72" s="103"/>
      <c r="F72" s="320"/>
      <c r="G72" s="245"/>
      <c r="H72" s="246"/>
      <c r="I72" s="246"/>
      <c r="J72" s="247"/>
      <c r="K72" s="248"/>
      <c r="L72" s="249"/>
      <c r="M72" s="245"/>
      <c r="N72" s="246"/>
      <c r="O72" s="246"/>
      <c r="P72" s="247"/>
      <c r="Q72" s="248"/>
      <c r="R72" s="250"/>
      <c r="S72" s="249"/>
      <c r="T72" s="366"/>
      <c r="U72" s="246"/>
      <c r="V72" s="246"/>
      <c r="W72" s="248"/>
      <c r="X72" s="249"/>
      <c r="Y72" s="250"/>
      <c r="Z72" s="249"/>
    </row>
    <row r="73" spans="1:26" s="43" customFormat="1" ht="27" customHeight="1" thickBot="1" x14ac:dyDescent="0.3">
      <c r="A73" s="244">
        <f t="shared" si="3"/>
        <v>30</v>
      </c>
      <c r="B73" s="241"/>
      <c r="C73" s="242"/>
      <c r="D73" s="243"/>
      <c r="E73" s="103"/>
      <c r="F73" s="320"/>
      <c r="G73" s="245"/>
      <c r="H73" s="246"/>
      <c r="I73" s="246"/>
      <c r="J73" s="247"/>
      <c r="K73" s="248"/>
      <c r="L73" s="249"/>
      <c r="M73" s="355"/>
      <c r="N73" s="356"/>
      <c r="O73" s="356"/>
      <c r="P73" s="357"/>
      <c r="Q73" s="368"/>
      <c r="R73" s="358"/>
      <c r="S73" s="354"/>
      <c r="T73" s="366"/>
      <c r="U73" s="246"/>
      <c r="V73" s="246"/>
      <c r="W73" s="248"/>
      <c r="X73" s="249"/>
      <c r="Y73" s="250"/>
      <c r="Z73" s="354"/>
    </row>
    <row r="74" spans="1:26" s="26" customFormat="1" ht="9.75" customHeight="1" thickBot="1" x14ac:dyDescent="0.25">
      <c r="A74" s="359"/>
      <c r="B74" s="360"/>
      <c r="C74" s="361"/>
      <c r="D74" s="360"/>
      <c r="E74" s="360"/>
    </row>
    <row r="75" spans="1:26" s="11" customFormat="1" x14ac:dyDescent="0.2">
      <c r="A75" s="60" t="s">
        <v>75</v>
      </c>
      <c r="B75" s="8"/>
      <c r="C75" s="45"/>
      <c r="D75" s="8"/>
      <c r="E75" s="8"/>
      <c r="F75" s="125" t="s">
        <v>76</v>
      </c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8"/>
      <c r="T75" s="125" t="s">
        <v>77</v>
      </c>
      <c r="U75" s="8"/>
      <c r="V75" s="8"/>
      <c r="W75" s="8"/>
      <c r="X75" s="8"/>
      <c r="Y75" s="8"/>
      <c r="Z75" s="10"/>
    </row>
    <row r="76" spans="1:26" s="11" customFormat="1" ht="12.75" customHeight="1" x14ac:dyDescent="0.2">
      <c r="A76" s="137" t="s">
        <v>8</v>
      </c>
      <c r="B76" s="138" t="s">
        <v>157</v>
      </c>
      <c r="C76" s="132"/>
      <c r="D76" s="132"/>
      <c r="E76" s="132"/>
      <c r="F76" s="130" t="s">
        <v>8</v>
      </c>
      <c r="G76" s="457" t="s">
        <v>134</v>
      </c>
      <c r="H76" s="457"/>
      <c r="I76" s="457"/>
      <c r="J76" s="457"/>
      <c r="K76" s="457"/>
      <c r="L76" s="457"/>
      <c r="M76" s="457"/>
      <c r="N76" s="457"/>
      <c r="O76" s="457"/>
      <c r="P76" s="457"/>
      <c r="Q76" s="457"/>
      <c r="R76" s="457"/>
      <c r="S76" s="132"/>
      <c r="T76" s="11" t="s">
        <v>95</v>
      </c>
      <c r="Z76" s="13"/>
    </row>
    <row r="77" spans="1:26" s="11" customFormat="1" ht="11.25" x14ac:dyDescent="0.2">
      <c r="A77" s="139"/>
      <c r="B77" s="138" t="s">
        <v>158</v>
      </c>
      <c r="C77" s="132"/>
      <c r="D77" s="132"/>
      <c r="E77" s="132"/>
      <c r="F77" s="129"/>
      <c r="G77" s="457"/>
      <c r="H77" s="457"/>
      <c r="I77" s="457"/>
      <c r="J77" s="457"/>
      <c r="K77" s="457"/>
      <c r="L77" s="457"/>
      <c r="M77" s="457"/>
      <c r="N77" s="457"/>
      <c r="O77" s="457"/>
      <c r="P77" s="457"/>
      <c r="Q77" s="457"/>
      <c r="R77" s="457"/>
      <c r="S77" s="132"/>
      <c r="T77" s="11" t="s">
        <v>96</v>
      </c>
      <c r="Z77" s="13"/>
    </row>
    <row r="78" spans="1:26" s="11" customFormat="1" ht="11.25" customHeight="1" x14ac:dyDescent="0.2">
      <c r="A78" s="137" t="s">
        <v>9</v>
      </c>
      <c r="B78" s="126" t="s">
        <v>82</v>
      </c>
      <c r="C78" s="46"/>
      <c r="F78" s="130" t="s">
        <v>9</v>
      </c>
      <c r="G78" s="11" t="s">
        <v>78</v>
      </c>
      <c r="Z78" s="13"/>
    </row>
    <row r="79" spans="1:26" s="11" customFormat="1" ht="12.75" customHeight="1" x14ac:dyDescent="0.2">
      <c r="A79" s="137" t="s">
        <v>11</v>
      </c>
      <c r="B79" s="126" t="s">
        <v>83</v>
      </c>
      <c r="C79" s="46"/>
      <c r="F79" s="130" t="s">
        <v>11</v>
      </c>
      <c r="G79" s="11" t="s">
        <v>79</v>
      </c>
      <c r="J79" s="12"/>
      <c r="K79" s="12"/>
      <c r="L79" s="14"/>
      <c r="S79" s="12"/>
      <c r="Z79" s="13"/>
    </row>
    <row r="80" spans="1:26" s="11" customFormat="1" ht="12.75" customHeight="1" x14ac:dyDescent="0.2">
      <c r="A80" s="137" t="s">
        <v>12</v>
      </c>
      <c r="B80" s="126" t="s">
        <v>84</v>
      </c>
      <c r="C80" s="46"/>
      <c r="F80" s="130" t="s">
        <v>12</v>
      </c>
      <c r="G80" s="459" t="s">
        <v>80</v>
      </c>
      <c r="H80" s="459"/>
      <c r="I80" s="459"/>
      <c r="J80" s="459"/>
      <c r="K80" s="459"/>
      <c r="L80" s="459"/>
      <c r="M80" s="459"/>
      <c r="N80" s="459"/>
      <c r="O80" s="459"/>
      <c r="P80" s="459"/>
      <c r="Q80" s="459"/>
      <c r="R80" s="459"/>
      <c r="S80" s="157"/>
      <c r="Z80" s="13"/>
    </row>
    <row r="81" spans="1:49" s="11" customFormat="1" ht="11.25" customHeight="1" x14ac:dyDescent="0.2">
      <c r="A81" s="137" t="s">
        <v>13</v>
      </c>
      <c r="B81" s="126" t="s">
        <v>85</v>
      </c>
      <c r="C81" s="46"/>
      <c r="F81" s="129"/>
      <c r="G81" s="459"/>
      <c r="H81" s="459"/>
      <c r="I81" s="459"/>
      <c r="J81" s="459"/>
      <c r="K81" s="459"/>
      <c r="L81" s="459"/>
      <c r="M81" s="459"/>
      <c r="N81" s="459"/>
      <c r="O81" s="459"/>
      <c r="P81" s="459"/>
      <c r="Q81" s="459"/>
      <c r="R81" s="459"/>
      <c r="S81" s="157"/>
      <c r="Z81" s="13"/>
    </row>
    <row r="82" spans="1:49" s="11" customFormat="1" ht="13.5" customHeight="1" thickBot="1" x14ac:dyDescent="0.25">
      <c r="A82" s="127"/>
      <c r="B82" s="15"/>
      <c r="C82" s="47"/>
      <c r="D82" s="15"/>
      <c r="E82" s="15"/>
      <c r="F82" s="131" t="s">
        <v>13</v>
      </c>
      <c r="G82" s="458" t="s">
        <v>81</v>
      </c>
      <c r="H82" s="458"/>
      <c r="I82" s="458"/>
      <c r="J82" s="458"/>
      <c r="K82" s="458"/>
      <c r="L82" s="458"/>
      <c r="M82" s="458"/>
      <c r="N82" s="458"/>
      <c r="O82" s="458"/>
      <c r="P82" s="458"/>
      <c r="Q82" s="458"/>
      <c r="R82" s="458"/>
      <c r="S82" s="458"/>
      <c r="T82" s="15"/>
      <c r="U82" s="15"/>
      <c r="V82" s="15"/>
      <c r="W82" s="15"/>
      <c r="X82" s="15"/>
      <c r="Y82" s="15"/>
      <c r="Z82" s="16"/>
    </row>
    <row r="83" spans="1:49" s="18" customFormat="1" ht="16.5" customHeight="1" x14ac:dyDescent="0.2">
      <c r="A83" s="134" t="s">
        <v>105</v>
      </c>
      <c r="C83" s="19"/>
      <c r="AV83" s="19"/>
      <c r="AW83" s="19"/>
    </row>
    <row r="84" spans="1:49" s="18" customFormat="1" ht="5.25" customHeight="1" x14ac:dyDescent="0.2">
      <c r="C84" s="19"/>
      <c r="AM84" s="19"/>
      <c r="AN84" s="19"/>
    </row>
    <row r="85" spans="1:49" s="88" customFormat="1" ht="15" x14ac:dyDescent="0.25">
      <c r="B85" s="88" t="s">
        <v>53</v>
      </c>
      <c r="C85" s="89"/>
      <c r="E85" s="88" t="s">
        <v>54</v>
      </c>
      <c r="R85" s="88" t="s">
        <v>55</v>
      </c>
      <c r="AR85" s="89"/>
      <c r="AS85" s="89"/>
    </row>
    <row r="86" spans="1:49" s="18" customFormat="1" ht="19.5" customHeight="1" x14ac:dyDescent="0.2">
      <c r="C86" s="19"/>
      <c r="AR86" s="19"/>
      <c r="AS86" s="19"/>
    </row>
    <row r="87" spans="1:49" s="18" customFormat="1" ht="19.5" customHeight="1" x14ac:dyDescent="0.2">
      <c r="C87" s="19"/>
      <c r="AR87" s="19"/>
      <c r="AS87" s="19"/>
    </row>
    <row r="88" spans="1:49" s="18" customFormat="1" ht="17.25" customHeight="1" x14ac:dyDescent="0.2">
      <c r="B88" s="90"/>
      <c r="C88" s="19"/>
      <c r="E88" s="90"/>
      <c r="F88" s="90"/>
      <c r="G88" s="90"/>
      <c r="H88" s="90"/>
      <c r="I88" s="90"/>
      <c r="J88" s="90"/>
      <c r="K88" s="90"/>
      <c r="L88" s="90"/>
      <c r="R88" s="90"/>
      <c r="S88" s="90"/>
      <c r="T88" s="90"/>
      <c r="U88" s="90"/>
      <c r="V88" s="90"/>
      <c r="W88" s="90"/>
      <c r="X88" s="90"/>
      <c r="Y88" s="90"/>
      <c r="AR88" s="19"/>
      <c r="AS88" s="19"/>
    </row>
    <row r="89" spans="1:49" s="18" customFormat="1" ht="23.25" customHeight="1" x14ac:dyDescent="0.2">
      <c r="B89" s="18" t="s">
        <v>56</v>
      </c>
      <c r="C89" s="19"/>
      <c r="E89" s="18" t="s">
        <v>56</v>
      </c>
      <c r="R89" s="18" t="s">
        <v>57</v>
      </c>
      <c r="AR89" s="19"/>
      <c r="AS89" s="19"/>
    </row>
    <row r="90" spans="1:49" s="18" customFormat="1" ht="18" customHeight="1" x14ac:dyDescent="0.2">
      <c r="B90" s="18" t="s">
        <v>58</v>
      </c>
      <c r="C90" s="19"/>
      <c r="E90" s="18" t="s">
        <v>59</v>
      </c>
      <c r="R90" s="18" t="s">
        <v>58</v>
      </c>
      <c r="AR90" s="19"/>
      <c r="AS90" s="19"/>
    </row>
    <row r="91" spans="1:49" ht="8.25" customHeight="1" thickBot="1" x14ac:dyDescent="0.25"/>
    <row r="92" spans="1:49" s="43" customFormat="1" ht="27" customHeight="1" x14ac:dyDescent="0.25">
      <c r="A92" s="244">
        <v>31</v>
      </c>
      <c r="B92" s="241"/>
      <c r="C92" s="242"/>
      <c r="D92" s="243"/>
      <c r="E92" s="97"/>
      <c r="F92" s="315"/>
      <c r="G92" s="245"/>
      <c r="H92" s="246"/>
      <c r="I92" s="246"/>
      <c r="J92" s="247"/>
      <c r="K92" s="248"/>
      <c r="L92" s="249"/>
      <c r="M92" s="245"/>
      <c r="N92" s="246"/>
      <c r="O92" s="246"/>
      <c r="P92" s="247"/>
      <c r="Q92" s="248"/>
      <c r="R92" s="250"/>
      <c r="S92" s="249"/>
      <c r="T92" s="366"/>
      <c r="U92" s="246"/>
      <c r="V92" s="246"/>
      <c r="W92" s="248"/>
      <c r="X92" s="249"/>
      <c r="Y92" s="250"/>
      <c r="Z92" s="369"/>
    </row>
    <row r="93" spans="1:49" s="43" customFormat="1" ht="27" customHeight="1" x14ac:dyDescent="0.25">
      <c r="A93" s="244">
        <f>A92+1</f>
        <v>32</v>
      </c>
      <c r="B93" s="241"/>
      <c r="C93" s="242"/>
      <c r="D93" s="243"/>
      <c r="E93" s="97"/>
      <c r="F93" s="315"/>
      <c r="G93" s="245"/>
      <c r="H93" s="246"/>
      <c r="I93" s="246"/>
      <c r="J93" s="247"/>
      <c r="K93" s="248"/>
      <c r="L93" s="249"/>
      <c r="M93" s="245"/>
      <c r="N93" s="246"/>
      <c r="O93" s="246"/>
      <c r="P93" s="247"/>
      <c r="Q93" s="248"/>
      <c r="R93" s="250"/>
      <c r="S93" s="249"/>
      <c r="T93" s="366"/>
      <c r="U93" s="246"/>
      <c r="V93" s="246"/>
      <c r="W93" s="248"/>
      <c r="X93" s="249"/>
      <c r="Y93" s="250"/>
      <c r="Z93" s="249"/>
    </row>
    <row r="94" spans="1:49" s="43" customFormat="1" ht="27" customHeight="1" x14ac:dyDescent="0.25">
      <c r="A94" s="244">
        <f t="shared" ref="A94:A101" si="4">A93+1</f>
        <v>33</v>
      </c>
      <c r="B94" s="241"/>
      <c r="C94" s="242"/>
      <c r="D94" s="243"/>
      <c r="E94" s="97"/>
      <c r="F94" s="315"/>
      <c r="G94" s="245"/>
      <c r="H94" s="246"/>
      <c r="I94" s="246"/>
      <c r="J94" s="247"/>
      <c r="K94" s="248"/>
      <c r="L94" s="249"/>
      <c r="M94" s="245"/>
      <c r="N94" s="246"/>
      <c r="O94" s="246"/>
      <c r="P94" s="247"/>
      <c r="Q94" s="248"/>
      <c r="R94" s="250"/>
      <c r="S94" s="249"/>
      <c r="T94" s="366"/>
      <c r="U94" s="246"/>
      <c r="V94" s="246"/>
      <c r="W94" s="248"/>
      <c r="X94" s="249"/>
      <c r="Y94" s="250"/>
      <c r="Z94" s="249"/>
    </row>
    <row r="95" spans="1:49" s="43" customFormat="1" ht="27" customHeight="1" x14ac:dyDescent="0.25">
      <c r="A95" s="244">
        <f t="shared" si="4"/>
        <v>34</v>
      </c>
      <c r="B95" s="241"/>
      <c r="C95" s="242"/>
      <c r="D95" s="243"/>
      <c r="E95" s="97"/>
      <c r="F95" s="315"/>
      <c r="G95" s="245"/>
      <c r="H95" s="246"/>
      <c r="I95" s="246"/>
      <c r="J95" s="247"/>
      <c r="K95" s="248"/>
      <c r="L95" s="249"/>
      <c r="M95" s="245"/>
      <c r="N95" s="246"/>
      <c r="O95" s="246"/>
      <c r="P95" s="247"/>
      <c r="Q95" s="248"/>
      <c r="R95" s="250"/>
      <c r="S95" s="249"/>
      <c r="T95" s="366"/>
      <c r="U95" s="246"/>
      <c r="V95" s="246"/>
      <c r="W95" s="248"/>
      <c r="X95" s="249"/>
      <c r="Y95" s="250"/>
      <c r="Z95" s="249"/>
    </row>
    <row r="96" spans="1:49" s="43" customFormat="1" ht="27" customHeight="1" x14ac:dyDescent="0.25">
      <c r="A96" s="244">
        <f t="shared" si="4"/>
        <v>35</v>
      </c>
      <c r="B96" s="241"/>
      <c r="C96" s="242"/>
      <c r="D96" s="243"/>
      <c r="E96" s="97"/>
      <c r="F96" s="315"/>
      <c r="G96" s="245"/>
      <c r="H96" s="246"/>
      <c r="I96" s="246"/>
      <c r="J96" s="247"/>
      <c r="K96" s="248"/>
      <c r="L96" s="249"/>
      <c r="M96" s="245"/>
      <c r="N96" s="246"/>
      <c r="O96" s="246"/>
      <c r="P96" s="247"/>
      <c r="Q96" s="248"/>
      <c r="R96" s="250"/>
      <c r="S96" s="249"/>
      <c r="T96" s="366"/>
      <c r="U96" s="246"/>
      <c r="V96" s="246"/>
      <c r="W96" s="248"/>
      <c r="X96" s="249"/>
      <c r="Y96" s="250"/>
      <c r="Z96" s="249"/>
    </row>
    <row r="97" spans="1:49" s="43" customFormat="1" ht="27" customHeight="1" x14ac:dyDescent="0.25">
      <c r="A97" s="244">
        <f t="shared" si="4"/>
        <v>36</v>
      </c>
      <c r="B97" s="241"/>
      <c r="C97" s="242"/>
      <c r="D97" s="243"/>
      <c r="E97" s="97"/>
      <c r="F97" s="315"/>
      <c r="G97" s="245"/>
      <c r="H97" s="246"/>
      <c r="I97" s="246"/>
      <c r="J97" s="247"/>
      <c r="K97" s="248"/>
      <c r="L97" s="249"/>
      <c r="M97" s="245"/>
      <c r="N97" s="246"/>
      <c r="O97" s="246"/>
      <c r="P97" s="247"/>
      <c r="Q97" s="248"/>
      <c r="R97" s="250"/>
      <c r="S97" s="249"/>
      <c r="T97" s="366"/>
      <c r="U97" s="246"/>
      <c r="V97" s="246"/>
      <c r="W97" s="248"/>
      <c r="X97" s="249"/>
      <c r="Y97" s="250"/>
      <c r="Z97" s="249"/>
    </row>
    <row r="98" spans="1:49" s="43" customFormat="1" ht="27" customHeight="1" x14ac:dyDescent="0.25">
      <c r="A98" s="244">
        <f t="shared" si="4"/>
        <v>37</v>
      </c>
      <c r="B98" s="241"/>
      <c r="C98" s="242"/>
      <c r="D98" s="243"/>
      <c r="E98" s="97"/>
      <c r="F98" s="315"/>
      <c r="G98" s="245"/>
      <c r="H98" s="246"/>
      <c r="I98" s="246"/>
      <c r="J98" s="247"/>
      <c r="K98" s="248"/>
      <c r="L98" s="249"/>
      <c r="M98" s="245"/>
      <c r="N98" s="246"/>
      <c r="O98" s="246"/>
      <c r="P98" s="247"/>
      <c r="Q98" s="248"/>
      <c r="R98" s="250"/>
      <c r="S98" s="249"/>
      <c r="T98" s="366"/>
      <c r="U98" s="246"/>
      <c r="V98" s="246"/>
      <c r="W98" s="248"/>
      <c r="X98" s="249"/>
      <c r="Y98" s="250"/>
      <c r="Z98" s="249"/>
    </row>
    <row r="99" spans="1:49" s="43" customFormat="1" ht="27" customHeight="1" x14ac:dyDescent="0.25">
      <c r="A99" s="244">
        <f t="shared" si="4"/>
        <v>38</v>
      </c>
      <c r="B99" s="241"/>
      <c r="C99" s="242"/>
      <c r="D99" s="243"/>
      <c r="E99" s="97"/>
      <c r="F99" s="315"/>
      <c r="G99" s="245"/>
      <c r="H99" s="246"/>
      <c r="I99" s="246"/>
      <c r="J99" s="247"/>
      <c r="K99" s="248"/>
      <c r="L99" s="249"/>
      <c r="M99" s="245"/>
      <c r="N99" s="246"/>
      <c r="O99" s="246"/>
      <c r="P99" s="247"/>
      <c r="Q99" s="248"/>
      <c r="R99" s="250"/>
      <c r="S99" s="249"/>
      <c r="T99" s="366"/>
      <c r="U99" s="246"/>
      <c r="V99" s="246"/>
      <c r="W99" s="248"/>
      <c r="X99" s="249"/>
      <c r="Y99" s="250"/>
      <c r="Z99" s="249"/>
    </row>
    <row r="100" spans="1:49" s="43" customFormat="1" ht="27" customHeight="1" x14ac:dyDescent="0.25">
      <c r="A100" s="244">
        <f t="shared" si="4"/>
        <v>39</v>
      </c>
      <c r="B100" s="241"/>
      <c r="C100" s="242"/>
      <c r="D100" s="243"/>
      <c r="E100" s="103"/>
      <c r="F100" s="320"/>
      <c r="G100" s="245"/>
      <c r="H100" s="246"/>
      <c r="I100" s="246"/>
      <c r="J100" s="247"/>
      <c r="K100" s="248"/>
      <c r="L100" s="249"/>
      <c r="M100" s="245"/>
      <c r="N100" s="246"/>
      <c r="O100" s="246"/>
      <c r="P100" s="247"/>
      <c r="Q100" s="248"/>
      <c r="R100" s="250"/>
      <c r="S100" s="249"/>
      <c r="T100" s="366"/>
      <c r="U100" s="246"/>
      <c r="V100" s="246"/>
      <c r="W100" s="248"/>
      <c r="X100" s="249"/>
      <c r="Y100" s="250"/>
      <c r="Z100" s="249"/>
    </row>
    <row r="101" spans="1:49" s="43" customFormat="1" ht="27" customHeight="1" thickBot="1" x14ac:dyDescent="0.3">
      <c r="A101" s="244">
        <f t="shared" si="4"/>
        <v>40</v>
      </c>
      <c r="B101" s="241"/>
      <c r="C101" s="242"/>
      <c r="D101" s="243"/>
      <c r="E101" s="103"/>
      <c r="F101" s="320"/>
      <c r="G101" s="245"/>
      <c r="H101" s="246"/>
      <c r="I101" s="246"/>
      <c r="J101" s="247"/>
      <c r="K101" s="248"/>
      <c r="L101" s="249"/>
      <c r="M101" s="355"/>
      <c r="N101" s="356"/>
      <c r="O101" s="356"/>
      <c r="P101" s="357"/>
      <c r="Q101" s="368"/>
      <c r="R101" s="358"/>
      <c r="S101" s="354"/>
      <c r="T101" s="366"/>
      <c r="U101" s="246"/>
      <c r="V101" s="246"/>
      <c r="W101" s="248"/>
      <c r="X101" s="249"/>
      <c r="Y101" s="250"/>
      <c r="Z101" s="354"/>
    </row>
    <row r="102" spans="1:49" s="26" customFormat="1" ht="9.75" customHeight="1" thickBot="1" x14ac:dyDescent="0.25">
      <c r="A102" s="359"/>
      <c r="B102" s="360"/>
      <c r="C102" s="361"/>
      <c r="D102" s="360"/>
      <c r="E102" s="360"/>
    </row>
    <row r="103" spans="1:49" s="11" customFormat="1" x14ac:dyDescent="0.2">
      <c r="A103" s="60" t="s">
        <v>75</v>
      </c>
      <c r="B103" s="8"/>
      <c r="C103" s="45"/>
      <c r="D103" s="8"/>
      <c r="E103" s="8"/>
      <c r="F103" s="125" t="s">
        <v>76</v>
      </c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8"/>
      <c r="T103" s="125" t="s">
        <v>77</v>
      </c>
      <c r="U103" s="8"/>
      <c r="V103" s="8"/>
      <c r="W103" s="8"/>
      <c r="X103" s="8"/>
      <c r="Y103" s="8"/>
      <c r="Z103" s="10"/>
    </row>
    <row r="104" spans="1:49" s="11" customFormat="1" ht="12.75" customHeight="1" x14ac:dyDescent="0.2">
      <c r="A104" s="137" t="s">
        <v>8</v>
      </c>
      <c r="B104" s="138" t="s">
        <v>157</v>
      </c>
      <c r="C104" s="132"/>
      <c r="D104" s="132"/>
      <c r="E104" s="132"/>
      <c r="F104" s="130" t="s">
        <v>8</v>
      </c>
      <c r="G104" s="457" t="s">
        <v>134</v>
      </c>
      <c r="H104" s="457"/>
      <c r="I104" s="457"/>
      <c r="J104" s="457"/>
      <c r="K104" s="457"/>
      <c r="L104" s="457"/>
      <c r="M104" s="457"/>
      <c r="N104" s="457"/>
      <c r="O104" s="457"/>
      <c r="P104" s="457"/>
      <c r="Q104" s="457"/>
      <c r="R104" s="457"/>
      <c r="S104" s="132"/>
      <c r="T104" s="11" t="s">
        <v>95</v>
      </c>
      <c r="Z104" s="13"/>
    </row>
    <row r="105" spans="1:49" s="11" customFormat="1" ht="11.25" x14ac:dyDescent="0.2">
      <c r="A105" s="139"/>
      <c r="B105" s="138" t="s">
        <v>158</v>
      </c>
      <c r="C105" s="132"/>
      <c r="D105" s="132"/>
      <c r="E105" s="132"/>
      <c r="F105" s="129"/>
      <c r="G105" s="457"/>
      <c r="H105" s="457"/>
      <c r="I105" s="457"/>
      <c r="J105" s="457"/>
      <c r="K105" s="457"/>
      <c r="L105" s="457"/>
      <c r="M105" s="457"/>
      <c r="N105" s="457"/>
      <c r="O105" s="457"/>
      <c r="P105" s="457"/>
      <c r="Q105" s="457"/>
      <c r="R105" s="457"/>
      <c r="S105" s="132"/>
      <c r="T105" s="11" t="s">
        <v>96</v>
      </c>
      <c r="Z105" s="13"/>
    </row>
    <row r="106" spans="1:49" s="11" customFormat="1" ht="11.25" customHeight="1" x14ac:dyDescent="0.2">
      <c r="A106" s="137" t="s">
        <v>9</v>
      </c>
      <c r="B106" s="126" t="s">
        <v>82</v>
      </c>
      <c r="C106" s="46"/>
      <c r="F106" s="130" t="s">
        <v>9</v>
      </c>
      <c r="G106" s="11" t="s">
        <v>78</v>
      </c>
      <c r="Z106" s="13"/>
    </row>
    <row r="107" spans="1:49" s="11" customFormat="1" ht="12.75" customHeight="1" x14ac:dyDescent="0.2">
      <c r="A107" s="137" t="s">
        <v>11</v>
      </c>
      <c r="B107" s="126" t="s">
        <v>83</v>
      </c>
      <c r="C107" s="46"/>
      <c r="F107" s="130" t="s">
        <v>11</v>
      </c>
      <c r="G107" s="11" t="s">
        <v>79</v>
      </c>
      <c r="J107" s="12"/>
      <c r="K107" s="12"/>
      <c r="L107" s="14"/>
      <c r="S107" s="12"/>
      <c r="Z107" s="13"/>
    </row>
    <row r="108" spans="1:49" s="11" customFormat="1" ht="12.75" customHeight="1" x14ac:dyDescent="0.2">
      <c r="A108" s="137" t="s">
        <v>12</v>
      </c>
      <c r="B108" s="126" t="s">
        <v>84</v>
      </c>
      <c r="C108" s="46"/>
      <c r="F108" s="130" t="s">
        <v>12</v>
      </c>
      <c r="G108" s="459" t="s">
        <v>80</v>
      </c>
      <c r="H108" s="459"/>
      <c r="I108" s="459"/>
      <c r="J108" s="459"/>
      <c r="K108" s="459"/>
      <c r="L108" s="459"/>
      <c r="M108" s="459"/>
      <c r="N108" s="459"/>
      <c r="O108" s="459"/>
      <c r="P108" s="459"/>
      <c r="Q108" s="459"/>
      <c r="R108" s="459"/>
      <c r="S108" s="157"/>
      <c r="Z108" s="13"/>
    </row>
    <row r="109" spans="1:49" s="11" customFormat="1" ht="11.25" customHeight="1" x14ac:dyDescent="0.2">
      <c r="A109" s="137" t="s">
        <v>13</v>
      </c>
      <c r="B109" s="126" t="s">
        <v>85</v>
      </c>
      <c r="C109" s="46"/>
      <c r="F109" s="129"/>
      <c r="G109" s="459"/>
      <c r="H109" s="459"/>
      <c r="I109" s="459"/>
      <c r="J109" s="459"/>
      <c r="K109" s="459"/>
      <c r="L109" s="459"/>
      <c r="M109" s="459"/>
      <c r="N109" s="459"/>
      <c r="O109" s="459"/>
      <c r="P109" s="459"/>
      <c r="Q109" s="459"/>
      <c r="R109" s="459"/>
      <c r="S109" s="157"/>
      <c r="Z109" s="13"/>
    </row>
    <row r="110" spans="1:49" s="11" customFormat="1" ht="13.5" customHeight="1" thickBot="1" x14ac:dyDescent="0.25">
      <c r="A110" s="127"/>
      <c r="B110" s="15"/>
      <c r="C110" s="47"/>
      <c r="D110" s="15"/>
      <c r="E110" s="15"/>
      <c r="F110" s="131" t="s">
        <v>13</v>
      </c>
      <c r="G110" s="458" t="s">
        <v>81</v>
      </c>
      <c r="H110" s="458"/>
      <c r="I110" s="458"/>
      <c r="J110" s="458"/>
      <c r="K110" s="458"/>
      <c r="L110" s="458"/>
      <c r="M110" s="458"/>
      <c r="N110" s="458"/>
      <c r="O110" s="458"/>
      <c r="P110" s="458"/>
      <c r="Q110" s="458"/>
      <c r="R110" s="458"/>
      <c r="S110" s="458"/>
      <c r="T110" s="15"/>
      <c r="U110" s="15"/>
      <c r="V110" s="15"/>
      <c r="W110" s="15"/>
      <c r="X110" s="15"/>
      <c r="Y110" s="15"/>
      <c r="Z110" s="16"/>
    </row>
    <row r="111" spans="1:49" s="18" customFormat="1" ht="16.5" customHeight="1" x14ac:dyDescent="0.2">
      <c r="A111" s="134" t="s">
        <v>105</v>
      </c>
      <c r="C111" s="19"/>
      <c r="AV111" s="19"/>
      <c r="AW111" s="19"/>
    </row>
    <row r="112" spans="1:49" s="18" customFormat="1" ht="5.25" customHeight="1" x14ac:dyDescent="0.2">
      <c r="C112" s="19"/>
      <c r="AM112" s="19"/>
      <c r="AN112" s="19"/>
    </row>
    <row r="113" spans="1:45" s="88" customFormat="1" ht="15" x14ac:dyDescent="0.25">
      <c r="B113" s="88" t="s">
        <v>53</v>
      </c>
      <c r="C113" s="89"/>
      <c r="E113" s="88" t="s">
        <v>54</v>
      </c>
      <c r="R113" s="88" t="s">
        <v>55</v>
      </c>
      <c r="AR113" s="89"/>
      <c r="AS113" s="89"/>
    </row>
    <row r="114" spans="1:45" s="18" customFormat="1" ht="19.5" customHeight="1" x14ac:dyDescent="0.2">
      <c r="C114" s="19"/>
      <c r="AR114" s="19"/>
      <c r="AS114" s="19"/>
    </row>
    <row r="115" spans="1:45" s="18" customFormat="1" ht="19.5" customHeight="1" x14ac:dyDescent="0.2">
      <c r="C115" s="19"/>
      <c r="AR115" s="19"/>
      <c r="AS115" s="19"/>
    </row>
    <row r="116" spans="1:45" s="18" customFormat="1" ht="17.25" customHeight="1" x14ac:dyDescent="0.2">
      <c r="B116" s="90"/>
      <c r="C116" s="19"/>
      <c r="E116" s="90"/>
      <c r="F116" s="90"/>
      <c r="G116" s="90"/>
      <c r="H116" s="90"/>
      <c r="I116" s="90"/>
      <c r="J116" s="90"/>
      <c r="K116" s="90"/>
      <c r="L116" s="90"/>
      <c r="R116" s="90"/>
      <c r="S116" s="90"/>
      <c r="T116" s="90"/>
      <c r="U116" s="90"/>
      <c r="V116" s="90"/>
      <c r="W116" s="90"/>
      <c r="X116" s="90"/>
      <c r="Y116" s="90"/>
      <c r="AR116" s="19"/>
      <c r="AS116" s="19"/>
    </row>
    <row r="117" spans="1:45" s="18" customFormat="1" ht="23.25" customHeight="1" x14ac:dyDescent="0.2">
      <c r="B117" s="18" t="s">
        <v>56</v>
      </c>
      <c r="C117" s="19"/>
      <c r="E117" s="18" t="s">
        <v>56</v>
      </c>
      <c r="R117" s="18" t="s">
        <v>57</v>
      </c>
      <c r="AR117" s="19"/>
      <c r="AS117" s="19"/>
    </row>
    <row r="118" spans="1:45" s="18" customFormat="1" ht="18" customHeight="1" x14ac:dyDescent="0.2">
      <c r="B118" s="18" t="s">
        <v>58</v>
      </c>
      <c r="C118" s="19"/>
      <c r="E118" s="18" t="s">
        <v>59</v>
      </c>
      <c r="R118" s="18" t="s">
        <v>58</v>
      </c>
      <c r="AR118" s="19"/>
      <c r="AS118" s="19"/>
    </row>
    <row r="119" spans="1:45" ht="8.25" customHeight="1" thickBot="1" x14ac:dyDescent="0.25"/>
    <row r="120" spans="1:45" s="43" customFormat="1" ht="27" customHeight="1" x14ac:dyDescent="0.25">
      <c r="A120" s="244">
        <v>41</v>
      </c>
      <c r="B120" s="241"/>
      <c r="C120" s="242"/>
      <c r="D120" s="243"/>
      <c r="E120" s="97"/>
      <c r="F120" s="315"/>
      <c r="G120" s="245"/>
      <c r="H120" s="246"/>
      <c r="I120" s="246"/>
      <c r="J120" s="247"/>
      <c r="K120" s="248"/>
      <c r="L120" s="249"/>
      <c r="M120" s="245"/>
      <c r="N120" s="246"/>
      <c r="O120" s="246"/>
      <c r="P120" s="247"/>
      <c r="Q120" s="248"/>
      <c r="R120" s="250"/>
      <c r="S120" s="249"/>
      <c r="T120" s="366"/>
      <c r="U120" s="246"/>
      <c r="V120" s="246"/>
      <c r="W120" s="248"/>
      <c r="X120" s="249"/>
      <c r="Y120" s="250"/>
      <c r="Z120" s="369"/>
    </row>
    <row r="121" spans="1:45" s="43" customFormat="1" ht="27" customHeight="1" x14ac:dyDescent="0.25">
      <c r="A121" s="244">
        <f>A120+1</f>
        <v>42</v>
      </c>
      <c r="B121" s="241"/>
      <c r="C121" s="242"/>
      <c r="D121" s="243"/>
      <c r="E121" s="97"/>
      <c r="F121" s="315"/>
      <c r="G121" s="245"/>
      <c r="H121" s="246"/>
      <c r="I121" s="246"/>
      <c r="J121" s="247"/>
      <c r="K121" s="248"/>
      <c r="L121" s="249"/>
      <c r="M121" s="245"/>
      <c r="N121" s="246"/>
      <c r="O121" s="246"/>
      <c r="P121" s="247"/>
      <c r="Q121" s="248"/>
      <c r="R121" s="250"/>
      <c r="S121" s="249"/>
      <c r="T121" s="366"/>
      <c r="U121" s="246"/>
      <c r="V121" s="246"/>
      <c r="W121" s="248"/>
      <c r="X121" s="249"/>
      <c r="Y121" s="250"/>
      <c r="Z121" s="249"/>
    </row>
    <row r="122" spans="1:45" s="43" customFormat="1" ht="27" customHeight="1" x14ac:dyDescent="0.25">
      <c r="A122" s="244">
        <f t="shared" ref="A122:A129" si="5">A121+1</f>
        <v>43</v>
      </c>
      <c r="B122" s="241"/>
      <c r="C122" s="242"/>
      <c r="D122" s="243"/>
      <c r="E122" s="97"/>
      <c r="F122" s="315"/>
      <c r="G122" s="245"/>
      <c r="H122" s="246"/>
      <c r="I122" s="246"/>
      <c r="J122" s="247"/>
      <c r="K122" s="248"/>
      <c r="L122" s="249"/>
      <c r="M122" s="245"/>
      <c r="N122" s="246"/>
      <c r="O122" s="246"/>
      <c r="P122" s="247"/>
      <c r="Q122" s="248"/>
      <c r="R122" s="250"/>
      <c r="S122" s="249"/>
      <c r="T122" s="366"/>
      <c r="U122" s="246"/>
      <c r="V122" s="246"/>
      <c r="W122" s="248"/>
      <c r="X122" s="249"/>
      <c r="Y122" s="250"/>
      <c r="Z122" s="249"/>
    </row>
    <row r="123" spans="1:45" s="43" customFormat="1" ht="27" customHeight="1" x14ac:dyDescent="0.25">
      <c r="A123" s="244">
        <f t="shared" si="5"/>
        <v>44</v>
      </c>
      <c r="B123" s="241"/>
      <c r="C123" s="242"/>
      <c r="D123" s="243"/>
      <c r="E123" s="97"/>
      <c r="F123" s="315"/>
      <c r="G123" s="245"/>
      <c r="H123" s="246"/>
      <c r="I123" s="246"/>
      <c r="J123" s="247"/>
      <c r="K123" s="248"/>
      <c r="L123" s="249"/>
      <c r="M123" s="245"/>
      <c r="N123" s="246"/>
      <c r="O123" s="246"/>
      <c r="P123" s="247"/>
      <c r="Q123" s="248"/>
      <c r="R123" s="250"/>
      <c r="S123" s="249"/>
      <c r="T123" s="366"/>
      <c r="U123" s="246"/>
      <c r="V123" s="246"/>
      <c r="W123" s="248"/>
      <c r="X123" s="249"/>
      <c r="Y123" s="250"/>
      <c r="Z123" s="249"/>
    </row>
    <row r="124" spans="1:45" s="43" customFormat="1" ht="27" customHeight="1" x14ac:dyDescent="0.25">
      <c r="A124" s="244">
        <f t="shared" si="5"/>
        <v>45</v>
      </c>
      <c r="B124" s="241"/>
      <c r="C124" s="242"/>
      <c r="D124" s="243"/>
      <c r="E124" s="97"/>
      <c r="F124" s="315"/>
      <c r="G124" s="245"/>
      <c r="H124" s="246"/>
      <c r="I124" s="246"/>
      <c r="J124" s="247"/>
      <c r="K124" s="248"/>
      <c r="L124" s="249"/>
      <c r="M124" s="245"/>
      <c r="N124" s="246"/>
      <c r="O124" s="246"/>
      <c r="P124" s="247"/>
      <c r="Q124" s="248"/>
      <c r="R124" s="250"/>
      <c r="S124" s="249"/>
      <c r="T124" s="366"/>
      <c r="U124" s="246"/>
      <c r="V124" s="246"/>
      <c r="W124" s="248"/>
      <c r="X124" s="249"/>
      <c r="Y124" s="250"/>
      <c r="Z124" s="249"/>
    </row>
    <row r="125" spans="1:45" s="43" customFormat="1" ht="27" customHeight="1" x14ac:dyDescent="0.25">
      <c r="A125" s="244">
        <f t="shared" si="5"/>
        <v>46</v>
      </c>
      <c r="B125" s="241"/>
      <c r="C125" s="242"/>
      <c r="D125" s="243"/>
      <c r="E125" s="97"/>
      <c r="F125" s="315"/>
      <c r="G125" s="245"/>
      <c r="H125" s="246"/>
      <c r="I125" s="246"/>
      <c r="J125" s="247"/>
      <c r="K125" s="248"/>
      <c r="L125" s="249"/>
      <c r="M125" s="245"/>
      <c r="N125" s="246"/>
      <c r="O125" s="246"/>
      <c r="P125" s="247"/>
      <c r="Q125" s="248"/>
      <c r="R125" s="250"/>
      <c r="S125" s="249"/>
      <c r="T125" s="366"/>
      <c r="U125" s="246"/>
      <c r="V125" s="246"/>
      <c r="W125" s="248"/>
      <c r="X125" s="249"/>
      <c r="Y125" s="250"/>
      <c r="Z125" s="249"/>
    </row>
    <row r="126" spans="1:45" s="43" customFormat="1" ht="27" customHeight="1" x14ac:dyDescent="0.25">
      <c r="A126" s="244">
        <f t="shared" si="5"/>
        <v>47</v>
      </c>
      <c r="B126" s="241"/>
      <c r="C126" s="242"/>
      <c r="D126" s="243"/>
      <c r="E126" s="97"/>
      <c r="F126" s="315"/>
      <c r="G126" s="245"/>
      <c r="H126" s="246"/>
      <c r="I126" s="246"/>
      <c r="J126" s="247"/>
      <c r="K126" s="248"/>
      <c r="L126" s="249"/>
      <c r="M126" s="245"/>
      <c r="N126" s="246"/>
      <c r="O126" s="246"/>
      <c r="P126" s="247"/>
      <c r="Q126" s="248"/>
      <c r="R126" s="250"/>
      <c r="S126" s="249"/>
      <c r="T126" s="366"/>
      <c r="U126" s="246"/>
      <c r="V126" s="246"/>
      <c r="W126" s="248"/>
      <c r="X126" s="249"/>
      <c r="Y126" s="250"/>
      <c r="Z126" s="249"/>
    </row>
    <row r="127" spans="1:45" s="43" customFormat="1" ht="27" customHeight="1" x14ac:dyDescent="0.25">
      <c r="A127" s="244">
        <f t="shared" si="5"/>
        <v>48</v>
      </c>
      <c r="B127" s="241"/>
      <c r="C127" s="242"/>
      <c r="D127" s="243"/>
      <c r="E127" s="97"/>
      <c r="F127" s="315"/>
      <c r="G127" s="245"/>
      <c r="H127" s="246"/>
      <c r="I127" s="246"/>
      <c r="J127" s="247"/>
      <c r="K127" s="248"/>
      <c r="L127" s="249"/>
      <c r="M127" s="245"/>
      <c r="N127" s="246"/>
      <c r="O127" s="246"/>
      <c r="P127" s="247"/>
      <c r="Q127" s="248"/>
      <c r="R127" s="250"/>
      <c r="S127" s="249"/>
      <c r="T127" s="366"/>
      <c r="U127" s="246"/>
      <c r="V127" s="246"/>
      <c r="W127" s="248"/>
      <c r="X127" s="249"/>
      <c r="Y127" s="250"/>
      <c r="Z127" s="249"/>
    </row>
    <row r="128" spans="1:45" s="43" customFormat="1" ht="27" customHeight="1" x14ac:dyDescent="0.25">
      <c r="A128" s="244">
        <f t="shared" si="5"/>
        <v>49</v>
      </c>
      <c r="B128" s="241"/>
      <c r="C128" s="242"/>
      <c r="D128" s="243"/>
      <c r="E128" s="103"/>
      <c r="F128" s="320"/>
      <c r="G128" s="245"/>
      <c r="H128" s="246"/>
      <c r="I128" s="246"/>
      <c r="J128" s="247"/>
      <c r="K128" s="248"/>
      <c r="L128" s="249"/>
      <c r="M128" s="245"/>
      <c r="N128" s="246"/>
      <c r="O128" s="246"/>
      <c r="P128" s="247"/>
      <c r="Q128" s="248"/>
      <c r="R128" s="250"/>
      <c r="S128" s="249"/>
      <c r="T128" s="366"/>
      <c r="U128" s="246"/>
      <c r="V128" s="246"/>
      <c r="W128" s="248"/>
      <c r="X128" s="249"/>
      <c r="Y128" s="250"/>
      <c r="Z128" s="249"/>
    </row>
    <row r="129" spans="1:49" s="43" customFormat="1" ht="27" customHeight="1" thickBot="1" x14ac:dyDescent="0.3">
      <c r="A129" s="244">
        <f t="shared" si="5"/>
        <v>50</v>
      </c>
      <c r="B129" s="241"/>
      <c r="C129" s="242"/>
      <c r="D129" s="243"/>
      <c r="E129" s="103"/>
      <c r="F129" s="320"/>
      <c r="G129" s="245"/>
      <c r="H129" s="246"/>
      <c r="I129" s="246"/>
      <c r="J129" s="247"/>
      <c r="K129" s="248"/>
      <c r="L129" s="249"/>
      <c r="M129" s="355"/>
      <c r="N129" s="356"/>
      <c r="O129" s="356"/>
      <c r="P129" s="357"/>
      <c r="Q129" s="368"/>
      <c r="R129" s="358"/>
      <c r="S129" s="354"/>
      <c r="T129" s="366"/>
      <c r="U129" s="246"/>
      <c r="V129" s="246"/>
      <c r="W129" s="248"/>
      <c r="X129" s="249"/>
      <c r="Y129" s="250"/>
      <c r="Z129" s="354"/>
    </row>
    <row r="130" spans="1:49" s="26" customFormat="1" ht="9.75" customHeight="1" thickBot="1" x14ac:dyDescent="0.25">
      <c r="A130" s="359"/>
      <c r="B130" s="360"/>
      <c r="C130" s="361"/>
      <c r="D130" s="360"/>
      <c r="E130" s="360"/>
    </row>
    <row r="131" spans="1:49" s="11" customFormat="1" x14ac:dyDescent="0.2">
      <c r="A131" s="60" t="s">
        <v>75</v>
      </c>
      <c r="B131" s="8"/>
      <c r="C131" s="45"/>
      <c r="D131" s="8"/>
      <c r="E131" s="8"/>
      <c r="F131" s="125" t="s">
        <v>76</v>
      </c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8"/>
      <c r="T131" s="125" t="s">
        <v>77</v>
      </c>
      <c r="U131" s="8"/>
      <c r="V131" s="8"/>
      <c r="W131" s="8"/>
      <c r="X131" s="8"/>
      <c r="Y131" s="8"/>
      <c r="Z131" s="10"/>
    </row>
    <row r="132" spans="1:49" s="11" customFormat="1" ht="12.75" customHeight="1" x14ac:dyDescent="0.2">
      <c r="A132" s="137" t="s">
        <v>8</v>
      </c>
      <c r="B132" s="138" t="s">
        <v>157</v>
      </c>
      <c r="C132" s="132"/>
      <c r="D132" s="132"/>
      <c r="E132" s="132"/>
      <c r="F132" s="130" t="s">
        <v>8</v>
      </c>
      <c r="G132" s="457" t="s">
        <v>134</v>
      </c>
      <c r="H132" s="457"/>
      <c r="I132" s="457"/>
      <c r="J132" s="457"/>
      <c r="K132" s="457"/>
      <c r="L132" s="457"/>
      <c r="M132" s="457"/>
      <c r="N132" s="457"/>
      <c r="O132" s="457"/>
      <c r="P132" s="457"/>
      <c r="Q132" s="457"/>
      <c r="R132" s="457"/>
      <c r="S132" s="132"/>
      <c r="T132" s="11" t="s">
        <v>95</v>
      </c>
      <c r="Z132" s="13"/>
    </row>
    <row r="133" spans="1:49" s="11" customFormat="1" ht="11.25" x14ac:dyDescent="0.2">
      <c r="A133" s="139"/>
      <c r="B133" s="138" t="s">
        <v>158</v>
      </c>
      <c r="C133" s="132"/>
      <c r="D133" s="132"/>
      <c r="E133" s="132"/>
      <c r="F133" s="129"/>
      <c r="G133" s="457"/>
      <c r="H133" s="457"/>
      <c r="I133" s="457"/>
      <c r="J133" s="457"/>
      <c r="K133" s="457"/>
      <c r="L133" s="457"/>
      <c r="M133" s="457"/>
      <c r="N133" s="457"/>
      <c r="O133" s="457"/>
      <c r="P133" s="457"/>
      <c r="Q133" s="457"/>
      <c r="R133" s="457"/>
      <c r="S133" s="132"/>
      <c r="T133" s="11" t="s">
        <v>96</v>
      </c>
      <c r="Z133" s="13"/>
    </row>
    <row r="134" spans="1:49" s="11" customFormat="1" ht="11.25" customHeight="1" x14ac:dyDescent="0.2">
      <c r="A134" s="137" t="s">
        <v>9</v>
      </c>
      <c r="B134" s="126" t="s">
        <v>82</v>
      </c>
      <c r="C134" s="46"/>
      <c r="F134" s="130" t="s">
        <v>9</v>
      </c>
      <c r="G134" s="11" t="s">
        <v>78</v>
      </c>
      <c r="Z134" s="13"/>
    </row>
    <row r="135" spans="1:49" s="11" customFormat="1" ht="12.75" customHeight="1" x14ac:dyDescent="0.2">
      <c r="A135" s="137" t="s">
        <v>11</v>
      </c>
      <c r="B135" s="126" t="s">
        <v>83</v>
      </c>
      <c r="C135" s="46"/>
      <c r="F135" s="130" t="s">
        <v>11</v>
      </c>
      <c r="G135" s="11" t="s">
        <v>79</v>
      </c>
      <c r="J135" s="12"/>
      <c r="K135" s="12"/>
      <c r="L135" s="14"/>
      <c r="S135" s="12"/>
      <c r="Z135" s="13"/>
    </row>
    <row r="136" spans="1:49" s="11" customFormat="1" ht="12.75" customHeight="1" x14ac:dyDescent="0.2">
      <c r="A136" s="137" t="s">
        <v>12</v>
      </c>
      <c r="B136" s="126" t="s">
        <v>84</v>
      </c>
      <c r="C136" s="46"/>
      <c r="F136" s="130" t="s">
        <v>12</v>
      </c>
      <c r="G136" s="459" t="s">
        <v>80</v>
      </c>
      <c r="H136" s="459"/>
      <c r="I136" s="459"/>
      <c r="J136" s="459"/>
      <c r="K136" s="459"/>
      <c r="L136" s="459"/>
      <c r="M136" s="459"/>
      <c r="N136" s="459"/>
      <c r="O136" s="459"/>
      <c r="P136" s="459"/>
      <c r="Q136" s="459"/>
      <c r="R136" s="459"/>
      <c r="S136" s="157"/>
      <c r="Z136" s="13"/>
    </row>
    <row r="137" spans="1:49" s="11" customFormat="1" ht="11.25" customHeight="1" x14ac:dyDescent="0.2">
      <c r="A137" s="137" t="s">
        <v>13</v>
      </c>
      <c r="B137" s="126" t="s">
        <v>85</v>
      </c>
      <c r="C137" s="46"/>
      <c r="F137" s="129"/>
      <c r="G137" s="459"/>
      <c r="H137" s="459"/>
      <c r="I137" s="459"/>
      <c r="J137" s="459"/>
      <c r="K137" s="459"/>
      <c r="L137" s="459"/>
      <c r="M137" s="459"/>
      <c r="N137" s="459"/>
      <c r="O137" s="459"/>
      <c r="P137" s="459"/>
      <c r="Q137" s="459"/>
      <c r="R137" s="459"/>
      <c r="S137" s="157"/>
      <c r="Z137" s="13"/>
    </row>
    <row r="138" spans="1:49" s="11" customFormat="1" ht="13.5" customHeight="1" thickBot="1" x14ac:dyDescent="0.25">
      <c r="A138" s="127"/>
      <c r="B138" s="15"/>
      <c r="C138" s="47"/>
      <c r="D138" s="15"/>
      <c r="E138" s="15"/>
      <c r="F138" s="131" t="s">
        <v>13</v>
      </c>
      <c r="G138" s="458" t="s">
        <v>81</v>
      </c>
      <c r="H138" s="458"/>
      <c r="I138" s="458"/>
      <c r="J138" s="458"/>
      <c r="K138" s="458"/>
      <c r="L138" s="458"/>
      <c r="M138" s="458"/>
      <c r="N138" s="458"/>
      <c r="O138" s="458"/>
      <c r="P138" s="458"/>
      <c r="Q138" s="458"/>
      <c r="R138" s="458"/>
      <c r="S138" s="458"/>
      <c r="T138" s="15"/>
      <c r="U138" s="15"/>
      <c r="V138" s="15"/>
      <c r="W138" s="15"/>
      <c r="X138" s="15"/>
      <c r="Y138" s="15"/>
      <c r="Z138" s="16"/>
    </row>
    <row r="139" spans="1:49" s="18" customFormat="1" ht="16.5" customHeight="1" x14ac:dyDescent="0.2">
      <c r="A139" s="134" t="s">
        <v>105</v>
      </c>
      <c r="C139" s="19"/>
      <c r="AV139" s="19"/>
      <c r="AW139" s="19"/>
    </row>
    <row r="140" spans="1:49" s="18" customFormat="1" ht="5.25" customHeight="1" x14ac:dyDescent="0.2">
      <c r="C140" s="19"/>
      <c r="AM140" s="19"/>
      <c r="AN140" s="19"/>
    </row>
    <row r="141" spans="1:49" s="88" customFormat="1" ht="15" x14ac:dyDescent="0.25">
      <c r="B141" s="88" t="s">
        <v>53</v>
      </c>
      <c r="C141" s="89"/>
      <c r="E141" s="88" t="s">
        <v>54</v>
      </c>
      <c r="R141" s="88" t="s">
        <v>55</v>
      </c>
      <c r="AR141" s="89"/>
      <c r="AS141" s="89"/>
    </row>
    <row r="142" spans="1:49" s="18" customFormat="1" ht="19.5" customHeight="1" x14ac:dyDescent="0.2">
      <c r="C142" s="19"/>
      <c r="AR142" s="19"/>
      <c r="AS142" s="19"/>
    </row>
    <row r="143" spans="1:49" s="18" customFormat="1" ht="19.5" customHeight="1" x14ac:dyDescent="0.2">
      <c r="C143" s="19"/>
      <c r="AR143" s="19"/>
      <c r="AS143" s="19"/>
    </row>
    <row r="144" spans="1:49" s="18" customFormat="1" ht="17.25" customHeight="1" x14ac:dyDescent="0.2">
      <c r="B144" s="90"/>
      <c r="C144" s="19"/>
      <c r="E144" s="90"/>
      <c r="F144" s="90"/>
      <c r="G144" s="90"/>
      <c r="H144" s="90"/>
      <c r="I144" s="90"/>
      <c r="J144" s="90"/>
      <c r="K144" s="90"/>
      <c r="L144" s="90"/>
      <c r="R144" s="90"/>
      <c r="S144" s="90"/>
      <c r="T144" s="90"/>
      <c r="U144" s="90"/>
      <c r="V144" s="90"/>
      <c r="W144" s="90"/>
      <c r="X144" s="90"/>
      <c r="Y144" s="90"/>
      <c r="AR144" s="19"/>
      <c r="AS144" s="19"/>
    </row>
    <row r="145" spans="1:45" s="18" customFormat="1" ht="23.25" customHeight="1" x14ac:dyDescent="0.2">
      <c r="B145" s="18" t="s">
        <v>56</v>
      </c>
      <c r="C145" s="19"/>
      <c r="E145" s="18" t="s">
        <v>56</v>
      </c>
      <c r="R145" s="18" t="s">
        <v>57</v>
      </c>
      <c r="AR145" s="19"/>
      <c r="AS145" s="19"/>
    </row>
    <row r="146" spans="1:45" s="18" customFormat="1" ht="18" customHeight="1" x14ac:dyDescent="0.2">
      <c r="B146" s="18" t="s">
        <v>58</v>
      </c>
      <c r="C146" s="19"/>
      <c r="E146" s="18" t="s">
        <v>59</v>
      </c>
      <c r="R146" s="18" t="s">
        <v>58</v>
      </c>
      <c r="AR146" s="19"/>
      <c r="AS146" s="19"/>
    </row>
    <row r="148" spans="1:45" ht="21" customHeight="1" x14ac:dyDescent="0.25">
      <c r="A148" s="393" t="s">
        <v>264</v>
      </c>
    </row>
  </sheetData>
  <mergeCells count="30">
    <mergeCell ref="G110:S110"/>
    <mergeCell ref="G132:R133"/>
    <mergeCell ref="G136:R137"/>
    <mergeCell ref="G138:S138"/>
    <mergeCell ref="G76:R77"/>
    <mergeCell ref="G80:R81"/>
    <mergeCell ref="G82:S82"/>
    <mergeCell ref="G104:R105"/>
    <mergeCell ref="G108:R109"/>
    <mergeCell ref="G48:R49"/>
    <mergeCell ref="G52:R53"/>
    <mergeCell ref="G54:S54"/>
    <mergeCell ref="Z4:Z6"/>
    <mergeCell ref="G26:S26"/>
    <mergeCell ref="G20:R21"/>
    <mergeCell ref="G24:R25"/>
    <mergeCell ref="A1:Z1"/>
    <mergeCell ref="A2:Z2"/>
    <mergeCell ref="A4:A7"/>
    <mergeCell ref="B4:B7"/>
    <mergeCell ref="C4:C7"/>
    <mergeCell ref="D4:D7"/>
    <mergeCell ref="F4:F7"/>
    <mergeCell ref="G4:L4"/>
    <mergeCell ref="M4:S4"/>
    <mergeCell ref="G5:L5"/>
    <mergeCell ref="M5:S5"/>
    <mergeCell ref="E4:E7"/>
    <mergeCell ref="T5:Y5"/>
    <mergeCell ref="T4:Y4"/>
  </mergeCells>
  <pageMargins left="0.25" right="0.2" top="0.196850393700787" bottom="0.23622047244094499" header="0.18" footer="0.196850393700787"/>
  <pageSetup paperSize="9" scale="65" orientation="landscape" r:id="rId1"/>
  <rowBreaks count="4" manualBreakCount="4">
    <brk id="35" max="25" man="1"/>
    <brk id="63" max="25" man="1"/>
    <brk id="91" max="25" man="1"/>
    <brk id="119" max="2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B149"/>
  <sheetViews>
    <sheetView showGridLines="0" view="pageBreakPreview" zoomScale="85" zoomScaleNormal="100" zoomScaleSheetLayoutView="85" workbookViewId="0">
      <selection activeCell="W10" sqref="W10"/>
    </sheetView>
  </sheetViews>
  <sheetFormatPr defaultColWidth="9.140625" defaultRowHeight="12.75" x14ac:dyDescent="0.2"/>
  <cols>
    <col min="1" max="1" width="5.5703125" style="7" customWidth="1"/>
    <col min="2" max="2" width="35" style="6" customWidth="1"/>
    <col min="3" max="3" width="22.5703125" style="48" customWidth="1"/>
    <col min="4" max="4" width="24" style="6" customWidth="1"/>
    <col min="5" max="5" width="6.85546875" style="6" customWidth="1"/>
    <col min="6" max="6" width="6.7109375" style="6" customWidth="1"/>
    <col min="7" max="11" width="4.7109375" style="6" customWidth="1"/>
    <col min="12" max="12" width="5.5703125" style="6" customWidth="1"/>
    <col min="13" max="20" width="4.85546875" style="6" customWidth="1"/>
    <col min="21" max="21" width="5.5703125" style="6" customWidth="1"/>
    <col min="22" max="22" width="5.7109375" style="6" customWidth="1"/>
    <col min="23" max="30" width="4.7109375" style="6" customWidth="1"/>
    <col min="31" max="31" width="4.5703125" style="6" customWidth="1"/>
    <col min="32" max="32" width="5.5703125" style="6" customWidth="1"/>
    <col min="33" max="33" width="6.85546875" style="6" customWidth="1"/>
    <col min="34" max="34" width="3.7109375" style="6" customWidth="1"/>
    <col min="35" max="35" width="4.7109375" style="6" customWidth="1"/>
    <col min="36" max="16384" width="9.140625" style="6"/>
  </cols>
  <sheetData>
    <row r="1" spans="1:39" customFormat="1" ht="15.75" x14ac:dyDescent="0.25">
      <c r="A1" s="437" t="s">
        <v>18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7"/>
      <c r="P1" s="437"/>
      <c r="Q1" s="437"/>
      <c r="R1" s="437"/>
      <c r="S1" s="437"/>
      <c r="T1" s="437"/>
      <c r="U1" s="437"/>
      <c r="V1" s="437"/>
      <c r="W1" s="437"/>
      <c r="X1" s="437"/>
      <c r="Y1" s="437"/>
      <c r="Z1" s="437"/>
      <c r="AA1" s="437"/>
      <c r="AB1" s="437"/>
      <c r="AC1" s="437"/>
      <c r="AD1" s="437"/>
      <c r="AE1" s="437"/>
      <c r="AF1" s="437"/>
      <c r="AG1" s="437"/>
    </row>
    <row r="2" spans="1:39" customFormat="1" ht="22.5" customHeight="1" x14ac:dyDescent="0.2">
      <c r="A2" s="438" t="s">
        <v>258</v>
      </c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438"/>
      <c r="X2" s="438"/>
      <c r="Y2" s="438"/>
      <c r="Z2" s="438"/>
      <c r="AA2" s="438"/>
      <c r="AB2" s="438"/>
      <c r="AC2" s="438"/>
      <c r="AD2" s="438"/>
      <c r="AE2" s="438"/>
      <c r="AF2" s="438"/>
      <c r="AG2" s="438"/>
      <c r="AH2" s="17"/>
      <c r="AI2" s="17"/>
      <c r="AJ2" s="17"/>
      <c r="AK2" s="17"/>
      <c r="AL2" s="17"/>
      <c r="AM2" s="17"/>
    </row>
    <row r="3" spans="1:39" s="41" customFormat="1" ht="21.75" customHeight="1" thickBot="1" x14ac:dyDescent="0.25">
      <c r="A3" s="391" t="s">
        <v>253</v>
      </c>
      <c r="C3" s="40"/>
      <c r="Q3" s="392"/>
      <c r="R3" s="391"/>
    </row>
    <row r="4" spans="1:39" s="41" customFormat="1" ht="13.5" customHeight="1" thickBot="1" x14ac:dyDescent="0.25">
      <c r="A4" s="439" t="s">
        <v>0</v>
      </c>
      <c r="B4" s="439" t="s">
        <v>1</v>
      </c>
      <c r="C4" s="439" t="s">
        <v>62</v>
      </c>
      <c r="D4" s="442" t="s">
        <v>250</v>
      </c>
      <c r="E4" s="445" t="s">
        <v>249</v>
      </c>
      <c r="F4" s="445" t="s">
        <v>22</v>
      </c>
      <c r="G4" s="448" t="s">
        <v>20</v>
      </c>
      <c r="H4" s="449"/>
      <c r="I4" s="449"/>
      <c r="J4" s="449"/>
      <c r="K4" s="460"/>
      <c r="L4" s="450"/>
      <c r="M4" s="451" t="s">
        <v>21</v>
      </c>
      <c r="N4" s="452"/>
      <c r="O4" s="452"/>
      <c r="P4" s="452"/>
      <c r="Q4" s="452"/>
      <c r="R4" s="452"/>
      <c r="S4" s="452"/>
      <c r="T4" s="452"/>
      <c r="U4" s="453"/>
      <c r="V4" s="451" t="s">
        <v>71</v>
      </c>
      <c r="W4" s="452"/>
      <c r="X4" s="452"/>
      <c r="Y4" s="452"/>
      <c r="Z4" s="452"/>
      <c r="AA4" s="452"/>
      <c r="AB4" s="452"/>
      <c r="AC4" s="452"/>
      <c r="AD4" s="452"/>
      <c r="AE4" s="452"/>
      <c r="AF4" s="453"/>
      <c r="AG4" s="445" t="s">
        <v>2</v>
      </c>
    </row>
    <row r="5" spans="1:39" s="41" customFormat="1" ht="14.25" customHeight="1" thickBot="1" x14ac:dyDescent="0.25">
      <c r="A5" s="440"/>
      <c r="B5" s="440"/>
      <c r="C5" s="440"/>
      <c r="D5" s="443"/>
      <c r="E5" s="446"/>
      <c r="F5" s="446"/>
      <c r="G5" s="451">
        <v>100</v>
      </c>
      <c r="H5" s="452"/>
      <c r="I5" s="452"/>
      <c r="J5" s="452"/>
      <c r="K5" s="452"/>
      <c r="L5" s="453"/>
      <c r="M5" s="451">
        <v>100</v>
      </c>
      <c r="N5" s="452"/>
      <c r="O5" s="452"/>
      <c r="P5" s="452"/>
      <c r="Q5" s="452"/>
      <c r="R5" s="452"/>
      <c r="S5" s="452"/>
      <c r="T5" s="452"/>
      <c r="U5" s="453"/>
      <c r="V5" s="451">
        <v>100</v>
      </c>
      <c r="W5" s="452"/>
      <c r="X5" s="452"/>
      <c r="Y5" s="452"/>
      <c r="Z5" s="452"/>
      <c r="AA5" s="452"/>
      <c r="AB5" s="452"/>
      <c r="AC5" s="452"/>
      <c r="AD5" s="452"/>
      <c r="AE5" s="452"/>
      <c r="AF5" s="453"/>
      <c r="AG5" s="446"/>
    </row>
    <row r="6" spans="1:39" s="41" customFormat="1" ht="150.75" customHeight="1" x14ac:dyDescent="0.2">
      <c r="A6" s="440"/>
      <c r="B6" s="440"/>
      <c r="C6" s="440"/>
      <c r="D6" s="443"/>
      <c r="E6" s="446"/>
      <c r="F6" s="446"/>
      <c r="G6" s="61" t="s">
        <v>23</v>
      </c>
      <c r="H6" s="62" t="s">
        <v>24</v>
      </c>
      <c r="I6" s="62" t="s">
        <v>25</v>
      </c>
      <c r="J6" s="63" t="s">
        <v>26</v>
      </c>
      <c r="K6" s="64" t="s">
        <v>14</v>
      </c>
      <c r="L6" s="364" t="s">
        <v>3</v>
      </c>
      <c r="M6" s="178" t="s">
        <v>34</v>
      </c>
      <c r="N6" s="178" t="s">
        <v>35</v>
      </c>
      <c r="O6" s="178" t="s">
        <v>28</v>
      </c>
      <c r="P6" s="178" t="s">
        <v>29</v>
      </c>
      <c r="Q6" s="178" t="s">
        <v>30</v>
      </c>
      <c r="R6" s="178" t="s">
        <v>63</v>
      </c>
      <c r="S6" s="178" t="s">
        <v>64</v>
      </c>
      <c r="T6" s="178" t="s">
        <v>66</v>
      </c>
      <c r="U6" s="364" t="s">
        <v>3</v>
      </c>
      <c r="V6" s="178" t="s">
        <v>159</v>
      </c>
      <c r="W6" s="178" t="s">
        <v>98</v>
      </c>
      <c r="X6" s="178" t="s">
        <v>65</v>
      </c>
      <c r="Y6" s="178" t="s">
        <v>161</v>
      </c>
      <c r="Z6" s="178" t="s">
        <v>162</v>
      </c>
      <c r="AA6" s="178" t="s">
        <v>15</v>
      </c>
      <c r="AB6" s="178" t="s">
        <v>17</v>
      </c>
      <c r="AC6" s="178" t="s">
        <v>163</v>
      </c>
      <c r="AD6" s="178" t="s">
        <v>37</v>
      </c>
      <c r="AE6" s="178" t="s">
        <v>160</v>
      </c>
      <c r="AF6" s="364" t="s">
        <v>3</v>
      </c>
      <c r="AG6" s="462"/>
    </row>
    <row r="7" spans="1:39" s="40" customFormat="1" ht="16.5" customHeight="1" thickBot="1" x14ac:dyDescent="0.25">
      <c r="A7" s="441"/>
      <c r="B7" s="441"/>
      <c r="C7" s="441"/>
      <c r="D7" s="444"/>
      <c r="E7" s="447"/>
      <c r="F7" s="447"/>
      <c r="G7" s="36">
        <v>20</v>
      </c>
      <c r="H7" s="54">
        <v>20</v>
      </c>
      <c r="I7" s="54">
        <v>20</v>
      </c>
      <c r="J7" s="54">
        <v>20</v>
      </c>
      <c r="K7" s="38">
        <v>20</v>
      </c>
      <c r="L7" s="434">
        <v>100</v>
      </c>
      <c r="M7" s="54">
        <v>10</v>
      </c>
      <c r="N7" s="54">
        <v>10</v>
      </c>
      <c r="O7" s="54">
        <v>10</v>
      </c>
      <c r="P7" s="37">
        <v>10</v>
      </c>
      <c r="Q7" s="37">
        <v>10</v>
      </c>
      <c r="R7" s="37">
        <v>20</v>
      </c>
      <c r="S7" s="37">
        <v>20</v>
      </c>
      <c r="T7" s="37">
        <v>10</v>
      </c>
      <c r="U7" s="434">
        <v>100</v>
      </c>
      <c r="V7" s="54">
        <v>10</v>
      </c>
      <c r="W7" s="54">
        <v>10</v>
      </c>
      <c r="X7" s="54">
        <v>10</v>
      </c>
      <c r="Y7" s="54">
        <v>10</v>
      </c>
      <c r="Z7" s="54">
        <v>10</v>
      </c>
      <c r="AA7" s="54">
        <v>10</v>
      </c>
      <c r="AB7" s="54">
        <v>10</v>
      </c>
      <c r="AC7" s="54">
        <v>10</v>
      </c>
      <c r="AD7" s="54">
        <v>10</v>
      </c>
      <c r="AE7" s="54">
        <v>10</v>
      </c>
      <c r="AF7" s="434">
        <v>100</v>
      </c>
      <c r="AG7" s="39">
        <v>300</v>
      </c>
    </row>
    <row r="8" spans="1:39" s="26" customFormat="1" ht="35.1" customHeight="1" x14ac:dyDescent="0.2">
      <c r="A8" s="255">
        <v>1</v>
      </c>
      <c r="B8" s="256"/>
      <c r="C8" s="257"/>
      <c r="D8" s="258"/>
      <c r="E8" s="93"/>
      <c r="F8" s="318"/>
      <c r="G8" s="20"/>
      <c r="H8" s="21"/>
      <c r="I8" s="21"/>
      <c r="J8" s="22"/>
      <c r="K8" s="23"/>
      <c r="L8" s="24"/>
      <c r="M8" s="20"/>
      <c r="N8" s="21"/>
      <c r="O8" s="21"/>
      <c r="P8" s="22"/>
      <c r="Q8" s="22"/>
      <c r="R8" s="22"/>
      <c r="S8" s="22"/>
      <c r="T8" s="22"/>
      <c r="U8" s="24"/>
      <c r="V8" s="20"/>
      <c r="W8" s="123"/>
      <c r="X8" s="21"/>
      <c r="Y8" s="21"/>
      <c r="Z8" s="21"/>
      <c r="AA8" s="21"/>
      <c r="AB8" s="21"/>
      <c r="AC8" s="21"/>
      <c r="AD8" s="21"/>
      <c r="AE8" s="21"/>
      <c r="AF8" s="24"/>
      <c r="AG8" s="25"/>
    </row>
    <row r="9" spans="1:39" s="26" customFormat="1" ht="35.1" customHeight="1" x14ac:dyDescent="0.2">
      <c r="A9" s="244">
        <f>A8+1</f>
        <v>2</v>
      </c>
      <c r="B9" s="241"/>
      <c r="C9" s="242"/>
      <c r="D9" s="243"/>
      <c r="E9" s="97"/>
      <c r="F9" s="317"/>
      <c r="G9" s="28"/>
      <c r="H9" s="29"/>
      <c r="I9" s="29"/>
      <c r="J9" s="30"/>
      <c r="K9" s="31"/>
      <c r="L9" s="27"/>
      <c r="M9" s="28"/>
      <c r="N9" s="29"/>
      <c r="O9" s="29"/>
      <c r="P9" s="30"/>
      <c r="Q9" s="30"/>
      <c r="R9" s="30"/>
      <c r="S9" s="30"/>
      <c r="T9" s="30"/>
      <c r="U9" s="27"/>
      <c r="V9" s="28"/>
      <c r="W9" s="29"/>
      <c r="X9" s="29"/>
      <c r="Y9" s="29"/>
      <c r="Z9" s="29"/>
      <c r="AA9" s="29"/>
      <c r="AB9" s="29"/>
      <c r="AC9" s="29"/>
      <c r="AD9" s="29"/>
      <c r="AE9" s="29"/>
      <c r="AF9" s="27"/>
      <c r="AG9" s="32"/>
    </row>
    <row r="10" spans="1:39" s="26" customFormat="1" ht="35.1" customHeight="1" x14ac:dyDescent="0.2">
      <c r="A10" s="244">
        <f t="shared" ref="A10:A17" si="0">A9+1</f>
        <v>3</v>
      </c>
      <c r="B10" s="241"/>
      <c r="C10" s="242"/>
      <c r="D10" s="243"/>
      <c r="E10" s="97"/>
      <c r="F10" s="317"/>
      <c r="G10" s="28"/>
      <c r="H10" s="29"/>
      <c r="I10" s="29"/>
      <c r="J10" s="30"/>
      <c r="K10" s="31"/>
      <c r="L10" s="27"/>
      <c r="M10" s="28"/>
      <c r="N10" s="29"/>
      <c r="O10" s="29"/>
      <c r="P10" s="30"/>
      <c r="Q10" s="30"/>
      <c r="R10" s="30"/>
      <c r="S10" s="30"/>
      <c r="T10" s="30"/>
      <c r="U10" s="27"/>
      <c r="V10" s="28"/>
      <c r="W10" s="29"/>
      <c r="X10" s="29"/>
      <c r="Y10" s="29"/>
      <c r="Z10" s="29"/>
      <c r="AA10" s="29"/>
      <c r="AB10" s="29"/>
      <c r="AC10" s="29"/>
      <c r="AD10" s="29"/>
      <c r="AE10" s="29"/>
      <c r="AF10" s="27"/>
      <c r="AG10" s="32"/>
    </row>
    <row r="11" spans="1:39" s="26" customFormat="1" ht="35.1" customHeight="1" x14ac:dyDescent="0.2">
      <c r="A11" s="244">
        <f t="shared" si="0"/>
        <v>4</v>
      </c>
      <c r="B11" s="241"/>
      <c r="C11" s="242"/>
      <c r="D11" s="243"/>
      <c r="E11" s="97"/>
      <c r="F11" s="317"/>
      <c r="G11" s="28"/>
      <c r="H11" s="29"/>
      <c r="I11" s="29"/>
      <c r="J11" s="30"/>
      <c r="K11" s="31"/>
      <c r="L11" s="27"/>
      <c r="M11" s="28"/>
      <c r="N11" s="29"/>
      <c r="O11" s="29"/>
      <c r="P11" s="30"/>
      <c r="Q11" s="30"/>
      <c r="R11" s="30"/>
      <c r="S11" s="30"/>
      <c r="T11" s="30"/>
      <c r="U11" s="27"/>
      <c r="V11" s="28"/>
      <c r="W11" s="29"/>
      <c r="X11" s="29"/>
      <c r="Y11" s="29"/>
      <c r="Z11" s="29"/>
      <c r="AA11" s="29"/>
      <c r="AB11" s="29"/>
      <c r="AC11" s="29"/>
      <c r="AD11" s="29"/>
      <c r="AE11" s="29"/>
      <c r="AF11" s="27"/>
      <c r="AG11" s="32"/>
    </row>
    <row r="12" spans="1:39" s="26" customFormat="1" ht="35.1" customHeight="1" x14ac:dyDescent="0.2">
      <c r="A12" s="244">
        <f t="shared" si="0"/>
        <v>5</v>
      </c>
      <c r="B12" s="241"/>
      <c r="C12" s="242"/>
      <c r="D12" s="243"/>
      <c r="E12" s="97"/>
      <c r="F12" s="317"/>
      <c r="G12" s="28"/>
      <c r="H12" s="29"/>
      <c r="I12" s="29"/>
      <c r="J12" s="30"/>
      <c r="K12" s="31"/>
      <c r="L12" s="27"/>
      <c r="M12" s="28"/>
      <c r="N12" s="29"/>
      <c r="O12" s="29"/>
      <c r="P12" s="30"/>
      <c r="Q12" s="30"/>
      <c r="R12" s="30"/>
      <c r="S12" s="30"/>
      <c r="T12" s="30"/>
      <c r="U12" s="27"/>
      <c r="V12" s="28"/>
      <c r="W12" s="29"/>
      <c r="X12" s="29"/>
      <c r="Y12" s="29"/>
      <c r="Z12" s="29"/>
      <c r="AA12" s="29"/>
      <c r="AB12" s="29"/>
      <c r="AC12" s="29"/>
      <c r="AD12" s="29"/>
      <c r="AE12" s="29"/>
      <c r="AF12" s="27"/>
      <c r="AG12" s="32"/>
    </row>
    <row r="13" spans="1:39" s="26" customFormat="1" ht="35.1" customHeight="1" x14ac:dyDescent="0.2">
      <c r="A13" s="244">
        <f t="shared" si="0"/>
        <v>6</v>
      </c>
      <c r="B13" s="241"/>
      <c r="C13" s="242"/>
      <c r="D13" s="243"/>
      <c r="E13" s="97"/>
      <c r="F13" s="317"/>
      <c r="G13" s="28"/>
      <c r="H13" s="29"/>
      <c r="I13" s="29"/>
      <c r="J13" s="30"/>
      <c r="K13" s="31"/>
      <c r="L13" s="27"/>
      <c r="M13" s="28"/>
      <c r="N13" s="29"/>
      <c r="O13" s="29"/>
      <c r="P13" s="30"/>
      <c r="Q13" s="30"/>
      <c r="R13" s="30"/>
      <c r="S13" s="30"/>
      <c r="T13" s="30"/>
      <c r="U13" s="27"/>
      <c r="V13" s="28"/>
      <c r="W13" s="29"/>
      <c r="X13" s="29"/>
      <c r="Y13" s="29"/>
      <c r="Z13" s="29"/>
      <c r="AA13" s="29"/>
      <c r="AB13" s="29"/>
      <c r="AC13" s="29"/>
      <c r="AD13" s="29"/>
      <c r="AE13" s="29"/>
      <c r="AF13" s="27"/>
      <c r="AG13" s="32"/>
    </row>
    <row r="14" spans="1:39" s="26" customFormat="1" ht="35.1" customHeight="1" x14ac:dyDescent="0.2">
      <c r="A14" s="244">
        <f t="shared" si="0"/>
        <v>7</v>
      </c>
      <c r="B14" s="241"/>
      <c r="C14" s="242"/>
      <c r="D14" s="243"/>
      <c r="E14" s="97"/>
      <c r="F14" s="317"/>
      <c r="G14" s="28"/>
      <c r="H14" s="29"/>
      <c r="I14" s="29"/>
      <c r="J14" s="30"/>
      <c r="K14" s="31"/>
      <c r="L14" s="27"/>
      <c r="M14" s="28"/>
      <c r="N14" s="29"/>
      <c r="O14" s="29"/>
      <c r="P14" s="30"/>
      <c r="Q14" s="30"/>
      <c r="R14" s="30"/>
      <c r="S14" s="30"/>
      <c r="T14" s="30"/>
      <c r="U14" s="27"/>
      <c r="V14" s="28"/>
      <c r="W14" s="29"/>
      <c r="X14" s="29"/>
      <c r="Y14" s="29"/>
      <c r="Z14" s="29"/>
      <c r="AA14" s="29"/>
      <c r="AB14" s="29"/>
      <c r="AC14" s="29"/>
      <c r="AD14" s="29"/>
      <c r="AE14" s="29"/>
      <c r="AF14" s="27"/>
      <c r="AG14" s="32"/>
    </row>
    <row r="15" spans="1:39" s="26" customFormat="1" ht="35.1" customHeight="1" x14ac:dyDescent="0.2">
      <c r="A15" s="244">
        <f t="shared" si="0"/>
        <v>8</v>
      </c>
      <c r="B15" s="241"/>
      <c r="C15" s="242"/>
      <c r="D15" s="243"/>
      <c r="E15" s="97"/>
      <c r="F15" s="317"/>
      <c r="G15" s="28"/>
      <c r="H15" s="29"/>
      <c r="I15" s="29"/>
      <c r="J15" s="30"/>
      <c r="K15" s="31"/>
      <c r="L15" s="27"/>
      <c r="M15" s="28"/>
      <c r="N15" s="29"/>
      <c r="O15" s="29"/>
      <c r="P15" s="30"/>
      <c r="Q15" s="30"/>
      <c r="R15" s="30"/>
      <c r="S15" s="30"/>
      <c r="T15" s="30"/>
      <c r="U15" s="27"/>
      <c r="V15" s="28"/>
      <c r="W15" s="29"/>
      <c r="X15" s="29"/>
      <c r="Y15" s="29"/>
      <c r="Z15" s="29"/>
      <c r="AA15" s="29"/>
      <c r="AB15" s="29"/>
      <c r="AC15" s="29"/>
      <c r="AD15" s="29"/>
      <c r="AE15" s="29"/>
      <c r="AF15" s="27"/>
      <c r="AG15" s="32"/>
    </row>
    <row r="16" spans="1:39" s="26" customFormat="1" ht="35.1" customHeight="1" x14ac:dyDescent="0.2">
      <c r="A16" s="244">
        <f t="shared" si="0"/>
        <v>9</v>
      </c>
      <c r="B16" s="241"/>
      <c r="C16" s="242"/>
      <c r="D16" s="243"/>
      <c r="E16" s="97"/>
      <c r="F16" s="317"/>
      <c r="G16" s="28"/>
      <c r="H16" s="29"/>
      <c r="I16" s="29"/>
      <c r="J16" s="30"/>
      <c r="K16" s="31"/>
      <c r="L16" s="27"/>
      <c r="M16" s="28"/>
      <c r="N16" s="29"/>
      <c r="O16" s="29"/>
      <c r="P16" s="30"/>
      <c r="Q16" s="30"/>
      <c r="R16" s="30"/>
      <c r="S16" s="30"/>
      <c r="T16" s="30"/>
      <c r="U16" s="27"/>
      <c r="V16" s="28"/>
      <c r="W16" s="29"/>
      <c r="X16" s="29"/>
      <c r="Y16" s="29"/>
      <c r="Z16" s="29"/>
      <c r="AA16" s="29"/>
      <c r="AB16" s="29"/>
      <c r="AC16" s="29"/>
      <c r="AD16" s="29"/>
      <c r="AE16" s="29"/>
      <c r="AF16" s="27"/>
      <c r="AG16" s="32"/>
    </row>
    <row r="17" spans="1:54" s="26" customFormat="1" ht="35.1" customHeight="1" thickBot="1" x14ac:dyDescent="0.25">
      <c r="A17" s="252">
        <f t="shared" si="0"/>
        <v>10</v>
      </c>
      <c r="B17" s="259"/>
      <c r="C17" s="260"/>
      <c r="D17" s="261"/>
      <c r="E17" s="370"/>
      <c r="F17" s="371"/>
      <c r="G17" s="65"/>
      <c r="H17" s="66"/>
      <c r="I17" s="66"/>
      <c r="J17" s="67"/>
      <c r="K17" s="68"/>
      <c r="L17" s="69"/>
      <c r="M17" s="65"/>
      <c r="N17" s="66"/>
      <c r="O17" s="66"/>
      <c r="P17" s="67"/>
      <c r="Q17" s="67"/>
      <c r="R17" s="67"/>
      <c r="S17" s="67"/>
      <c r="T17" s="67"/>
      <c r="U17" s="69"/>
      <c r="V17" s="65"/>
      <c r="W17" s="66"/>
      <c r="X17" s="66"/>
      <c r="Y17" s="66"/>
      <c r="Z17" s="66"/>
      <c r="AA17" s="66"/>
      <c r="AB17" s="66"/>
      <c r="AC17" s="66"/>
      <c r="AD17" s="66"/>
      <c r="AE17" s="66"/>
      <c r="AF17" s="69"/>
      <c r="AG17" s="70"/>
    </row>
    <row r="18" spans="1:54" s="26" customFormat="1" ht="9.75" customHeight="1" thickBot="1" x14ac:dyDescent="0.25">
      <c r="A18" s="359"/>
      <c r="B18" s="360"/>
      <c r="C18" s="361"/>
      <c r="D18" s="360"/>
      <c r="E18" s="360"/>
    </row>
    <row r="19" spans="1:54" s="11" customFormat="1" x14ac:dyDescent="0.2">
      <c r="A19" s="60" t="s">
        <v>75</v>
      </c>
      <c r="B19" s="8"/>
      <c r="C19" s="45"/>
      <c r="D19" s="8"/>
      <c r="E19" s="8"/>
      <c r="F19" s="125" t="s">
        <v>76</v>
      </c>
      <c r="G19" s="8"/>
      <c r="H19" s="8"/>
      <c r="I19" s="8"/>
      <c r="J19" s="9"/>
      <c r="K19" s="9"/>
      <c r="L19" s="8"/>
      <c r="M19" s="8"/>
      <c r="N19" s="8"/>
      <c r="O19" s="8"/>
      <c r="P19" s="8"/>
      <c r="Q19" s="8"/>
      <c r="R19" s="8"/>
      <c r="S19" s="8"/>
      <c r="T19" s="8"/>
      <c r="U19" s="8"/>
      <c r="V19" s="125" t="s">
        <v>77</v>
      </c>
      <c r="W19" s="8"/>
      <c r="X19" s="8"/>
      <c r="Y19" s="8"/>
      <c r="Z19" s="8"/>
      <c r="AA19" s="8"/>
      <c r="AB19" s="8"/>
      <c r="AC19" s="8"/>
      <c r="AD19" s="8"/>
      <c r="AE19" s="8"/>
      <c r="AF19" s="8"/>
      <c r="AG19" s="10"/>
    </row>
    <row r="20" spans="1:54" s="11" customFormat="1" ht="12.75" customHeight="1" x14ac:dyDescent="0.2">
      <c r="A20" s="253" t="s">
        <v>8</v>
      </c>
      <c r="B20" s="138" t="s">
        <v>157</v>
      </c>
      <c r="C20" s="132"/>
      <c r="D20" s="132"/>
      <c r="E20" s="132"/>
      <c r="F20" s="306" t="s">
        <v>8</v>
      </c>
      <c r="G20" s="457" t="s">
        <v>89</v>
      </c>
      <c r="H20" s="457"/>
      <c r="I20" s="457"/>
      <c r="J20" s="457"/>
      <c r="K20" s="457"/>
      <c r="L20" s="457"/>
      <c r="M20" s="457"/>
      <c r="N20" s="457"/>
      <c r="O20" s="457"/>
      <c r="P20" s="457"/>
      <c r="Q20" s="457"/>
      <c r="R20" s="457"/>
      <c r="S20" s="457"/>
      <c r="T20" s="457"/>
      <c r="V20" s="11" t="s">
        <v>95</v>
      </c>
      <c r="AG20" s="13"/>
    </row>
    <row r="21" spans="1:54" s="11" customFormat="1" ht="11.25" x14ac:dyDescent="0.2">
      <c r="A21" s="116"/>
      <c r="B21" s="138" t="s">
        <v>158</v>
      </c>
      <c r="C21" s="132"/>
      <c r="D21" s="132"/>
      <c r="E21" s="132"/>
      <c r="F21" s="307"/>
      <c r="G21" s="457"/>
      <c r="H21" s="457"/>
      <c r="I21" s="457"/>
      <c r="J21" s="457"/>
      <c r="K21" s="457"/>
      <c r="L21" s="457"/>
      <c r="M21" s="457"/>
      <c r="N21" s="457"/>
      <c r="O21" s="457"/>
      <c r="P21" s="457"/>
      <c r="Q21" s="457"/>
      <c r="R21" s="457"/>
      <c r="S21" s="457"/>
      <c r="T21" s="457"/>
      <c r="V21" s="11" t="s">
        <v>96</v>
      </c>
      <c r="AG21" s="13"/>
    </row>
    <row r="22" spans="1:54" s="11" customFormat="1" ht="11.25" customHeight="1" x14ac:dyDescent="0.2">
      <c r="A22" s="253" t="s">
        <v>9</v>
      </c>
      <c r="B22" s="126" t="s">
        <v>82</v>
      </c>
      <c r="C22" s="46"/>
      <c r="F22" s="306" t="s">
        <v>9</v>
      </c>
      <c r="G22" s="457" t="s">
        <v>88</v>
      </c>
      <c r="H22" s="457"/>
      <c r="I22" s="457"/>
      <c r="J22" s="457"/>
      <c r="K22" s="457"/>
      <c r="L22" s="457"/>
      <c r="M22" s="457"/>
      <c r="N22" s="457"/>
      <c r="O22" s="457"/>
      <c r="P22" s="457"/>
      <c r="Q22" s="457"/>
      <c r="R22" s="457"/>
      <c r="S22" s="457"/>
      <c r="T22" s="457"/>
      <c r="AG22" s="13"/>
    </row>
    <row r="23" spans="1:54" s="11" customFormat="1" ht="12.75" customHeight="1" x14ac:dyDescent="0.2">
      <c r="A23" s="253" t="s">
        <v>11</v>
      </c>
      <c r="B23" s="126" t="s">
        <v>83</v>
      </c>
      <c r="C23" s="46"/>
      <c r="F23" s="46"/>
      <c r="G23" s="457"/>
      <c r="H23" s="457"/>
      <c r="I23" s="457"/>
      <c r="J23" s="457"/>
      <c r="K23" s="457"/>
      <c r="L23" s="457"/>
      <c r="M23" s="457"/>
      <c r="N23" s="457"/>
      <c r="O23" s="457"/>
      <c r="P23" s="457"/>
      <c r="Q23" s="457"/>
      <c r="R23" s="457"/>
      <c r="S23" s="457"/>
      <c r="T23" s="457"/>
      <c r="U23" s="14"/>
      <c r="AG23" s="13"/>
    </row>
    <row r="24" spans="1:54" s="11" customFormat="1" ht="12.75" customHeight="1" x14ac:dyDescent="0.2">
      <c r="A24" s="253" t="s">
        <v>12</v>
      </c>
      <c r="B24" s="126" t="s">
        <v>84</v>
      </c>
      <c r="C24" s="46"/>
      <c r="F24" s="306" t="s">
        <v>11</v>
      </c>
      <c r="G24" s="461" t="s">
        <v>78</v>
      </c>
      <c r="H24" s="461"/>
      <c r="I24" s="461"/>
      <c r="J24" s="461"/>
      <c r="K24" s="461"/>
      <c r="L24" s="461"/>
      <c r="M24" s="461"/>
      <c r="N24" s="461"/>
      <c r="O24" s="461"/>
      <c r="P24" s="461"/>
      <c r="Q24" s="461"/>
      <c r="R24" s="461"/>
      <c r="S24" s="461"/>
      <c r="T24" s="461"/>
      <c r="AG24" s="13"/>
    </row>
    <row r="25" spans="1:54" s="11" customFormat="1" ht="11.25" customHeight="1" x14ac:dyDescent="0.2">
      <c r="A25" s="253" t="s">
        <v>13</v>
      </c>
      <c r="B25" s="126" t="s">
        <v>85</v>
      </c>
      <c r="C25" s="46"/>
      <c r="F25" s="306" t="s">
        <v>12</v>
      </c>
      <c r="G25" s="457" t="s">
        <v>87</v>
      </c>
      <c r="H25" s="457"/>
      <c r="I25" s="457"/>
      <c r="J25" s="457"/>
      <c r="K25" s="457"/>
      <c r="L25" s="457"/>
      <c r="M25" s="457"/>
      <c r="N25" s="457"/>
      <c r="O25" s="457"/>
      <c r="P25" s="457"/>
      <c r="Q25" s="457"/>
      <c r="R25" s="457"/>
      <c r="S25" s="457"/>
      <c r="T25" s="457"/>
      <c r="AG25" s="13"/>
    </row>
    <row r="26" spans="1:54" s="11" customFormat="1" ht="11.25" customHeight="1" x14ac:dyDescent="0.2">
      <c r="A26" s="253"/>
      <c r="B26" s="126"/>
      <c r="C26" s="46"/>
      <c r="F26" s="306" t="s">
        <v>13</v>
      </c>
      <c r="G26" s="459" t="s">
        <v>86</v>
      </c>
      <c r="H26" s="459"/>
      <c r="I26" s="459"/>
      <c r="J26" s="459"/>
      <c r="K26" s="459"/>
      <c r="L26" s="459"/>
      <c r="M26" s="459"/>
      <c r="N26" s="459"/>
      <c r="O26" s="459"/>
      <c r="P26" s="459"/>
      <c r="Q26" s="459"/>
      <c r="R26" s="459"/>
      <c r="S26" s="459"/>
      <c r="T26" s="459"/>
      <c r="AG26" s="13"/>
    </row>
    <row r="27" spans="1:54" s="11" customFormat="1" ht="16.5" customHeight="1" thickBot="1" x14ac:dyDescent="0.25">
      <c r="A27" s="254"/>
      <c r="B27" s="15"/>
      <c r="C27" s="47"/>
      <c r="D27" s="15"/>
      <c r="E27" s="15"/>
      <c r="F27" s="303"/>
      <c r="G27" s="458"/>
      <c r="H27" s="458"/>
      <c r="I27" s="458"/>
      <c r="J27" s="458"/>
      <c r="K27" s="458"/>
      <c r="L27" s="458"/>
      <c r="M27" s="458"/>
      <c r="N27" s="458"/>
      <c r="O27" s="458"/>
      <c r="P27" s="458"/>
      <c r="Q27" s="458"/>
      <c r="R27" s="458"/>
      <c r="S27" s="458"/>
      <c r="T27" s="458"/>
      <c r="U27" s="128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6"/>
    </row>
    <row r="28" spans="1:54" s="18" customFormat="1" ht="16.5" customHeight="1" x14ac:dyDescent="0.2">
      <c r="A28" s="134" t="s">
        <v>105</v>
      </c>
      <c r="C28" s="19"/>
      <c r="BA28" s="19"/>
      <c r="BB28" s="19"/>
    </row>
    <row r="29" spans="1:54" s="18" customFormat="1" ht="5.25" customHeight="1" x14ac:dyDescent="0.25">
      <c r="A29" s="88"/>
      <c r="C29" s="19"/>
      <c r="BA29" s="19"/>
      <c r="BB29" s="19"/>
    </row>
    <row r="30" spans="1:54" s="88" customFormat="1" ht="15" x14ac:dyDescent="0.25">
      <c r="B30" s="88" t="s">
        <v>53</v>
      </c>
      <c r="C30" s="89"/>
      <c r="F30" s="88" t="s">
        <v>54</v>
      </c>
      <c r="V30" s="88" t="s">
        <v>55</v>
      </c>
      <c r="AT30" s="89"/>
      <c r="AU30" s="89"/>
    </row>
    <row r="31" spans="1:54" s="18" customFormat="1" ht="21.75" customHeight="1" x14ac:dyDescent="0.25">
      <c r="A31" s="88"/>
      <c r="C31" s="19"/>
      <c r="AT31" s="19"/>
      <c r="AU31" s="19"/>
    </row>
    <row r="32" spans="1:54" s="18" customFormat="1" ht="15.75" customHeight="1" x14ac:dyDescent="0.25">
      <c r="A32" s="88"/>
      <c r="C32" s="19"/>
      <c r="AT32" s="19"/>
      <c r="AU32" s="19"/>
    </row>
    <row r="33" spans="1:47" s="18" customFormat="1" ht="17.25" customHeight="1" x14ac:dyDescent="0.25">
      <c r="A33" s="88"/>
      <c r="B33" s="90"/>
      <c r="C33" s="19"/>
      <c r="F33" s="90"/>
      <c r="G33" s="90"/>
      <c r="H33" s="90"/>
      <c r="I33" s="90"/>
      <c r="J33" s="90"/>
      <c r="K33" s="90"/>
      <c r="L33" s="90"/>
      <c r="M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T33" s="19"/>
      <c r="AU33" s="19"/>
    </row>
    <row r="34" spans="1:47" s="18" customFormat="1" ht="16.5" customHeight="1" x14ac:dyDescent="0.25">
      <c r="A34" s="88"/>
      <c r="B34" s="18" t="s">
        <v>56</v>
      </c>
      <c r="C34" s="19"/>
      <c r="F34" s="18" t="s">
        <v>56</v>
      </c>
      <c r="V34" s="18" t="s">
        <v>57</v>
      </c>
      <c r="AT34" s="19"/>
      <c r="AU34" s="19"/>
    </row>
    <row r="35" spans="1:47" s="18" customFormat="1" ht="18" customHeight="1" x14ac:dyDescent="0.25">
      <c r="A35" s="88"/>
      <c r="B35" s="18" t="s">
        <v>58</v>
      </c>
      <c r="C35" s="19"/>
      <c r="F35" s="18" t="s">
        <v>59</v>
      </c>
      <c r="V35" s="18" t="s">
        <v>58</v>
      </c>
      <c r="AT35" s="19"/>
      <c r="AU35" s="19"/>
    </row>
    <row r="36" spans="1:47" s="18" customFormat="1" ht="9" customHeight="1" thickBot="1" x14ac:dyDescent="0.3">
      <c r="A36" s="88"/>
      <c r="C36" s="19"/>
      <c r="AT36" s="19"/>
      <c r="AU36" s="19"/>
    </row>
    <row r="37" spans="1:47" s="26" customFormat="1" ht="35.1" customHeight="1" x14ac:dyDescent="0.2">
      <c r="A37" s="255">
        <v>11</v>
      </c>
      <c r="B37" s="256"/>
      <c r="C37" s="257"/>
      <c r="D37" s="258"/>
      <c r="E37" s="93"/>
      <c r="F37" s="319"/>
      <c r="G37" s="20"/>
      <c r="H37" s="21"/>
      <c r="I37" s="21"/>
      <c r="J37" s="22"/>
      <c r="K37" s="23"/>
      <c r="L37" s="24"/>
      <c r="M37" s="20"/>
      <c r="N37" s="21"/>
      <c r="O37" s="21"/>
      <c r="P37" s="22"/>
      <c r="Q37" s="22"/>
      <c r="R37" s="22"/>
      <c r="S37" s="22"/>
      <c r="T37" s="22"/>
      <c r="U37" s="24"/>
      <c r="V37" s="20"/>
      <c r="W37" s="123"/>
      <c r="X37" s="21"/>
      <c r="Y37" s="21"/>
      <c r="Z37" s="21"/>
      <c r="AA37" s="21"/>
      <c r="AB37" s="21"/>
      <c r="AC37" s="21"/>
      <c r="AD37" s="21"/>
      <c r="AE37" s="21"/>
      <c r="AF37" s="24"/>
      <c r="AG37" s="25"/>
    </row>
    <row r="38" spans="1:47" s="26" customFormat="1" ht="35.1" customHeight="1" x14ac:dyDescent="0.2">
      <c r="A38" s="244">
        <f>A37+1</f>
        <v>12</v>
      </c>
      <c r="B38" s="241"/>
      <c r="C38" s="242"/>
      <c r="D38" s="243"/>
      <c r="E38" s="97"/>
      <c r="F38" s="315"/>
      <c r="G38" s="28"/>
      <c r="H38" s="29"/>
      <c r="I38" s="29"/>
      <c r="J38" s="30"/>
      <c r="K38" s="31"/>
      <c r="L38" s="27"/>
      <c r="M38" s="28"/>
      <c r="N38" s="29"/>
      <c r="O38" s="29"/>
      <c r="P38" s="30"/>
      <c r="Q38" s="30"/>
      <c r="R38" s="30"/>
      <c r="S38" s="30"/>
      <c r="T38" s="30"/>
      <c r="U38" s="27"/>
      <c r="V38" s="28"/>
      <c r="W38" s="29"/>
      <c r="X38" s="29"/>
      <c r="Y38" s="29"/>
      <c r="Z38" s="29"/>
      <c r="AA38" s="29"/>
      <c r="AB38" s="29"/>
      <c r="AC38" s="29"/>
      <c r="AD38" s="29"/>
      <c r="AE38" s="29"/>
      <c r="AF38" s="27"/>
      <c r="AG38" s="32"/>
    </row>
    <row r="39" spans="1:47" s="26" customFormat="1" ht="35.1" customHeight="1" x14ac:dyDescent="0.2">
      <c r="A39" s="244">
        <f t="shared" ref="A39:A46" si="1">A38+1</f>
        <v>13</v>
      </c>
      <c r="B39" s="241"/>
      <c r="C39" s="242"/>
      <c r="D39" s="243"/>
      <c r="E39" s="97"/>
      <c r="F39" s="315"/>
      <c r="G39" s="28"/>
      <c r="H39" s="29"/>
      <c r="I39" s="29"/>
      <c r="J39" s="30"/>
      <c r="K39" s="31"/>
      <c r="L39" s="27"/>
      <c r="M39" s="28"/>
      <c r="N39" s="29"/>
      <c r="O39" s="29"/>
      <c r="P39" s="30"/>
      <c r="Q39" s="30"/>
      <c r="R39" s="30"/>
      <c r="S39" s="30"/>
      <c r="T39" s="30"/>
      <c r="U39" s="27"/>
      <c r="V39" s="28"/>
      <c r="W39" s="29"/>
      <c r="X39" s="29"/>
      <c r="Y39" s="29"/>
      <c r="Z39" s="29"/>
      <c r="AA39" s="29"/>
      <c r="AB39" s="29"/>
      <c r="AC39" s="29"/>
      <c r="AD39" s="29"/>
      <c r="AE39" s="29"/>
      <c r="AF39" s="27"/>
      <c r="AG39" s="32"/>
    </row>
    <row r="40" spans="1:47" s="26" customFormat="1" ht="35.1" customHeight="1" x14ac:dyDescent="0.2">
      <c r="A40" s="244">
        <f t="shared" si="1"/>
        <v>14</v>
      </c>
      <c r="B40" s="241"/>
      <c r="C40" s="242"/>
      <c r="D40" s="243"/>
      <c r="E40" s="97"/>
      <c r="F40" s="315"/>
      <c r="G40" s="28"/>
      <c r="H40" s="29"/>
      <c r="I40" s="29"/>
      <c r="J40" s="30"/>
      <c r="K40" s="31"/>
      <c r="L40" s="27"/>
      <c r="M40" s="28"/>
      <c r="N40" s="29"/>
      <c r="O40" s="29"/>
      <c r="P40" s="30"/>
      <c r="Q40" s="30"/>
      <c r="R40" s="30"/>
      <c r="S40" s="30"/>
      <c r="T40" s="30"/>
      <c r="U40" s="27"/>
      <c r="V40" s="28"/>
      <c r="W40" s="29"/>
      <c r="X40" s="29"/>
      <c r="Y40" s="29"/>
      <c r="Z40" s="29"/>
      <c r="AA40" s="29"/>
      <c r="AB40" s="29"/>
      <c r="AC40" s="29"/>
      <c r="AD40" s="29"/>
      <c r="AE40" s="29"/>
      <c r="AF40" s="27"/>
      <c r="AG40" s="32"/>
    </row>
    <row r="41" spans="1:47" s="26" customFormat="1" ht="35.1" customHeight="1" x14ac:dyDescent="0.2">
      <c r="A41" s="244">
        <f t="shared" si="1"/>
        <v>15</v>
      </c>
      <c r="B41" s="241"/>
      <c r="C41" s="242"/>
      <c r="D41" s="243"/>
      <c r="E41" s="242"/>
      <c r="F41" s="251"/>
      <c r="G41" s="28"/>
      <c r="H41" s="29"/>
      <c r="I41" s="29"/>
      <c r="J41" s="30"/>
      <c r="K41" s="31"/>
      <c r="L41" s="27"/>
      <c r="M41" s="28"/>
      <c r="N41" s="29"/>
      <c r="O41" s="29"/>
      <c r="P41" s="30"/>
      <c r="Q41" s="30"/>
      <c r="R41" s="30"/>
      <c r="S41" s="30"/>
      <c r="T41" s="30"/>
      <c r="U41" s="27"/>
      <c r="V41" s="28"/>
      <c r="W41" s="29"/>
      <c r="X41" s="29"/>
      <c r="Y41" s="29"/>
      <c r="Z41" s="29"/>
      <c r="AA41" s="29"/>
      <c r="AB41" s="29"/>
      <c r="AC41" s="29"/>
      <c r="AD41" s="29"/>
      <c r="AE41" s="29"/>
      <c r="AF41" s="27"/>
      <c r="AG41" s="32"/>
    </row>
    <row r="42" spans="1:47" s="26" customFormat="1" ht="35.1" customHeight="1" x14ac:dyDescent="0.2">
      <c r="A42" s="244">
        <f t="shared" si="1"/>
        <v>16</v>
      </c>
      <c r="B42" s="241"/>
      <c r="C42" s="242"/>
      <c r="D42" s="243"/>
      <c r="E42" s="242"/>
      <c r="F42" s="251"/>
      <c r="G42" s="28"/>
      <c r="H42" s="29"/>
      <c r="I42" s="29"/>
      <c r="J42" s="30"/>
      <c r="K42" s="31"/>
      <c r="L42" s="27"/>
      <c r="M42" s="28"/>
      <c r="N42" s="29"/>
      <c r="O42" s="29"/>
      <c r="P42" s="30"/>
      <c r="Q42" s="30"/>
      <c r="R42" s="30"/>
      <c r="S42" s="30"/>
      <c r="T42" s="30"/>
      <c r="U42" s="27"/>
      <c r="V42" s="28"/>
      <c r="W42" s="29"/>
      <c r="X42" s="29"/>
      <c r="Y42" s="29"/>
      <c r="Z42" s="29"/>
      <c r="AA42" s="29"/>
      <c r="AB42" s="29"/>
      <c r="AC42" s="29"/>
      <c r="AD42" s="29"/>
      <c r="AE42" s="29"/>
      <c r="AF42" s="27"/>
      <c r="AG42" s="32"/>
    </row>
    <row r="43" spans="1:47" s="26" customFormat="1" ht="35.1" customHeight="1" x14ac:dyDescent="0.2">
      <c r="A43" s="244">
        <f t="shared" si="1"/>
        <v>17</v>
      </c>
      <c r="B43" s="49"/>
      <c r="C43" s="50"/>
      <c r="D43" s="51"/>
      <c r="E43" s="299"/>
      <c r="F43" s="27"/>
      <c r="G43" s="28"/>
      <c r="H43" s="29"/>
      <c r="I43" s="29"/>
      <c r="J43" s="30"/>
      <c r="K43" s="31"/>
      <c r="L43" s="27"/>
      <c r="M43" s="28"/>
      <c r="N43" s="29"/>
      <c r="O43" s="29"/>
      <c r="P43" s="30"/>
      <c r="Q43" s="30"/>
      <c r="R43" s="30"/>
      <c r="S43" s="30"/>
      <c r="T43" s="30"/>
      <c r="U43" s="27"/>
      <c r="V43" s="28"/>
      <c r="W43" s="29"/>
      <c r="X43" s="29"/>
      <c r="Y43" s="29"/>
      <c r="Z43" s="29"/>
      <c r="AA43" s="29"/>
      <c r="AB43" s="29"/>
      <c r="AC43" s="29"/>
      <c r="AD43" s="29"/>
      <c r="AE43" s="29"/>
      <c r="AF43" s="27"/>
      <c r="AG43" s="32"/>
    </row>
    <row r="44" spans="1:47" s="26" customFormat="1" ht="35.1" customHeight="1" x14ac:dyDescent="0.2">
      <c r="A44" s="244">
        <f t="shared" si="1"/>
        <v>18</v>
      </c>
      <c r="B44" s="49"/>
      <c r="C44" s="50"/>
      <c r="D44" s="51"/>
      <c r="E44" s="299"/>
      <c r="F44" s="27"/>
      <c r="G44" s="28"/>
      <c r="H44" s="29"/>
      <c r="I44" s="29"/>
      <c r="J44" s="30"/>
      <c r="K44" s="31"/>
      <c r="L44" s="27"/>
      <c r="M44" s="28"/>
      <c r="N44" s="29"/>
      <c r="O44" s="29"/>
      <c r="P44" s="30"/>
      <c r="Q44" s="30"/>
      <c r="R44" s="30"/>
      <c r="S44" s="30"/>
      <c r="T44" s="30"/>
      <c r="U44" s="27"/>
      <c r="V44" s="28"/>
      <c r="W44" s="29"/>
      <c r="X44" s="29"/>
      <c r="Y44" s="29"/>
      <c r="Z44" s="29"/>
      <c r="AA44" s="29"/>
      <c r="AB44" s="29"/>
      <c r="AC44" s="29"/>
      <c r="AD44" s="29"/>
      <c r="AE44" s="29"/>
      <c r="AF44" s="27"/>
      <c r="AG44" s="32"/>
    </row>
    <row r="45" spans="1:47" s="26" customFormat="1" ht="35.1" customHeight="1" x14ac:dyDescent="0.2">
      <c r="A45" s="244">
        <f t="shared" si="1"/>
        <v>19</v>
      </c>
      <c r="B45" s="49"/>
      <c r="C45" s="50"/>
      <c r="D45" s="51"/>
      <c r="E45" s="299"/>
      <c r="F45" s="27"/>
      <c r="G45" s="28"/>
      <c r="H45" s="29"/>
      <c r="I45" s="29"/>
      <c r="J45" s="30"/>
      <c r="K45" s="31"/>
      <c r="L45" s="27"/>
      <c r="M45" s="28"/>
      <c r="N45" s="29"/>
      <c r="O45" s="29"/>
      <c r="P45" s="30"/>
      <c r="Q45" s="30"/>
      <c r="R45" s="30"/>
      <c r="S45" s="30"/>
      <c r="T45" s="30"/>
      <c r="U45" s="27"/>
      <c r="V45" s="28"/>
      <c r="W45" s="29"/>
      <c r="X45" s="29"/>
      <c r="Y45" s="29"/>
      <c r="Z45" s="29"/>
      <c r="AA45" s="29"/>
      <c r="AB45" s="29"/>
      <c r="AC45" s="29"/>
      <c r="AD45" s="29"/>
      <c r="AE45" s="29"/>
      <c r="AF45" s="27"/>
      <c r="AG45" s="32"/>
    </row>
    <row r="46" spans="1:47" s="26" customFormat="1" ht="35.1" customHeight="1" thickBot="1" x14ac:dyDescent="0.25">
      <c r="A46" s="252">
        <f t="shared" si="1"/>
        <v>20</v>
      </c>
      <c r="B46" s="117"/>
      <c r="C46" s="118"/>
      <c r="D46" s="119"/>
      <c r="E46" s="302"/>
      <c r="F46" s="69"/>
      <c r="G46" s="65"/>
      <c r="H46" s="66"/>
      <c r="I46" s="66"/>
      <c r="J46" s="67"/>
      <c r="K46" s="68"/>
      <c r="L46" s="69"/>
      <c r="M46" s="65"/>
      <c r="N46" s="66"/>
      <c r="O46" s="66"/>
      <c r="P46" s="67"/>
      <c r="Q46" s="67"/>
      <c r="R46" s="67"/>
      <c r="S46" s="67"/>
      <c r="T46" s="67"/>
      <c r="U46" s="69"/>
      <c r="V46" s="65"/>
      <c r="W46" s="66"/>
      <c r="X46" s="66"/>
      <c r="Y46" s="66"/>
      <c r="Z46" s="66"/>
      <c r="AA46" s="66"/>
      <c r="AB46" s="66"/>
      <c r="AC46" s="66"/>
      <c r="AD46" s="66"/>
      <c r="AE46" s="66"/>
      <c r="AF46" s="69"/>
      <c r="AG46" s="70"/>
    </row>
    <row r="47" spans="1:47" s="11" customFormat="1" x14ac:dyDescent="0.2">
      <c r="A47" s="116" t="s">
        <v>75</v>
      </c>
      <c r="C47" s="46"/>
      <c r="F47" s="125" t="s">
        <v>76</v>
      </c>
      <c r="J47" s="308"/>
      <c r="K47" s="308"/>
      <c r="V47" s="125" t="s">
        <v>77</v>
      </c>
      <c r="AG47" s="13"/>
    </row>
    <row r="48" spans="1:47" s="11" customFormat="1" ht="12.75" customHeight="1" x14ac:dyDescent="0.2">
      <c r="A48" s="253" t="s">
        <v>8</v>
      </c>
      <c r="B48" s="138" t="s">
        <v>157</v>
      </c>
      <c r="C48" s="132"/>
      <c r="D48" s="132"/>
      <c r="E48" s="132"/>
      <c r="F48" s="306" t="s">
        <v>8</v>
      </c>
      <c r="G48" s="457" t="s">
        <v>89</v>
      </c>
      <c r="H48" s="457"/>
      <c r="I48" s="457"/>
      <c r="J48" s="457"/>
      <c r="K48" s="457"/>
      <c r="L48" s="457"/>
      <c r="M48" s="457"/>
      <c r="N48" s="457"/>
      <c r="O48" s="457"/>
      <c r="P48" s="457"/>
      <c r="Q48" s="457"/>
      <c r="R48" s="457"/>
      <c r="S48" s="457"/>
      <c r="T48" s="457"/>
      <c r="V48" s="11" t="s">
        <v>95</v>
      </c>
      <c r="AG48" s="13"/>
    </row>
    <row r="49" spans="1:54" s="11" customFormat="1" ht="11.25" x14ac:dyDescent="0.2">
      <c r="A49" s="116"/>
      <c r="B49" s="138" t="s">
        <v>158</v>
      </c>
      <c r="C49" s="132"/>
      <c r="D49" s="132"/>
      <c r="E49" s="132"/>
      <c r="F49" s="307"/>
      <c r="G49" s="457"/>
      <c r="H49" s="457"/>
      <c r="I49" s="457"/>
      <c r="J49" s="457"/>
      <c r="K49" s="457"/>
      <c r="L49" s="457"/>
      <c r="M49" s="457"/>
      <c r="N49" s="457"/>
      <c r="O49" s="457"/>
      <c r="P49" s="457"/>
      <c r="Q49" s="457"/>
      <c r="R49" s="457"/>
      <c r="S49" s="457"/>
      <c r="T49" s="457"/>
      <c r="V49" s="11" t="s">
        <v>96</v>
      </c>
      <c r="AG49" s="13"/>
    </row>
    <row r="50" spans="1:54" s="11" customFormat="1" ht="11.25" customHeight="1" x14ac:dyDescent="0.2">
      <c r="A50" s="253" t="s">
        <v>9</v>
      </c>
      <c r="B50" s="126" t="s">
        <v>82</v>
      </c>
      <c r="C50" s="46"/>
      <c r="F50" s="306" t="s">
        <v>9</v>
      </c>
      <c r="G50" s="457" t="s">
        <v>88</v>
      </c>
      <c r="H50" s="457"/>
      <c r="I50" s="457"/>
      <c r="J50" s="457"/>
      <c r="K50" s="457"/>
      <c r="L50" s="457"/>
      <c r="M50" s="457"/>
      <c r="N50" s="457"/>
      <c r="O50" s="457"/>
      <c r="P50" s="457"/>
      <c r="Q50" s="457"/>
      <c r="R50" s="457"/>
      <c r="S50" s="457"/>
      <c r="T50" s="457"/>
      <c r="AG50" s="13"/>
    </row>
    <row r="51" spans="1:54" s="11" customFormat="1" ht="12.75" customHeight="1" x14ac:dyDescent="0.2">
      <c r="A51" s="253" t="s">
        <v>11</v>
      </c>
      <c r="B51" s="126" t="s">
        <v>83</v>
      </c>
      <c r="C51" s="46"/>
      <c r="F51" s="46"/>
      <c r="G51" s="457"/>
      <c r="H51" s="457"/>
      <c r="I51" s="457"/>
      <c r="J51" s="457"/>
      <c r="K51" s="457"/>
      <c r="L51" s="457"/>
      <c r="M51" s="457"/>
      <c r="N51" s="457"/>
      <c r="O51" s="457"/>
      <c r="P51" s="457"/>
      <c r="Q51" s="457"/>
      <c r="R51" s="457"/>
      <c r="S51" s="457"/>
      <c r="T51" s="457"/>
      <c r="U51" s="14"/>
      <c r="AG51" s="13"/>
    </row>
    <row r="52" spans="1:54" s="11" customFormat="1" ht="12.75" customHeight="1" x14ac:dyDescent="0.2">
      <c r="A52" s="253" t="s">
        <v>12</v>
      </c>
      <c r="B52" s="126" t="s">
        <v>84</v>
      </c>
      <c r="C52" s="46"/>
      <c r="F52" s="306" t="s">
        <v>11</v>
      </c>
      <c r="G52" s="461" t="s">
        <v>78</v>
      </c>
      <c r="H52" s="461"/>
      <c r="I52" s="461"/>
      <c r="J52" s="461"/>
      <c r="K52" s="461"/>
      <c r="L52" s="461"/>
      <c r="M52" s="461"/>
      <c r="N52" s="461"/>
      <c r="O52" s="461"/>
      <c r="P52" s="461"/>
      <c r="Q52" s="461"/>
      <c r="R52" s="461"/>
      <c r="S52" s="461"/>
      <c r="T52" s="461"/>
      <c r="AG52" s="13"/>
    </row>
    <row r="53" spans="1:54" s="11" customFormat="1" ht="11.25" customHeight="1" x14ac:dyDescent="0.2">
      <c r="A53" s="253" t="s">
        <v>13</v>
      </c>
      <c r="B53" s="126" t="s">
        <v>85</v>
      </c>
      <c r="C53" s="46"/>
      <c r="F53" s="306" t="s">
        <v>12</v>
      </c>
      <c r="G53" s="457" t="s">
        <v>87</v>
      </c>
      <c r="H53" s="457"/>
      <c r="I53" s="457"/>
      <c r="J53" s="457"/>
      <c r="K53" s="457"/>
      <c r="L53" s="457"/>
      <c r="M53" s="457"/>
      <c r="N53" s="457"/>
      <c r="O53" s="457"/>
      <c r="P53" s="457"/>
      <c r="Q53" s="457"/>
      <c r="R53" s="457"/>
      <c r="S53" s="457"/>
      <c r="T53" s="457"/>
      <c r="AG53" s="13"/>
    </row>
    <row r="54" spans="1:54" s="11" customFormat="1" ht="11.25" customHeight="1" x14ac:dyDescent="0.2">
      <c r="A54" s="253"/>
      <c r="B54" s="126"/>
      <c r="C54" s="46"/>
      <c r="F54" s="306" t="s">
        <v>13</v>
      </c>
      <c r="G54" s="459" t="s">
        <v>86</v>
      </c>
      <c r="H54" s="459"/>
      <c r="I54" s="459"/>
      <c r="J54" s="459"/>
      <c r="K54" s="459"/>
      <c r="L54" s="459"/>
      <c r="M54" s="459"/>
      <c r="N54" s="459"/>
      <c r="O54" s="459"/>
      <c r="P54" s="459"/>
      <c r="Q54" s="459"/>
      <c r="R54" s="459"/>
      <c r="S54" s="459"/>
      <c r="T54" s="459"/>
      <c r="AG54" s="13"/>
    </row>
    <row r="55" spans="1:54" s="11" customFormat="1" ht="16.5" customHeight="1" thickBot="1" x14ac:dyDescent="0.25">
      <c r="A55" s="254"/>
      <c r="B55" s="15"/>
      <c r="C55" s="47"/>
      <c r="D55" s="15"/>
      <c r="E55" s="15"/>
      <c r="F55" s="303"/>
      <c r="G55" s="458"/>
      <c r="H55" s="458"/>
      <c r="I55" s="458"/>
      <c r="J55" s="458"/>
      <c r="K55" s="458"/>
      <c r="L55" s="458"/>
      <c r="M55" s="458"/>
      <c r="N55" s="458"/>
      <c r="O55" s="458"/>
      <c r="P55" s="458"/>
      <c r="Q55" s="458"/>
      <c r="R55" s="458"/>
      <c r="S55" s="458"/>
      <c r="T55" s="458"/>
      <c r="U55" s="128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6"/>
    </row>
    <row r="56" spans="1:54" s="18" customFormat="1" ht="16.5" customHeight="1" x14ac:dyDescent="0.2">
      <c r="A56" s="134" t="s">
        <v>105</v>
      </c>
      <c r="C56" s="19"/>
      <c r="BA56" s="19"/>
      <c r="BB56" s="19"/>
    </row>
    <row r="57" spans="1:54" s="18" customFormat="1" ht="5.25" customHeight="1" x14ac:dyDescent="0.25">
      <c r="A57" s="88"/>
      <c r="C57" s="19"/>
      <c r="BA57" s="19"/>
      <c r="BB57" s="19"/>
    </row>
    <row r="58" spans="1:54" s="88" customFormat="1" ht="15" x14ac:dyDescent="0.25">
      <c r="B58" s="88" t="s">
        <v>53</v>
      </c>
      <c r="C58" s="89"/>
      <c r="F58" s="88" t="s">
        <v>54</v>
      </c>
      <c r="V58" s="88" t="s">
        <v>55</v>
      </c>
      <c r="AT58" s="89"/>
      <c r="AU58" s="89"/>
    </row>
    <row r="59" spans="1:54" s="18" customFormat="1" ht="21.75" customHeight="1" x14ac:dyDescent="0.25">
      <c r="A59" s="88"/>
      <c r="C59" s="19"/>
      <c r="AT59" s="19"/>
      <c r="AU59" s="19"/>
    </row>
    <row r="60" spans="1:54" s="18" customFormat="1" ht="15.75" customHeight="1" x14ac:dyDescent="0.25">
      <c r="A60" s="88"/>
      <c r="C60" s="19"/>
      <c r="AT60" s="19"/>
      <c r="AU60" s="19"/>
    </row>
    <row r="61" spans="1:54" s="18" customFormat="1" ht="17.25" customHeight="1" x14ac:dyDescent="0.25">
      <c r="A61" s="88"/>
      <c r="B61" s="90"/>
      <c r="C61" s="19"/>
      <c r="F61" s="90"/>
      <c r="G61" s="90"/>
      <c r="H61" s="90"/>
      <c r="I61" s="90"/>
      <c r="J61" s="90"/>
      <c r="K61" s="90"/>
      <c r="L61" s="90"/>
      <c r="M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T61" s="19"/>
      <c r="AU61" s="19"/>
    </row>
    <row r="62" spans="1:54" s="18" customFormat="1" ht="16.5" customHeight="1" x14ac:dyDescent="0.25">
      <c r="A62" s="88"/>
      <c r="B62" s="18" t="s">
        <v>56</v>
      </c>
      <c r="C62" s="19"/>
      <c r="F62" s="18" t="s">
        <v>56</v>
      </c>
      <c r="V62" s="18" t="s">
        <v>57</v>
      </c>
      <c r="AT62" s="19"/>
      <c r="AU62" s="19"/>
    </row>
    <row r="63" spans="1:54" s="18" customFormat="1" ht="18" customHeight="1" x14ac:dyDescent="0.25">
      <c r="A63" s="88"/>
      <c r="B63" s="18" t="s">
        <v>58</v>
      </c>
      <c r="C63" s="19"/>
      <c r="F63" s="18" t="s">
        <v>59</v>
      </c>
      <c r="V63" s="18" t="s">
        <v>58</v>
      </c>
      <c r="AT63" s="19"/>
      <c r="AU63" s="19"/>
    </row>
    <row r="64" spans="1:54" ht="13.5" thickBot="1" x14ac:dyDescent="0.25"/>
    <row r="65" spans="1:33" s="26" customFormat="1" ht="35.1" customHeight="1" x14ac:dyDescent="0.2">
      <c r="A65" s="255">
        <v>21</v>
      </c>
      <c r="B65" s="256"/>
      <c r="C65" s="257"/>
      <c r="D65" s="258"/>
      <c r="E65" s="93"/>
      <c r="F65" s="319"/>
      <c r="G65" s="20"/>
      <c r="H65" s="21"/>
      <c r="I65" s="21"/>
      <c r="J65" s="22"/>
      <c r="K65" s="23"/>
      <c r="L65" s="24"/>
      <c r="M65" s="20"/>
      <c r="N65" s="21"/>
      <c r="O65" s="21"/>
      <c r="P65" s="22"/>
      <c r="Q65" s="22"/>
      <c r="R65" s="22"/>
      <c r="S65" s="22"/>
      <c r="T65" s="22"/>
      <c r="U65" s="24"/>
      <c r="V65" s="20"/>
      <c r="W65" s="123"/>
      <c r="X65" s="21"/>
      <c r="Y65" s="21"/>
      <c r="Z65" s="21"/>
      <c r="AA65" s="21"/>
      <c r="AB65" s="21"/>
      <c r="AC65" s="21"/>
      <c r="AD65" s="21"/>
      <c r="AE65" s="21"/>
      <c r="AF65" s="24"/>
      <c r="AG65" s="25"/>
    </row>
    <row r="66" spans="1:33" s="26" customFormat="1" ht="35.1" customHeight="1" x14ac:dyDescent="0.2">
      <c r="A66" s="244">
        <f>A65+1</f>
        <v>22</v>
      </c>
      <c r="B66" s="241"/>
      <c r="C66" s="242"/>
      <c r="D66" s="243"/>
      <c r="E66" s="97"/>
      <c r="F66" s="315"/>
      <c r="G66" s="28"/>
      <c r="H66" s="29"/>
      <c r="I66" s="29"/>
      <c r="J66" s="30"/>
      <c r="K66" s="31"/>
      <c r="L66" s="27"/>
      <c r="M66" s="28"/>
      <c r="N66" s="29"/>
      <c r="O66" s="29"/>
      <c r="P66" s="30"/>
      <c r="Q66" s="30"/>
      <c r="R66" s="30"/>
      <c r="S66" s="30"/>
      <c r="T66" s="30"/>
      <c r="U66" s="27"/>
      <c r="V66" s="28"/>
      <c r="W66" s="29"/>
      <c r="X66" s="29"/>
      <c r="Y66" s="29"/>
      <c r="Z66" s="29"/>
      <c r="AA66" s="29"/>
      <c r="AB66" s="29"/>
      <c r="AC66" s="29"/>
      <c r="AD66" s="29"/>
      <c r="AE66" s="29"/>
      <c r="AF66" s="27"/>
      <c r="AG66" s="32"/>
    </row>
    <row r="67" spans="1:33" s="26" customFormat="1" ht="35.1" customHeight="1" x14ac:dyDescent="0.2">
      <c r="A67" s="244">
        <f t="shared" ref="A67:A74" si="2">A66+1</f>
        <v>23</v>
      </c>
      <c r="B67" s="241"/>
      <c r="C67" s="242"/>
      <c r="D67" s="243"/>
      <c r="E67" s="97"/>
      <c r="F67" s="315"/>
      <c r="G67" s="28"/>
      <c r="H67" s="29"/>
      <c r="I67" s="29"/>
      <c r="J67" s="30"/>
      <c r="K67" s="31"/>
      <c r="L67" s="27"/>
      <c r="M67" s="28"/>
      <c r="N67" s="29"/>
      <c r="O67" s="29"/>
      <c r="P67" s="30"/>
      <c r="Q67" s="30"/>
      <c r="R67" s="30"/>
      <c r="S67" s="30"/>
      <c r="T67" s="30"/>
      <c r="U67" s="27"/>
      <c r="V67" s="28"/>
      <c r="W67" s="29"/>
      <c r="X67" s="29"/>
      <c r="Y67" s="29"/>
      <c r="Z67" s="29"/>
      <c r="AA67" s="29"/>
      <c r="AB67" s="29"/>
      <c r="AC67" s="29"/>
      <c r="AD67" s="29"/>
      <c r="AE67" s="29"/>
      <c r="AF67" s="27"/>
      <c r="AG67" s="32"/>
    </row>
    <row r="68" spans="1:33" s="26" customFormat="1" ht="35.1" customHeight="1" x14ac:dyDescent="0.2">
      <c r="A68" s="244">
        <f t="shared" si="2"/>
        <v>24</v>
      </c>
      <c r="B68" s="241"/>
      <c r="C68" s="242"/>
      <c r="D68" s="243"/>
      <c r="E68" s="97"/>
      <c r="F68" s="315"/>
      <c r="G68" s="28"/>
      <c r="H68" s="29"/>
      <c r="I68" s="29"/>
      <c r="J68" s="30"/>
      <c r="K68" s="31"/>
      <c r="L68" s="27"/>
      <c r="M68" s="28"/>
      <c r="N68" s="29"/>
      <c r="O68" s="29"/>
      <c r="P68" s="30"/>
      <c r="Q68" s="30"/>
      <c r="R68" s="30"/>
      <c r="S68" s="30"/>
      <c r="T68" s="30"/>
      <c r="U68" s="27"/>
      <c r="V68" s="28"/>
      <c r="W68" s="29"/>
      <c r="X68" s="29"/>
      <c r="Y68" s="29"/>
      <c r="Z68" s="29"/>
      <c r="AA68" s="29"/>
      <c r="AB68" s="29"/>
      <c r="AC68" s="29"/>
      <c r="AD68" s="29"/>
      <c r="AE68" s="29"/>
      <c r="AF68" s="27"/>
      <c r="AG68" s="32"/>
    </row>
    <row r="69" spans="1:33" s="26" customFormat="1" ht="35.1" customHeight="1" x14ac:dyDescent="0.2">
      <c r="A69" s="244">
        <f t="shared" si="2"/>
        <v>25</v>
      </c>
      <c r="B69" s="241"/>
      <c r="C69" s="242"/>
      <c r="D69" s="243"/>
      <c r="E69" s="242"/>
      <c r="F69" s="251"/>
      <c r="G69" s="28"/>
      <c r="H69" s="29"/>
      <c r="I69" s="29"/>
      <c r="J69" s="30"/>
      <c r="K69" s="31"/>
      <c r="L69" s="27"/>
      <c r="M69" s="28"/>
      <c r="N69" s="29"/>
      <c r="O69" s="29"/>
      <c r="P69" s="30"/>
      <c r="Q69" s="30"/>
      <c r="R69" s="30"/>
      <c r="S69" s="30"/>
      <c r="T69" s="30"/>
      <c r="U69" s="27"/>
      <c r="V69" s="28"/>
      <c r="W69" s="29"/>
      <c r="X69" s="29"/>
      <c r="Y69" s="29"/>
      <c r="Z69" s="29"/>
      <c r="AA69" s="29"/>
      <c r="AB69" s="29"/>
      <c r="AC69" s="29"/>
      <c r="AD69" s="29"/>
      <c r="AE69" s="29"/>
      <c r="AF69" s="27"/>
      <c r="AG69" s="32"/>
    </row>
    <row r="70" spans="1:33" s="26" customFormat="1" ht="35.1" customHeight="1" x14ac:dyDescent="0.2">
      <c r="A70" s="244">
        <f t="shared" si="2"/>
        <v>26</v>
      </c>
      <c r="B70" s="241"/>
      <c r="C70" s="242"/>
      <c r="D70" s="243"/>
      <c r="E70" s="242"/>
      <c r="F70" s="251"/>
      <c r="G70" s="28"/>
      <c r="H70" s="29"/>
      <c r="I70" s="29"/>
      <c r="J70" s="30"/>
      <c r="K70" s="31"/>
      <c r="L70" s="27"/>
      <c r="M70" s="28"/>
      <c r="N70" s="29"/>
      <c r="O70" s="29"/>
      <c r="P70" s="30"/>
      <c r="Q70" s="30"/>
      <c r="R70" s="30"/>
      <c r="S70" s="30"/>
      <c r="T70" s="30"/>
      <c r="U70" s="27"/>
      <c r="V70" s="28"/>
      <c r="W70" s="29"/>
      <c r="X70" s="29"/>
      <c r="Y70" s="29"/>
      <c r="Z70" s="29"/>
      <c r="AA70" s="29"/>
      <c r="AB70" s="29"/>
      <c r="AC70" s="29"/>
      <c r="AD70" s="29"/>
      <c r="AE70" s="29"/>
      <c r="AF70" s="27"/>
      <c r="AG70" s="32"/>
    </row>
    <row r="71" spans="1:33" s="26" customFormat="1" ht="35.1" customHeight="1" x14ac:dyDescent="0.2">
      <c r="A71" s="244">
        <f t="shared" si="2"/>
        <v>27</v>
      </c>
      <c r="B71" s="49"/>
      <c r="C71" s="50"/>
      <c r="D71" s="51"/>
      <c r="E71" s="299"/>
      <c r="F71" s="27"/>
      <c r="G71" s="28"/>
      <c r="H71" s="29"/>
      <c r="I71" s="29"/>
      <c r="J71" s="30"/>
      <c r="K71" s="31"/>
      <c r="L71" s="27"/>
      <c r="M71" s="28"/>
      <c r="N71" s="29"/>
      <c r="O71" s="29"/>
      <c r="P71" s="30"/>
      <c r="Q71" s="30"/>
      <c r="R71" s="30"/>
      <c r="S71" s="30"/>
      <c r="T71" s="30"/>
      <c r="U71" s="27"/>
      <c r="V71" s="28"/>
      <c r="W71" s="29"/>
      <c r="X71" s="29"/>
      <c r="Y71" s="29"/>
      <c r="Z71" s="29"/>
      <c r="AA71" s="29"/>
      <c r="AB71" s="29"/>
      <c r="AC71" s="29"/>
      <c r="AD71" s="29"/>
      <c r="AE71" s="29"/>
      <c r="AF71" s="27"/>
      <c r="AG71" s="32"/>
    </row>
    <row r="72" spans="1:33" s="26" customFormat="1" ht="35.1" customHeight="1" x14ac:dyDescent="0.2">
      <c r="A72" s="244">
        <f t="shared" si="2"/>
        <v>28</v>
      </c>
      <c r="B72" s="49"/>
      <c r="C72" s="50"/>
      <c r="D72" s="51"/>
      <c r="E72" s="299"/>
      <c r="F72" s="27"/>
      <c r="G72" s="28"/>
      <c r="H72" s="29"/>
      <c r="I72" s="29"/>
      <c r="J72" s="30"/>
      <c r="K72" s="31"/>
      <c r="L72" s="27"/>
      <c r="M72" s="28"/>
      <c r="N72" s="29"/>
      <c r="O72" s="29"/>
      <c r="P72" s="30"/>
      <c r="Q72" s="30"/>
      <c r="R72" s="30"/>
      <c r="S72" s="30"/>
      <c r="T72" s="30"/>
      <c r="U72" s="27"/>
      <c r="V72" s="28"/>
      <c r="W72" s="29"/>
      <c r="X72" s="29"/>
      <c r="Y72" s="29"/>
      <c r="Z72" s="29"/>
      <c r="AA72" s="29"/>
      <c r="AB72" s="29"/>
      <c r="AC72" s="29"/>
      <c r="AD72" s="29"/>
      <c r="AE72" s="29"/>
      <c r="AF72" s="27"/>
      <c r="AG72" s="32"/>
    </row>
    <row r="73" spans="1:33" s="26" customFormat="1" ht="35.1" customHeight="1" x14ac:dyDescent="0.2">
      <c r="A73" s="244">
        <f t="shared" si="2"/>
        <v>29</v>
      </c>
      <c r="B73" s="49"/>
      <c r="C73" s="50"/>
      <c r="D73" s="51"/>
      <c r="E73" s="299"/>
      <c r="F73" s="27"/>
      <c r="G73" s="28"/>
      <c r="H73" s="29"/>
      <c r="I73" s="29"/>
      <c r="J73" s="30"/>
      <c r="K73" s="31"/>
      <c r="L73" s="27"/>
      <c r="M73" s="28"/>
      <c r="N73" s="29"/>
      <c r="O73" s="29"/>
      <c r="P73" s="30"/>
      <c r="Q73" s="30"/>
      <c r="R73" s="30"/>
      <c r="S73" s="30"/>
      <c r="T73" s="30"/>
      <c r="U73" s="27"/>
      <c r="V73" s="28"/>
      <c r="W73" s="29"/>
      <c r="X73" s="29"/>
      <c r="Y73" s="29"/>
      <c r="Z73" s="29"/>
      <c r="AA73" s="29"/>
      <c r="AB73" s="29"/>
      <c r="AC73" s="29"/>
      <c r="AD73" s="29"/>
      <c r="AE73" s="29"/>
      <c r="AF73" s="27"/>
      <c r="AG73" s="32"/>
    </row>
    <row r="74" spans="1:33" s="26" customFormat="1" ht="35.1" customHeight="1" thickBot="1" x14ac:dyDescent="0.25">
      <c r="A74" s="252">
        <f t="shared" si="2"/>
        <v>30</v>
      </c>
      <c r="B74" s="117"/>
      <c r="C74" s="118"/>
      <c r="D74" s="119"/>
      <c r="E74" s="302"/>
      <c r="F74" s="69"/>
      <c r="G74" s="65"/>
      <c r="H74" s="66"/>
      <c r="I74" s="66"/>
      <c r="J74" s="67"/>
      <c r="K74" s="68"/>
      <c r="L74" s="69"/>
      <c r="M74" s="65"/>
      <c r="N74" s="66"/>
      <c r="O74" s="66"/>
      <c r="P74" s="67"/>
      <c r="Q74" s="67"/>
      <c r="R74" s="67"/>
      <c r="S74" s="67"/>
      <c r="T74" s="67"/>
      <c r="U74" s="69"/>
      <c r="V74" s="65"/>
      <c r="W74" s="66"/>
      <c r="X74" s="66"/>
      <c r="Y74" s="66"/>
      <c r="Z74" s="66"/>
      <c r="AA74" s="66"/>
      <c r="AB74" s="66"/>
      <c r="AC74" s="66"/>
      <c r="AD74" s="66"/>
      <c r="AE74" s="66"/>
      <c r="AF74" s="69"/>
      <c r="AG74" s="70"/>
    </row>
    <row r="75" spans="1:33" s="11" customFormat="1" x14ac:dyDescent="0.2">
      <c r="A75" s="116" t="s">
        <v>75</v>
      </c>
      <c r="C75" s="46"/>
      <c r="F75" s="125" t="s">
        <v>76</v>
      </c>
      <c r="J75" s="308"/>
      <c r="K75" s="308"/>
      <c r="V75" s="125" t="s">
        <v>77</v>
      </c>
      <c r="AG75" s="13"/>
    </row>
    <row r="76" spans="1:33" s="11" customFormat="1" ht="12.75" customHeight="1" x14ac:dyDescent="0.2">
      <c r="A76" s="253" t="s">
        <v>8</v>
      </c>
      <c r="B76" s="138" t="s">
        <v>157</v>
      </c>
      <c r="C76" s="132"/>
      <c r="D76" s="132"/>
      <c r="E76" s="132"/>
      <c r="F76" s="306" t="s">
        <v>8</v>
      </c>
      <c r="G76" s="457" t="s">
        <v>89</v>
      </c>
      <c r="H76" s="457"/>
      <c r="I76" s="457"/>
      <c r="J76" s="457"/>
      <c r="K76" s="457"/>
      <c r="L76" s="457"/>
      <c r="M76" s="457"/>
      <c r="N76" s="457"/>
      <c r="O76" s="457"/>
      <c r="P76" s="457"/>
      <c r="Q76" s="457"/>
      <c r="R76" s="457"/>
      <c r="S76" s="457"/>
      <c r="T76" s="457"/>
      <c r="V76" s="11" t="s">
        <v>95</v>
      </c>
      <c r="AG76" s="13"/>
    </row>
    <row r="77" spans="1:33" s="11" customFormat="1" ht="11.25" x14ac:dyDescent="0.2">
      <c r="A77" s="116"/>
      <c r="B77" s="138" t="s">
        <v>158</v>
      </c>
      <c r="C77" s="132"/>
      <c r="D77" s="132"/>
      <c r="E77" s="132"/>
      <c r="F77" s="307"/>
      <c r="G77" s="457"/>
      <c r="H77" s="457"/>
      <c r="I77" s="457"/>
      <c r="J77" s="457"/>
      <c r="K77" s="457"/>
      <c r="L77" s="457"/>
      <c r="M77" s="457"/>
      <c r="N77" s="457"/>
      <c r="O77" s="457"/>
      <c r="P77" s="457"/>
      <c r="Q77" s="457"/>
      <c r="R77" s="457"/>
      <c r="S77" s="457"/>
      <c r="T77" s="457"/>
      <c r="V77" s="11" t="s">
        <v>96</v>
      </c>
      <c r="AG77" s="13"/>
    </row>
    <row r="78" spans="1:33" s="11" customFormat="1" ht="11.25" customHeight="1" x14ac:dyDescent="0.2">
      <c r="A78" s="253" t="s">
        <v>9</v>
      </c>
      <c r="B78" s="126" t="s">
        <v>82</v>
      </c>
      <c r="C78" s="46"/>
      <c r="F78" s="306" t="s">
        <v>9</v>
      </c>
      <c r="G78" s="457" t="s">
        <v>88</v>
      </c>
      <c r="H78" s="457"/>
      <c r="I78" s="457"/>
      <c r="J78" s="457"/>
      <c r="K78" s="457"/>
      <c r="L78" s="457"/>
      <c r="M78" s="457"/>
      <c r="N78" s="457"/>
      <c r="O78" s="457"/>
      <c r="P78" s="457"/>
      <c r="Q78" s="457"/>
      <c r="R78" s="457"/>
      <c r="S78" s="457"/>
      <c r="T78" s="457"/>
      <c r="AG78" s="13"/>
    </row>
    <row r="79" spans="1:33" s="11" customFormat="1" ht="12.75" customHeight="1" x14ac:dyDescent="0.2">
      <c r="A79" s="253" t="s">
        <v>11</v>
      </c>
      <c r="B79" s="126" t="s">
        <v>83</v>
      </c>
      <c r="C79" s="46"/>
      <c r="F79" s="46"/>
      <c r="G79" s="457"/>
      <c r="H79" s="457"/>
      <c r="I79" s="457"/>
      <c r="J79" s="457"/>
      <c r="K79" s="457"/>
      <c r="L79" s="457"/>
      <c r="M79" s="457"/>
      <c r="N79" s="457"/>
      <c r="O79" s="457"/>
      <c r="P79" s="457"/>
      <c r="Q79" s="457"/>
      <c r="R79" s="457"/>
      <c r="S79" s="457"/>
      <c r="T79" s="457"/>
      <c r="U79" s="14"/>
      <c r="AG79" s="13"/>
    </row>
    <row r="80" spans="1:33" s="11" customFormat="1" ht="12.75" customHeight="1" x14ac:dyDescent="0.2">
      <c r="A80" s="253" t="s">
        <v>12</v>
      </c>
      <c r="B80" s="126" t="s">
        <v>84</v>
      </c>
      <c r="C80" s="46"/>
      <c r="F80" s="306" t="s">
        <v>11</v>
      </c>
      <c r="G80" s="461" t="s">
        <v>78</v>
      </c>
      <c r="H80" s="461"/>
      <c r="I80" s="461"/>
      <c r="J80" s="461"/>
      <c r="K80" s="461"/>
      <c r="L80" s="461"/>
      <c r="M80" s="461"/>
      <c r="N80" s="461"/>
      <c r="O80" s="461"/>
      <c r="P80" s="461"/>
      <c r="Q80" s="461"/>
      <c r="R80" s="461"/>
      <c r="S80" s="461"/>
      <c r="T80" s="461"/>
      <c r="AG80" s="13"/>
    </row>
    <row r="81" spans="1:54" s="11" customFormat="1" ht="11.25" customHeight="1" x14ac:dyDescent="0.2">
      <c r="A81" s="253" t="s">
        <v>13</v>
      </c>
      <c r="B81" s="126" t="s">
        <v>85</v>
      </c>
      <c r="C81" s="46"/>
      <c r="F81" s="306" t="s">
        <v>12</v>
      </c>
      <c r="G81" s="457" t="s">
        <v>87</v>
      </c>
      <c r="H81" s="457"/>
      <c r="I81" s="457"/>
      <c r="J81" s="457"/>
      <c r="K81" s="457"/>
      <c r="L81" s="457"/>
      <c r="M81" s="457"/>
      <c r="N81" s="457"/>
      <c r="O81" s="457"/>
      <c r="P81" s="457"/>
      <c r="Q81" s="457"/>
      <c r="R81" s="457"/>
      <c r="S81" s="457"/>
      <c r="T81" s="457"/>
      <c r="AG81" s="13"/>
    </row>
    <row r="82" spans="1:54" s="11" customFormat="1" ht="11.25" customHeight="1" x14ac:dyDescent="0.2">
      <c r="A82" s="253"/>
      <c r="B82" s="126"/>
      <c r="C82" s="46"/>
      <c r="F82" s="306" t="s">
        <v>13</v>
      </c>
      <c r="G82" s="459" t="s">
        <v>86</v>
      </c>
      <c r="H82" s="459"/>
      <c r="I82" s="459"/>
      <c r="J82" s="459"/>
      <c r="K82" s="459"/>
      <c r="L82" s="459"/>
      <c r="M82" s="459"/>
      <c r="N82" s="459"/>
      <c r="O82" s="459"/>
      <c r="P82" s="459"/>
      <c r="Q82" s="459"/>
      <c r="R82" s="459"/>
      <c r="S82" s="459"/>
      <c r="T82" s="459"/>
      <c r="AG82" s="13"/>
    </row>
    <row r="83" spans="1:54" s="11" customFormat="1" ht="16.5" customHeight="1" thickBot="1" x14ac:dyDescent="0.25">
      <c r="A83" s="254"/>
      <c r="B83" s="15"/>
      <c r="C83" s="47"/>
      <c r="D83" s="15"/>
      <c r="E83" s="15"/>
      <c r="F83" s="303"/>
      <c r="G83" s="458"/>
      <c r="H83" s="458"/>
      <c r="I83" s="458"/>
      <c r="J83" s="458"/>
      <c r="K83" s="458"/>
      <c r="L83" s="458"/>
      <c r="M83" s="458"/>
      <c r="N83" s="458"/>
      <c r="O83" s="458"/>
      <c r="P83" s="458"/>
      <c r="Q83" s="458"/>
      <c r="R83" s="458"/>
      <c r="S83" s="458"/>
      <c r="T83" s="458"/>
      <c r="U83" s="128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6"/>
    </row>
    <row r="84" spans="1:54" s="18" customFormat="1" ht="16.5" customHeight="1" x14ac:dyDescent="0.2">
      <c r="A84" s="134" t="s">
        <v>105</v>
      </c>
      <c r="C84" s="19"/>
      <c r="BA84" s="19"/>
      <c r="BB84" s="19"/>
    </row>
    <row r="85" spans="1:54" s="18" customFormat="1" ht="5.25" customHeight="1" x14ac:dyDescent="0.25">
      <c r="A85" s="88"/>
      <c r="C85" s="19"/>
      <c r="BA85" s="19"/>
      <c r="BB85" s="19"/>
    </row>
    <row r="86" spans="1:54" s="88" customFormat="1" ht="15" x14ac:dyDescent="0.25">
      <c r="B86" s="88" t="s">
        <v>53</v>
      </c>
      <c r="C86" s="89"/>
      <c r="F86" s="88" t="s">
        <v>54</v>
      </c>
      <c r="V86" s="88" t="s">
        <v>55</v>
      </c>
      <c r="AT86" s="89"/>
      <c r="AU86" s="89"/>
    </row>
    <row r="87" spans="1:54" s="18" customFormat="1" ht="21.75" customHeight="1" x14ac:dyDescent="0.25">
      <c r="A87" s="88"/>
      <c r="C87" s="19"/>
      <c r="AT87" s="19"/>
      <c r="AU87" s="19"/>
    </row>
    <row r="88" spans="1:54" s="18" customFormat="1" ht="15.75" customHeight="1" x14ac:dyDescent="0.25">
      <c r="A88" s="88"/>
      <c r="C88" s="19"/>
      <c r="AT88" s="19"/>
      <c r="AU88" s="19"/>
    </row>
    <row r="89" spans="1:54" s="18" customFormat="1" ht="17.25" customHeight="1" x14ac:dyDescent="0.25">
      <c r="A89" s="88"/>
      <c r="B89" s="90"/>
      <c r="C89" s="19"/>
      <c r="F89" s="90"/>
      <c r="G89" s="90"/>
      <c r="H89" s="90"/>
      <c r="I89" s="90"/>
      <c r="J89" s="90"/>
      <c r="K89" s="90"/>
      <c r="L89" s="90"/>
      <c r="M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T89" s="19"/>
      <c r="AU89" s="19"/>
    </row>
    <row r="90" spans="1:54" s="18" customFormat="1" ht="16.5" customHeight="1" x14ac:dyDescent="0.25">
      <c r="A90" s="88"/>
      <c r="B90" s="18" t="s">
        <v>56</v>
      </c>
      <c r="C90" s="19"/>
      <c r="F90" s="18" t="s">
        <v>56</v>
      </c>
      <c r="V90" s="18" t="s">
        <v>57</v>
      </c>
      <c r="AT90" s="19"/>
      <c r="AU90" s="19"/>
    </row>
    <row r="91" spans="1:54" s="18" customFormat="1" ht="18" customHeight="1" x14ac:dyDescent="0.25">
      <c r="A91" s="88"/>
      <c r="B91" s="18" t="s">
        <v>58</v>
      </c>
      <c r="C91" s="19"/>
      <c r="F91" s="18" t="s">
        <v>59</v>
      </c>
      <c r="V91" s="18" t="s">
        <v>58</v>
      </c>
      <c r="AT91" s="19"/>
      <c r="AU91" s="19"/>
    </row>
    <row r="92" spans="1:54" ht="13.5" thickBot="1" x14ac:dyDescent="0.25"/>
    <row r="93" spans="1:54" s="26" customFormat="1" ht="35.1" customHeight="1" x14ac:dyDescent="0.2">
      <c r="A93" s="255">
        <v>31</v>
      </c>
      <c r="B93" s="256"/>
      <c r="C93" s="257"/>
      <c r="D93" s="258"/>
      <c r="E93" s="93"/>
      <c r="F93" s="319"/>
      <c r="G93" s="20"/>
      <c r="H93" s="21"/>
      <c r="I93" s="21"/>
      <c r="J93" s="22"/>
      <c r="K93" s="23"/>
      <c r="L93" s="24"/>
      <c r="M93" s="20"/>
      <c r="N93" s="21"/>
      <c r="O93" s="21"/>
      <c r="P93" s="22"/>
      <c r="Q93" s="22"/>
      <c r="R93" s="22"/>
      <c r="S93" s="22"/>
      <c r="T93" s="22"/>
      <c r="U93" s="24"/>
      <c r="V93" s="20"/>
      <c r="W93" s="123"/>
      <c r="X93" s="21"/>
      <c r="Y93" s="21"/>
      <c r="Z93" s="21"/>
      <c r="AA93" s="21"/>
      <c r="AB93" s="21"/>
      <c r="AC93" s="21"/>
      <c r="AD93" s="21"/>
      <c r="AE93" s="21"/>
      <c r="AF93" s="24"/>
      <c r="AG93" s="25"/>
    </row>
    <row r="94" spans="1:54" s="26" customFormat="1" ht="35.1" customHeight="1" x14ac:dyDescent="0.2">
      <c r="A94" s="244">
        <f>A93+1</f>
        <v>32</v>
      </c>
      <c r="B94" s="241"/>
      <c r="C94" s="242"/>
      <c r="D94" s="243"/>
      <c r="E94" s="97"/>
      <c r="F94" s="315"/>
      <c r="G94" s="28"/>
      <c r="H94" s="29"/>
      <c r="I94" s="29"/>
      <c r="J94" s="30"/>
      <c r="K94" s="31"/>
      <c r="L94" s="27"/>
      <c r="M94" s="28"/>
      <c r="N94" s="29"/>
      <c r="O94" s="29"/>
      <c r="P94" s="30"/>
      <c r="Q94" s="30"/>
      <c r="R94" s="30"/>
      <c r="S94" s="30"/>
      <c r="T94" s="30"/>
      <c r="U94" s="27"/>
      <c r="V94" s="28"/>
      <c r="W94" s="29"/>
      <c r="X94" s="29"/>
      <c r="Y94" s="29"/>
      <c r="Z94" s="29"/>
      <c r="AA94" s="29"/>
      <c r="AB94" s="29"/>
      <c r="AC94" s="29"/>
      <c r="AD94" s="29"/>
      <c r="AE94" s="29"/>
      <c r="AF94" s="27"/>
      <c r="AG94" s="32"/>
    </row>
    <row r="95" spans="1:54" s="26" customFormat="1" ht="35.1" customHeight="1" x14ac:dyDescent="0.2">
      <c r="A95" s="244">
        <f t="shared" ref="A95:A102" si="3">A94+1</f>
        <v>33</v>
      </c>
      <c r="B95" s="241"/>
      <c r="C95" s="242"/>
      <c r="D95" s="243"/>
      <c r="E95" s="97"/>
      <c r="F95" s="315"/>
      <c r="G95" s="28"/>
      <c r="H95" s="29"/>
      <c r="I95" s="29"/>
      <c r="J95" s="30"/>
      <c r="K95" s="31"/>
      <c r="L95" s="27"/>
      <c r="M95" s="28"/>
      <c r="N95" s="29"/>
      <c r="O95" s="29"/>
      <c r="P95" s="30"/>
      <c r="Q95" s="30"/>
      <c r="R95" s="30"/>
      <c r="S95" s="30"/>
      <c r="T95" s="30"/>
      <c r="U95" s="27"/>
      <c r="V95" s="28"/>
      <c r="W95" s="29"/>
      <c r="X95" s="29"/>
      <c r="Y95" s="29"/>
      <c r="Z95" s="29"/>
      <c r="AA95" s="29"/>
      <c r="AB95" s="29"/>
      <c r="AC95" s="29"/>
      <c r="AD95" s="29"/>
      <c r="AE95" s="29"/>
      <c r="AF95" s="27"/>
      <c r="AG95" s="32"/>
    </row>
    <row r="96" spans="1:54" s="26" customFormat="1" ht="35.1" customHeight="1" x14ac:dyDescent="0.2">
      <c r="A96" s="244">
        <f t="shared" si="3"/>
        <v>34</v>
      </c>
      <c r="B96" s="241"/>
      <c r="C96" s="242"/>
      <c r="D96" s="243"/>
      <c r="E96" s="97"/>
      <c r="F96" s="315"/>
      <c r="G96" s="28"/>
      <c r="H96" s="29"/>
      <c r="I96" s="29"/>
      <c r="J96" s="30"/>
      <c r="K96" s="31"/>
      <c r="L96" s="27"/>
      <c r="M96" s="28"/>
      <c r="N96" s="29"/>
      <c r="O96" s="29"/>
      <c r="P96" s="30"/>
      <c r="Q96" s="30"/>
      <c r="R96" s="30"/>
      <c r="S96" s="30"/>
      <c r="T96" s="30"/>
      <c r="U96" s="27"/>
      <c r="V96" s="28"/>
      <c r="W96" s="29"/>
      <c r="X96" s="29"/>
      <c r="Y96" s="29"/>
      <c r="Z96" s="29"/>
      <c r="AA96" s="29"/>
      <c r="AB96" s="29"/>
      <c r="AC96" s="29"/>
      <c r="AD96" s="29"/>
      <c r="AE96" s="29"/>
      <c r="AF96" s="27"/>
      <c r="AG96" s="32"/>
    </row>
    <row r="97" spans="1:54" s="26" customFormat="1" ht="35.1" customHeight="1" x14ac:dyDescent="0.2">
      <c r="A97" s="244">
        <f t="shared" si="3"/>
        <v>35</v>
      </c>
      <c r="B97" s="241"/>
      <c r="C97" s="242"/>
      <c r="D97" s="243"/>
      <c r="E97" s="242"/>
      <c r="F97" s="251"/>
      <c r="G97" s="28"/>
      <c r="H97" s="29"/>
      <c r="I97" s="29"/>
      <c r="J97" s="30"/>
      <c r="K97" s="31"/>
      <c r="L97" s="27"/>
      <c r="M97" s="28"/>
      <c r="N97" s="29"/>
      <c r="O97" s="29"/>
      <c r="P97" s="30"/>
      <c r="Q97" s="30"/>
      <c r="R97" s="30"/>
      <c r="S97" s="30"/>
      <c r="T97" s="30"/>
      <c r="U97" s="27"/>
      <c r="V97" s="28"/>
      <c r="W97" s="29"/>
      <c r="X97" s="29"/>
      <c r="Y97" s="29"/>
      <c r="Z97" s="29"/>
      <c r="AA97" s="29"/>
      <c r="AB97" s="29"/>
      <c r="AC97" s="29"/>
      <c r="AD97" s="29"/>
      <c r="AE97" s="29"/>
      <c r="AF97" s="27"/>
      <c r="AG97" s="32"/>
    </row>
    <row r="98" spans="1:54" s="26" customFormat="1" ht="35.1" customHeight="1" x14ac:dyDescent="0.2">
      <c r="A98" s="244">
        <f t="shared" si="3"/>
        <v>36</v>
      </c>
      <c r="B98" s="241"/>
      <c r="C98" s="242"/>
      <c r="D98" s="243"/>
      <c r="E98" s="242"/>
      <c r="F98" s="251"/>
      <c r="G98" s="28"/>
      <c r="H98" s="29"/>
      <c r="I98" s="29"/>
      <c r="J98" s="30"/>
      <c r="K98" s="31"/>
      <c r="L98" s="27"/>
      <c r="M98" s="28"/>
      <c r="N98" s="29"/>
      <c r="O98" s="29"/>
      <c r="P98" s="30"/>
      <c r="Q98" s="30"/>
      <c r="R98" s="30"/>
      <c r="S98" s="30"/>
      <c r="T98" s="30"/>
      <c r="U98" s="27"/>
      <c r="V98" s="28"/>
      <c r="W98" s="29"/>
      <c r="X98" s="29"/>
      <c r="Y98" s="29"/>
      <c r="Z98" s="29"/>
      <c r="AA98" s="29"/>
      <c r="AB98" s="29"/>
      <c r="AC98" s="29"/>
      <c r="AD98" s="29"/>
      <c r="AE98" s="29"/>
      <c r="AF98" s="27"/>
      <c r="AG98" s="32"/>
    </row>
    <row r="99" spans="1:54" s="26" customFormat="1" ht="35.1" customHeight="1" x14ac:dyDescent="0.2">
      <c r="A99" s="244">
        <f t="shared" si="3"/>
        <v>37</v>
      </c>
      <c r="B99" s="49"/>
      <c r="C99" s="50"/>
      <c r="D99" s="51"/>
      <c r="E99" s="299"/>
      <c r="F99" s="27"/>
      <c r="G99" s="28"/>
      <c r="H99" s="29"/>
      <c r="I99" s="29"/>
      <c r="J99" s="30"/>
      <c r="K99" s="31"/>
      <c r="L99" s="27"/>
      <c r="M99" s="28"/>
      <c r="N99" s="29"/>
      <c r="O99" s="29"/>
      <c r="P99" s="30"/>
      <c r="Q99" s="30"/>
      <c r="R99" s="30"/>
      <c r="S99" s="30"/>
      <c r="T99" s="30"/>
      <c r="U99" s="27"/>
      <c r="V99" s="28"/>
      <c r="W99" s="29"/>
      <c r="X99" s="29"/>
      <c r="Y99" s="29"/>
      <c r="Z99" s="29"/>
      <c r="AA99" s="29"/>
      <c r="AB99" s="29"/>
      <c r="AC99" s="29"/>
      <c r="AD99" s="29"/>
      <c r="AE99" s="29"/>
      <c r="AF99" s="27"/>
      <c r="AG99" s="32"/>
    </row>
    <row r="100" spans="1:54" s="26" customFormat="1" ht="35.1" customHeight="1" x14ac:dyDescent="0.2">
      <c r="A100" s="244">
        <f t="shared" si="3"/>
        <v>38</v>
      </c>
      <c r="B100" s="49"/>
      <c r="C100" s="50"/>
      <c r="D100" s="51"/>
      <c r="E100" s="299"/>
      <c r="F100" s="27"/>
      <c r="G100" s="28"/>
      <c r="H100" s="29"/>
      <c r="I100" s="29"/>
      <c r="J100" s="30"/>
      <c r="K100" s="31"/>
      <c r="L100" s="27"/>
      <c r="M100" s="28"/>
      <c r="N100" s="29"/>
      <c r="O100" s="29"/>
      <c r="P100" s="30"/>
      <c r="Q100" s="30"/>
      <c r="R100" s="30"/>
      <c r="S100" s="30"/>
      <c r="T100" s="30"/>
      <c r="U100" s="27"/>
      <c r="V100" s="28"/>
      <c r="W100" s="29"/>
      <c r="X100" s="29"/>
      <c r="Y100" s="29"/>
      <c r="Z100" s="29"/>
      <c r="AA100" s="29"/>
      <c r="AB100" s="29"/>
      <c r="AC100" s="29"/>
      <c r="AD100" s="29"/>
      <c r="AE100" s="29"/>
      <c r="AF100" s="27"/>
      <c r="AG100" s="32"/>
    </row>
    <row r="101" spans="1:54" s="26" customFormat="1" ht="35.1" customHeight="1" x14ac:dyDescent="0.2">
      <c r="A101" s="244">
        <f t="shared" si="3"/>
        <v>39</v>
      </c>
      <c r="B101" s="49"/>
      <c r="C101" s="50"/>
      <c r="D101" s="51"/>
      <c r="E101" s="299"/>
      <c r="F101" s="27"/>
      <c r="G101" s="28"/>
      <c r="H101" s="29"/>
      <c r="I101" s="29"/>
      <c r="J101" s="30"/>
      <c r="K101" s="31"/>
      <c r="L101" s="27"/>
      <c r="M101" s="28"/>
      <c r="N101" s="29"/>
      <c r="O101" s="29"/>
      <c r="P101" s="30"/>
      <c r="Q101" s="30"/>
      <c r="R101" s="30"/>
      <c r="S101" s="30"/>
      <c r="T101" s="30"/>
      <c r="U101" s="27"/>
      <c r="V101" s="28"/>
      <c r="W101" s="29"/>
      <c r="X101" s="29"/>
      <c r="Y101" s="29"/>
      <c r="Z101" s="29"/>
      <c r="AA101" s="29"/>
      <c r="AB101" s="29"/>
      <c r="AC101" s="29"/>
      <c r="AD101" s="29"/>
      <c r="AE101" s="29"/>
      <c r="AF101" s="27"/>
      <c r="AG101" s="32"/>
    </row>
    <row r="102" spans="1:54" s="26" customFormat="1" ht="35.1" customHeight="1" thickBot="1" x14ac:dyDescent="0.25">
      <c r="A102" s="252">
        <f t="shared" si="3"/>
        <v>40</v>
      </c>
      <c r="B102" s="117"/>
      <c r="C102" s="118"/>
      <c r="D102" s="119"/>
      <c r="E102" s="302"/>
      <c r="F102" s="69"/>
      <c r="G102" s="65"/>
      <c r="H102" s="66"/>
      <c r="I102" s="66"/>
      <c r="J102" s="67"/>
      <c r="K102" s="68"/>
      <c r="L102" s="69"/>
      <c r="M102" s="65"/>
      <c r="N102" s="66"/>
      <c r="O102" s="66"/>
      <c r="P102" s="67"/>
      <c r="Q102" s="67"/>
      <c r="R102" s="67"/>
      <c r="S102" s="67"/>
      <c r="T102" s="67"/>
      <c r="U102" s="69"/>
      <c r="V102" s="65"/>
      <c r="W102" s="66"/>
      <c r="X102" s="66"/>
      <c r="Y102" s="66"/>
      <c r="Z102" s="66"/>
      <c r="AA102" s="66"/>
      <c r="AB102" s="66"/>
      <c r="AC102" s="66"/>
      <c r="AD102" s="66"/>
      <c r="AE102" s="66"/>
      <c r="AF102" s="69"/>
      <c r="AG102" s="70"/>
    </row>
    <row r="103" spans="1:54" s="11" customFormat="1" x14ac:dyDescent="0.2">
      <c r="A103" s="116" t="s">
        <v>75</v>
      </c>
      <c r="C103" s="46"/>
      <c r="F103" s="125" t="s">
        <v>76</v>
      </c>
      <c r="J103" s="308"/>
      <c r="K103" s="308"/>
      <c r="V103" s="125" t="s">
        <v>77</v>
      </c>
      <c r="AG103" s="13"/>
    </row>
    <row r="104" spans="1:54" s="11" customFormat="1" ht="12.75" customHeight="1" x14ac:dyDescent="0.2">
      <c r="A104" s="253" t="s">
        <v>8</v>
      </c>
      <c r="B104" s="138" t="s">
        <v>157</v>
      </c>
      <c r="C104" s="132"/>
      <c r="D104" s="132"/>
      <c r="E104" s="132"/>
      <c r="F104" s="306" t="s">
        <v>8</v>
      </c>
      <c r="G104" s="457" t="s">
        <v>89</v>
      </c>
      <c r="H104" s="457"/>
      <c r="I104" s="457"/>
      <c r="J104" s="457"/>
      <c r="K104" s="457"/>
      <c r="L104" s="457"/>
      <c r="M104" s="457"/>
      <c r="N104" s="457"/>
      <c r="O104" s="457"/>
      <c r="P104" s="457"/>
      <c r="Q104" s="457"/>
      <c r="R104" s="457"/>
      <c r="S104" s="457"/>
      <c r="T104" s="457"/>
      <c r="V104" s="11" t="s">
        <v>95</v>
      </c>
      <c r="AG104" s="13"/>
    </row>
    <row r="105" spans="1:54" s="11" customFormat="1" ht="11.25" x14ac:dyDescent="0.2">
      <c r="A105" s="116"/>
      <c r="B105" s="138" t="s">
        <v>158</v>
      </c>
      <c r="C105" s="132"/>
      <c r="D105" s="132"/>
      <c r="E105" s="132"/>
      <c r="F105" s="307"/>
      <c r="G105" s="457"/>
      <c r="H105" s="457"/>
      <c r="I105" s="457"/>
      <c r="J105" s="457"/>
      <c r="K105" s="457"/>
      <c r="L105" s="457"/>
      <c r="M105" s="457"/>
      <c r="N105" s="457"/>
      <c r="O105" s="457"/>
      <c r="P105" s="457"/>
      <c r="Q105" s="457"/>
      <c r="R105" s="457"/>
      <c r="S105" s="457"/>
      <c r="T105" s="457"/>
      <c r="V105" s="11" t="s">
        <v>96</v>
      </c>
      <c r="AG105" s="13"/>
    </row>
    <row r="106" spans="1:54" s="11" customFormat="1" ht="11.25" customHeight="1" x14ac:dyDescent="0.2">
      <c r="A106" s="253" t="s">
        <v>9</v>
      </c>
      <c r="B106" s="126" t="s">
        <v>82</v>
      </c>
      <c r="C106" s="46"/>
      <c r="F106" s="306" t="s">
        <v>9</v>
      </c>
      <c r="G106" s="457" t="s">
        <v>88</v>
      </c>
      <c r="H106" s="457"/>
      <c r="I106" s="457"/>
      <c r="J106" s="457"/>
      <c r="K106" s="457"/>
      <c r="L106" s="457"/>
      <c r="M106" s="457"/>
      <c r="N106" s="457"/>
      <c r="O106" s="457"/>
      <c r="P106" s="457"/>
      <c r="Q106" s="457"/>
      <c r="R106" s="457"/>
      <c r="S106" s="457"/>
      <c r="T106" s="457"/>
      <c r="AG106" s="13"/>
    </row>
    <row r="107" spans="1:54" s="11" customFormat="1" ht="12.75" customHeight="1" x14ac:dyDescent="0.2">
      <c r="A107" s="253" t="s">
        <v>11</v>
      </c>
      <c r="B107" s="126" t="s">
        <v>83</v>
      </c>
      <c r="C107" s="46"/>
      <c r="F107" s="46"/>
      <c r="G107" s="457"/>
      <c r="H107" s="457"/>
      <c r="I107" s="457"/>
      <c r="J107" s="457"/>
      <c r="K107" s="457"/>
      <c r="L107" s="457"/>
      <c r="M107" s="457"/>
      <c r="N107" s="457"/>
      <c r="O107" s="457"/>
      <c r="P107" s="457"/>
      <c r="Q107" s="457"/>
      <c r="R107" s="457"/>
      <c r="S107" s="457"/>
      <c r="T107" s="457"/>
      <c r="U107" s="14"/>
      <c r="AG107" s="13"/>
    </row>
    <row r="108" spans="1:54" s="11" customFormat="1" ht="12.75" customHeight="1" x14ac:dyDescent="0.2">
      <c r="A108" s="253" t="s">
        <v>12</v>
      </c>
      <c r="B108" s="126" t="s">
        <v>84</v>
      </c>
      <c r="C108" s="46"/>
      <c r="F108" s="306" t="s">
        <v>11</v>
      </c>
      <c r="G108" s="461" t="s">
        <v>78</v>
      </c>
      <c r="H108" s="461"/>
      <c r="I108" s="461"/>
      <c r="J108" s="461"/>
      <c r="K108" s="461"/>
      <c r="L108" s="461"/>
      <c r="M108" s="461"/>
      <c r="N108" s="461"/>
      <c r="O108" s="461"/>
      <c r="P108" s="461"/>
      <c r="Q108" s="461"/>
      <c r="R108" s="461"/>
      <c r="S108" s="461"/>
      <c r="T108" s="461"/>
      <c r="AG108" s="13"/>
    </row>
    <row r="109" spans="1:54" s="11" customFormat="1" ht="11.25" customHeight="1" x14ac:dyDescent="0.2">
      <c r="A109" s="253" t="s">
        <v>13</v>
      </c>
      <c r="B109" s="126" t="s">
        <v>85</v>
      </c>
      <c r="C109" s="46"/>
      <c r="F109" s="306" t="s">
        <v>12</v>
      </c>
      <c r="G109" s="457" t="s">
        <v>87</v>
      </c>
      <c r="H109" s="457"/>
      <c r="I109" s="457"/>
      <c r="J109" s="457"/>
      <c r="K109" s="457"/>
      <c r="L109" s="457"/>
      <c r="M109" s="457"/>
      <c r="N109" s="457"/>
      <c r="O109" s="457"/>
      <c r="P109" s="457"/>
      <c r="Q109" s="457"/>
      <c r="R109" s="457"/>
      <c r="S109" s="457"/>
      <c r="T109" s="457"/>
      <c r="AG109" s="13"/>
    </row>
    <row r="110" spans="1:54" s="11" customFormat="1" ht="11.25" customHeight="1" x14ac:dyDescent="0.2">
      <c r="A110" s="253"/>
      <c r="B110" s="126"/>
      <c r="C110" s="46"/>
      <c r="F110" s="306" t="s">
        <v>13</v>
      </c>
      <c r="G110" s="459" t="s">
        <v>86</v>
      </c>
      <c r="H110" s="459"/>
      <c r="I110" s="459"/>
      <c r="J110" s="459"/>
      <c r="K110" s="459"/>
      <c r="L110" s="459"/>
      <c r="M110" s="459"/>
      <c r="N110" s="459"/>
      <c r="O110" s="459"/>
      <c r="P110" s="459"/>
      <c r="Q110" s="459"/>
      <c r="R110" s="459"/>
      <c r="S110" s="459"/>
      <c r="T110" s="459"/>
      <c r="AG110" s="13"/>
    </row>
    <row r="111" spans="1:54" s="11" customFormat="1" ht="16.5" customHeight="1" thickBot="1" x14ac:dyDescent="0.25">
      <c r="A111" s="254"/>
      <c r="B111" s="15"/>
      <c r="C111" s="47"/>
      <c r="D111" s="15"/>
      <c r="E111" s="15"/>
      <c r="F111" s="303"/>
      <c r="G111" s="458"/>
      <c r="H111" s="458"/>
      <c r="I111" s="458"/>
      <c r="J111" s="458"/>
      <c r="K111" s="458"/>
      <c r="L111" s="458"/>
      <c r="M111" s="458"/>
      <c r="N111" s="458"/>
      <c r="O111" s="458"/>
      <c r="P111" s="458"/>
      <c r="Q111" s="458"/>
      <c r="R111" s="458"/>
      <c r="S111" s="458"/>
      <c r="T111" s="458"/>
      <c r="U111" s="128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6"/>
    </row>
    <row r="112" spans="1:54" s="18" customFormat="1" ht="16.5" customHeight="1" x14ac:dyDescent="0.2">
      <c r="A112" s="134" t="s">
        <v>105</v>
      </c>
      <c r="C112" s="19"/>
      <c r="BA112" s="19"/>
      <c r="BB112" s="19"/>
    </row>
    <row r="113" spans="1:54" s="18" customFormat="1" ht="5.25" customHeight="1" x14ac:dyDescent="0.25">
      <c r="A113" s="88"/>
      <c r="C113" s="19"/>
      <c r="BA113" s="19"/>
      <c r="BB113" s="19"/>
    </row>
    <row r="114" spans="1:54" s="88" customFormat="1" ht="15" x14ac:dyDescent="0.25">
      <c r="B114" s="88" t="s">
        <v>53</v>
      </c>
      <c r="C114" s="89"/>
      <c r="F114" s="88" t="s">
        <v>54</v>
      </c>
      <c r="V114" s="88" t="s">
        <v>55</v>
      </c>
      <c r="AT114" s="89"/>
      <c r="AU114" s="89"/>
    </row>
    <row r="115" spans="1:54" s="18" customFormat="1" ht="21.75" customHeight="1" x14ac:dyDescent="0.25">
      <c r="A115" s="88"/>
      <c r="C115" s="19"/>
      <c r="AT115" s="19"/>
      <c r="AU115" s="19"/>
    </row>
    <row r="116" spans="1:54" s="18" customFormat="1" ht="15.75" customHeight="1" x14ac:dyDescent="0.25">
      <c r="A116" s="88"/>
      <c r="C116" s="19"/>
      <c r="AT116" s="19"/>
      <c r="AU116" s="19"/>
    </row>
    <row r="117" spans="1:54" s="18" customFormat="1" ht="17.25" customHeight="1" x14ac:dyDescent="0.25">
      <c r="A117" s="88"/>
      <c r="B117" s="90"/>
      <c r="C117" s="19"/>
      <c r="F117" s="90"/>
      <c r="G117" s="90"/>
      <c r="H117" s="90"/>
      <c r="I117" s="90"/>
      <c r="J117" s="90"/>
      <c r="K117" s="90"/>
      <c r="L117" s="90"/>
      <c r="M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T117" s="19"/>
      <c r="AU117" s="19"/>
    </row>
    <row r="118" spans="1:54" s="18" customFormat="1" ht="16.5" customHeight="1" x14ac:dyDescent="0.25">
      <c r="A118" s="88"/>
      <c r="B118" s="18" t="s">
        <v>56</v>
      </c>
      <c r="C118" s="19"/>
      <c r="F118" s="18" t="s">
        <v>56</v>
      </c>
      <c r="V118" s="18" t="s">
        <v>57</v>
      </c>
      <c r="AT118" s="19"/>
      <c r="AU118" s="19"/>
    </row>
    <row r="119" spans="1:54" s="18" customFormat="1" ht="18" customHeight="1" x14ac:dyDescent="0.25">
      <c r="A119" s="88"/>
      <c r="B119" s="18" t="s">
        <v>58</v>
      </c>
      <c r="C119" s="19"/>
      <c r="F119" s="18" t="s">
        <v>59</v>
      </c>
      <c r="V119" s="18" t="s">
        <v>58</v>
      </c>
      <c r="AT119" s="19"/>
      <c r="AU119" s="19"/>
    </row>
    <row r="120" spans="1:54" ht="13.5" thickBot="1" x14ac:dyDescent="0.25"/>
    <row r="121" spans="1:54" s="26" customFormat="1" ht="35.1" customHeight="1" x14ac:dyDescent="0.2">
      <c r="A121" s="255">
        <v>41</v>
      </c>
      <c r="B121" s="256"/>
      <c r="C121" s="257"/>
      <c r="D121" s="258"/>
      <c r="E121" s="93"/>
      <c r="F121" s="319"/>
      <c r="G121" s="20"/>
      <c r="H121" s="21"/>
      <c r="I121" s="21"/>
      <c r="J121" s="22"/>
      <c r="K121" s="23"/>
      <c r="L121" s="24"/>
      <c r="M121" s="20"/>
      <c r="N121" s="21"/>
      <c r="O121" s="21"/>
      <c r="P121" s="22"/>
      <c r="Q121" s="22"/>
      <c r="R121" s="22"/>
      <c r="S121" s="22"/>
      <c r="T121" s="22"/>
      <c r="U121" s="24"/>
      <c r="V121" s="20"/>
      <c r="W121" s="123"/>
      <c r="X121" s="21"/>
      <c r="Y121" s="21"/>
      <c r="Z121" s="21"/>
      <c r="AA121" s="21"/>
      <c r="AB121" s="21"/>
      <c r="AC121" s="21"/>
      <c r="AD121" s="21"/>
      <c r="AE121" s="21"/>
      <c r="AF121" s="24"/>
      <c r="AG121" s="25"/>
    </row>
    <row r="122" spans="1:54" s="26" customFormat="1" ht="35.1" customHeight="1" x14ac:dyDescent="0.2">
      <c r="A122" s="244">
        <f>A121+1</f>
        <v>42</v>
      </c>
      <c r="B122" s="241"/>
      <c r="C122" s="242"/>
      <c r="D122" s="243"/>
      <c r="E122" s="97"/>
      <c r="F122" s="315"/>
      <c r="G122" s="28"/>
      <c r="H122" s="29"/>
      <c r="I122" s="29"/>
      <c r="J122" s="30"/>
      <c r="K122" s="31"/>
      <c r="L122" s="27"/>
      <c r="M122" s="28"/>
      <c r="N122" s="29"/>
      <c r="O122" s="29"/>
      <c r="P122" s="30"/>
      <c r="Q122" s="30"/>
      <c r="R122" s="30"/>
      <c r="S122" s="30"/>
      <c r="T122" s="30"/>
      <c r="U122" s="27"/>
      <c r="V122" s="28"/>
      <c r="W122" s="29"/>
      <c r="X122" s="29"/>
      <c r="Y122" s="29"/>
      <c r="Z122" s="29"/>
      <c r="AA122" s="29"/>
      <c r="AB122" s="29"/>
      <c r="AC122" s="29"/>
      <c r="AD122" s="29"/>
      <c r="AE122" s="29"/>
      <c r="AF122" s="27"/>
      <c r="AG122" s="32"/>
    </row>
    <row r="123" spans="1:54" s="26" customFormat="1" ht="35.1" customHeight="1" x14ac:dyDescent="0.2">
      <c r="A123" s="244">
        <f t="shared" ref="A123:A130" si="4">A122+1</f>
        <v>43</v>
      </c>
      <c r="B123" s="241"/>
      <c r="C123" s="242"/>
      <c r="D123" s="243"/>
      <c r="E123" s="97"/>
      <c r="F123" s="315"/>
      <c r="G123" s="28"/>
      <c r="H123" s="29"/>
      <c r="I123" s="29"/>
      <c r="J123" s="30"/>
      <c r="K123" s="31"/>
      <c r="L123" s="27"/>
      <c r="M123" s="28"/>
      <c r="N123" s="29"/>
      <c r="O123" s="29"/>
      <c r="P123" s="30"/>
      <c r="Q123" s="30"/>
      <c r="R123" s="30"/>
      <c r="S123" s="30"/>
      <c r="T123" s="30"/>
      <c r="U123" s="27"/>
      <c r="V123" s="28"/>
      <c r="W123" s="29"/>
      <c r="X123" s="29"/>
      <c r="Y123" s="29"/>
      <c r="Z123" s="29"/>
      <c r="AA123" s="29"/>
      <c r="AB123" s="29"/>
      <c r="AC123" s="29"/>
      <c r="AD123" s="29"/>
      <c r="AE123" s="29"/>
      <c r="AF123" s="27"/>
      <c r="AG123" s="32"/>
    </row>
    <row r="124" spans="1:54" s="26" customFormat="1" ht="35.1" customHeight="1" x14ac:dyDescent="0.2">
      <c r="A124" s="244">
        <f t="shared" si="4"/>
        <v>44</v>
      </c>
      <c r="B124" s="241"/>
      <c r="C124" s="242"/>
      <c r="D124" s="243"/>
      <c r="E124" s="97"/>
      <c r="F124" s="315"/>
      <c r="G124" s="28"/>
      <c r="H124" s="29"/>
      <c r="I124" s="29"/>
      <c r="J124" s="30"/>
      <c r="K124" s="31"/>
      <c r="L124" s="27"/>
      <c r="M124" s="28"/>
      <c r="N124" s="29"/>
      <c r="O124" s="29"/>
      <c r="P124" s="30"/>
      <c r="Q124" s="30"/>
      <c r="R124" s="30"/>
      <c r="S124" s="30"/>
      <c r="T124" s="30"/>
      <c r="U124" s="27"/>
      <c r="V124" s="28"/>
      <c r="W124" s="29"/>
      <c r="X124" s="29"/>
      <c r="Y124" s="29"/>
      <c r="Z124" s="29"/>
      <c r="AA124" s="29"/>
      <c r="AB124" s="29"/>
      <c r="AC124" s="29"/>
      <c r="AD124" s="29"/>
      <c r="AE124" s="29"/>
      <c r="AF124" s="27"/>
      <c r="AG124" s="32"/>
    </row>
    <row r="125" spans="1:54" s="26" customFormat="1" ht="35.1" customHeight="1" x14ac:dyDescent="0.2">
      <c r="A125" s="244">
        <f t="shared" si="4"/>
        <v>45</v>
      </c>
      <c r="B125" s="241"/>
      <c r="C125" s="242"/>
      <c r="D125" s="243"/>
      <c r="E125" s="242"/>
      <c r="F125" s="251"/>
      <c r="G125" s="28"/>
      <c r="H125" s="29"/>
      <c r="I125" s="29"/>
      <c r="J125" s="30"/>
      <c r="K125" s="31"/>
      <c r="L125" s="27"/>
      <c r="M125" s="28"/>
      <c r="N125" s="29"/>
      <c r="O125" s="29"/>
      <c r="P125" s="30"/>
      <c r="Q125" s="30"/>
      <c r="R125" s="30"/>
      <c r="S125" s="30"/>
      <c r="T125" s="30"/>
      <c r="U125" s="27"/>
      <c r="V125" s="28"/>
      <c r="W125" s="29"/>
      <c r="X125" s="29"/>
      <c r="Y125" s="29"/>
      <c r="Z125" s="29"/>
      <c r="AA125" s="29"/>
      <c r="AB125" s="29"/>
      <c r="AC125" s="29"/>
      <c r="AD125" s="29"/>
      <c r="AE125" s="29"/>
      <c r="AF125" s="27"/>
      <c r="AG125" s="32"/>
    </row>
    <row r="126" spans="1:54" s="26" customFormat="1" ht="35.1" customHeight="1" x14ac:dyDescent="0.2">
      <c r="A126" s="244">
        <f t="shared" si="4"/>
        <v>46</v>
      </c>
      <c r="B126" s="241"/>
      <c r="C126" s="242"/>
      <c r="D126" s="243"/>
      <c r="E126" s="242"/>
      <c r="F126" s="251"/>
      <c r="G126" s="28"/>
      <c r="H126" s="29"/>
      <c r="I126" s="29"/>
      <c r="J126" s="30"/>
      <c r="K126" s="31"/>
      <c r="L126" s="27"/>
      <c r="M126" s="28"/>
      <c r="N126" s="29"/>
      <c r="O126" s="29"/>
      <c r="P126" s="30"/>
      <c r="Q126" s="30"/>
      <c r="R126" s="30"/>
      <c r="S126" s="30"/>
      <c r="T126" s="30"/>
      <c r="U126" s="27"/>
      <c r="V126" s="28"/>
      <c r="W126" s="29"/>
      <c r="X126" s="29"/>
      <c r="Y126" s="29"/>
      <c r="Z126" s="29"/>
      <c r="AA126" s="29"/>
      <c r="AB126" s="29"/>
      <c r="AC126" s="29"/>
      <c r="AD126" s="29"/>
      <c r="AE126" s="29"/>
      <c r="AF126" s="27"/>
      <c r="AG126" s="32"/>
    </row>
    <row r="127" spans="1:54" s="26" customFormat="1" ht="35.1" customHeight="1" x14ac:dyDescent="0.2">
      <c r="A127" s="244">
        <f t="shared" si="4"/>
        <v>47</v>
      </c>
      <c r="B127" s="49"/>
      <c r="C127" s="50"/>
      <c r="D127" s="51"/>
      <c r="E127" s="299"/>
      <c r="F127" s="27"/>
      <c r="G127" s="28"/>
      <c r="H127" s="29"/>
      <c r="I127" s="29"/>
      <c r="J127" s="30"/>
      <c r="K127" s="31"/>
      <c r="L127" s="27"/>
      <c r="M127" s="28"/>
      <c r="N127" s="29"/>
      <c r="O127" s="29"/>
      <c r="P127" s="30"/>
      <c r="Q127" s="30"/>
      <c r="R127" s="30"/>
      <c r="S127" s="30"/>
      <c r="T127" s="30"/>
      <c r="U127" s="27"/>
      <c r="V127" s="28"/>
      <c r="W127" s="29"/>
      <c r="X127" s="29"/>
      <c r="Y127" s="29"/>
      <c r="Z127" s="29"/>
      <c r="AA127" s="29"/>
      <c r="AB127" s="29"/>
      <c r="AC127" s="29"/>
      <c r="AD127" s="29"/>
      <c r="AE127" s="29"/>
      <c r="AF127" s="27"/>
      <c r="AG127" s="32"/>
    </row>
    <row r="128" spans="1:54" s="26" customFormat="1" ht="35.1" customHeight="1" x14ac:dyDescent="0.2">
      <c r="A128" s="244">
        <f t="shared" si="4"/>
        <v>48</v>
      </c>
      <c r="B128" s="49"/>
      <c r="C128" s="50"/>
      <c r="D128" s="51"/>
      <c r="E128" s="299"/>
      <c r="F128" s="27"/>
      <c r="G128" s="28"/>
      <c r="H128" s="29"/>
      <c r="I128" s="29"/>
      <c r="J128" s="30"/>
      <c r="K128" s="31"/>
      <c r="L128" s="27"/>
      <c r="M128" s="28"/>
      <c r="N128" s="29"/>
      <c r="O128" s="29"/>
      <c r="P128" s="30"/>
      <c r="Q128" s="30"/>
      <c r="R128" s="30"/>
      <c r="S128" s="30"/>
      <c r="T128" s="30"/>
      <c r="U128" s="27"/>
      <c r="V128" s="28"/>
      <c r="W128" s="29"/>
      <c r="X128" s="29"/>
      <c r="Y128" s="29"/>
      <c r="Z128" s="29"/>
      <c r="AA128" s="29"/>
      <c r="AB128" s="29"/>
      <c r="AC128" s="29"/>
      <c r="AD128" s="29"/>
      <c r="AE128" s="29"/>
      <c r="AF128" s="27"/>
      <c r="AG128" s="32"/>
    </row>
    <row r="129" spans="1:54" s="26" customFormat="1" ht="35.1" customHeight="1" x14ac:dyDescent="0.2">
      <c r="A129" s="244">
        <f t="shared" si="4"/>
        <v>49</v>
      </c>
      <c r="B129" s="49"/>
      <c r="C129" s="50"/>
      <c r="D129" s="51"/>
      <c r="E129" s="299"/>
      <c r="F129" s="27"/>
      <c r="G129" s="28"/>
      <c r="H129" s="29"/>
      <c r="I129" s="29"/>
      <c r="J129" s="30"/>
      <c r="K129" s="31"/>
      <c r="L129" s="27"/>
      <c r="M129" s="28"/>
      <c r="N129" s="29"/>
      <c r="O129" s="29"/>
      <c r="P129" s="30"/>
      <c r="Q129" s="30"/>
      <c r="R129" s="30"/>
      <c r="S129" s="30"/>
      <c r="T129" s="30"/>
      <c r="U129" s="27"/>
      <c r="V129" s="28"/>
      <c r="W129" s="29"/>
      <c r="X129" s="29"/>
      <c r="Y129" s="29"/>
      <c r="Z129" s="29"/>
      <c r="AA129" s="29"/>
      <c r="AB129" s="29"/>
      <c r="AC129" s="29"/>
      <c r="AD129" s="29"/>
      <c r="AE129" s="29"/>
      <c r="AF129" s="27"/>
      <c r="AG129" s="32"/>
    </row>
    <row r="130" spans="1:54" s="26" customFormat="1" ht="35.1" customHeight="1" thickBot="1" x14ac:dyDescent="0.25">
      <c r="A130" s="252">
        <f t="shared" si="4"/>
        <v>50</v>
      </c>
      <c r="B130" s="117"/>
      <c r="C130" s="118"/>
      <c r="D130" s="119"/>
      <c r="E130" s="302"/>
      <c r="F130" s="69"/>
      <c r="G130" s="65"/>
      <c r="H130" s="66"/>
      <c r="I130" s="66"/>
      <c r="J130" s="67"/>
      <c r="K130" s="68"/>
      <c r="L130" s="69"/>
      <c r="M130" s="65"/>
      <c r="N130" s="66"/>
      <c r="O130" s="66"/>
      <c r="P130" s="67"/>
      <c r="Q130" s="67"/>
      <c r="R130" s="67"/>
      <c r="S130" s="67"/>
      <c r="T130" s="67"/>
      <c r="U130" s="69"/>
      <c r="V130" s="65"/>
      <c r="W130" s="66"/>
      <c r="X130" s="66"/>
      <c r="Y130" s="66"/>
      <c r="Z130" s="66"/>
      <c r="AA130" s="66"/>
      <c r="AB130" s="66"/>
      <c r="AC130" s="66"/>
      <c r="AD130" s="66"/>
      <c r="AE130" s="66"/>
      <c r="AF130" s="69"/>
      <c r="AG130" s="70"/>
    </row>
    <row r="131" spans="1:54" s="11" customFormat="1" x14ac:dyDescent="0.2">
      <c r="A131" s="116" t="s">
        <v>75</v>
      </c>
      <c r="C131" s="46"/>
      <c r="F131" s="125" t="s">
        <v>76</v>
      </c>
      <c r="J131" s="308"/>
      <c r="K131" s="308"/>
      <c r="V131" s="125" t="s">
        <v>77</v>
      </c>
      <c r="AG131" s="13"/>
    </row>
    <row r="132" spans="1:54" s="11" customFormat="1" ht="12.75" customHeight="1" x14ac:dyDescent="0.2">
      <c r="A132" s="253" t="s">
        <v>8</v>
      </c>
      <c r="B132" s="138" t="s">
        <v>157</v>
      </c>
      <c r="C132" s="132"/>
      <c r="D132" s="132"/>
      <c r="E132" s="132"/>
      <c r="F132" s="306" t="s">
        <v>8</v>
      </c>
      <c r="G132" s="457" t="s">
        <v>89</v>
      </c>
      <c r="H132" s="457"/>
      <c r="I132" s="457"/>
      <c r="J132" s="457"/>
      <c r="K132" s="457"/>
      <c r="L132" s="457"/>
      <c r="M132" s="457"/>
      <c r="N132" s="457"/>
      <c r="O132" s="457"/>
      <c r="P132" s="457"/>
      <c r="Q132" s="457"/>
      <c r="R132" s="457"/>
      <c r="S132" s="457"/>
      <c r="T132" s="457"/>
      <c r="V132" s="11" t="s">
        <v>95</v>
      </c>
      <c r="AG132" s="13"/>
    </row>
    <row r="133" spans="1:54" s="11" customFormat="1" ht="11.25" x14ac:dyDescent="0.2">
      <c r="A133" s="116"/>
      <c r="B133" s="138" t="s">
        <v>158</v>
      </c>
      <c r="C133" s="132"/>
      <c r="D133" s="132"/>
      <c r="E133" s="132"/>
      <c r="F133" s="307"/>
      <c r="G133" s="457"/>
      <c r="H133" s="457"/>
      <c r="I133" s="457"/>
      <c r="J133" s="457"/>
      <c r="K133" s="457"/>
      <c r="L133" s="457"/>
      <c r="M133" s="457"/>
      <c r="N133" s="457"/>
      <c r="O133" s="457"/>
      <c r="P133" s="457"/>
      <c r="Q133" s="457"/>
      <c r="R133" s="457"/>
      <c r="S133" s="457"/>
      <c r="T133" s="457"/>
      <c r="V133" s="11" t="s">
        <v>96</v>
      </c>
      <c r="AG133" s="13"/>
    </row>
    <row r="134" spans="1:54" s="11" customFormat="1" ht="11.25" customHeight="1" x14ac:dyDescent="0.2">
      <c r="A134" s="253" t="s">
        <v>9</v>
      </c>
      <c r="B134" s="126" t="s">
        <v>82</v>
      </c>
      <c r="C134" s="46"/>
      <c r="F134" s="306" t="s">
        <v>9</v>
      </c>
      <c r="G134" s="457" t="s">
        <v>88</v>
      </c>
      <c r="H134" s="457"/>
      <c r="I134" s="457"/>
      <c r="J134" s="457"/>
      <c r="K134" s="457"/>
      <c r="L134" s="457"/>
      <c r="M134" s="457"/>
      <c r="N134" s="457"/>
      <c r="O134" s="457"/>
      <c r="P134" s="457"/>
      <c r="Q134" s="457"/>
      <c r="R134" s="457"/>
      <c r="S134" s="457"/>
      <c r="T134" s="457"/>
      <c r="AG134" s="13"/>
    </row>
    <row r="135" spans="1:54" s="11" customFormat="1" ht="12.75" customHeight="1" x14ac:dyDescent="0.2">
      <c r="A135" s="253" t="s">
        <v>11</v>
      </c>
      <c r="B135" s="126" t="s">
        <v>83</v>
      </c>
      <c r="C135" s="46"/>
      <c r="F135" s="46"/>
      <c r="G135" s="457"/>
      <c r="H135" s="457"/>
      <c r="I135" s="457"/>
      <c r="J135" s="457"/>
      <c r="K135" s="457"/>
      <c r="L135" s="457"/>
      <c r="M135" s="457"/>
      <c r="N135" s="457"/>
      <c r="O135" s="457"/>
      <c r="P135" s="457"/>
      <c r="Q135" s="457"/>
      <c r="R135" s="457"/>
      <c r="S135" s="457"/>
      <c r="T135" s="457"/>
      <c r="U135" s="14"/>
      <c r="AG135" s="13"/>
    </row>
    <row r="136" spans="1:54" s="11" customFormat="1" ht="12.75" customHeight="1" x14ac:dyDescent="0.2">
      <c r="A136" s="253" t="s">
        <v>12</v>
      </c>
      <c r="B136" s="126" t="s">
        <v>84</v>
      </c>
      <c r="C136" s="46"/>
      <c r="F136" s="306" t="s">
        <v>11</v>
      </c>
      <c r="G136" s="461" t="s">
        <v>78</v>
      </c>
      <c r="H136" s="461"/>
      <c r="I136" s="461"/>
      <c r="J136" s="461"/>
      <c r="K136" s="461"/>
      <c r="L136" s="461"/>
      <c r="M136" s="461"/>
      <c r="N136" s="461"/>
      <c r="O136" s="461"/>
      <c r="P136" s="461"/>
      <c r="Q136" s="461"/>
      <c r="R136" s="461"/>
      <c r="S136" s="461"/>
      <c r="T136" s="461"/>
      <c r="AG136" s="13"/>
    </row>
    <row r="137" spans="1:54" s="11" customFormat="1" ht="11.25" customHeight="1" x14ac:dyDescent="0.2">
      <c r="A137" s="253" t="s">
        <v>13</v>
      </c>
      <c r="B137" s="126" t="s">
        <v>85</v>
      </c>
      <c r="C137" s="46"/>
      <c r="F137" s="306" t="s">
        <v>12</v>
      </c>
      <c r="G137" s="457" t="s">
        <v>87</v>
      </c>
      <c r="H137" s="457"/>
      <c r="I137" s="457"/>
      <c r="J137" s="457"/>
      <c r="K137" s="457"/>
      <c r="L137" s="457"/>
      <c r="M137" s="457"/>
      <c r="N137" s="457"/>
      <c r="O137" s="457"/>
      <c r="P137" s="457"/>
      <c r="Q137" s="457"/>
      <c r="R137" s="457"/>
      <c r="S137" s="457"/>
      <c r="T137" s="457"/>
      <c r="AG137" s="13"/>
    </row>
    <row r="138" spans="1:54" s="11" customFormat="1" ht="11.25" customHeight="1" x14ac:dyDescent="0.2">
      <c r="A138" s="253"/>
      <c r="B138" s="126"/>
      <c r="C138" s="46"/>
      <c r="F138" s="306" t="s">
        <v>13</v>
      </c>
      <c r="G138" s="459" t="s">
        <v>86</v>
      </c>
      <c r="H138" s="459"/>
      <c r="I138" s="459"/>
      <c r="J138" s="459"/>
      <c r="K138" s="459"/>
      <c r="L138" s="459"/>
      <c r="M138" s="459"/>
      <c r="N138" s="459"/>
      <c r="O138" s="459"/>
      <c r="P138" s="459"/>
      <c r="Q138" s="459"/>
      <c r="R138" s="459"/>
      <c r="S138" s="459"/>
      <c r="T138" s="459"/>
      <c r="AG138" s="13"/>
    </row>
    <row r="139" spans="1:54" s="11" customFormat="1" ht="16.5" customHeight="1" thickBot="1" x14ac:dyDescent="0.25">
      <c r="A139" s="254"/>
      <c r="B139" s="15"/>
      <c r="C139" s="47"/>
      <c r="D139" s="15"/>
      <c r="E139" s="15"/>
      <c r="F139" s="303"/>
      <c r="G139" s="458"/>
      <c r="H139" s="458"/>
      <c r="I139" s="458"/>
      <c r="J139" s="458"/>
      <c r="K139" s="458"/>
      <c r="L139" s="458"/>
      <c r="M139" s="458"/>
      <c r="N139" s="458"/>
      <c r="O139" s="458"/>
      <c r="P139" s="458"/>
      <c r="Q139" s="458"/>
      <c r="R139" s="458"/>
      <c r="S139" s="458"/>
      <c r="T139" s="458"/>
      <c r="U139" s="128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6"/>
    </row>
    <row r="140" spans="1:54" s="18" customFormat="1" ht="16.5" customHeight="1" x14ac:dyDescent="0.2">
      <c r="A140" s="134" t="s">
        <v>105</v>
      </c>
      <c r="C140" s="19"/>
      <c r="BA140" s="19"/>
      <c r="BB140" s="19"/>
    </row>
    <row r="141" spans="1:54" s="18" customFormat="1" ht="5.25" customHeight="1" x14ac:dyDescent="0.25">
      <c r="A141" s="88"/>
      <c r="C141" s="19"/>
      <c r="BA141" s="19"/>
      <c r="BB141" s="19"/>
    </row>
    <row r="142" spans="1:54" s="88" customFormat="1" ht="15" x14ac:dyDescent="0.25">
      <c r="B142" s="88" t="s">
        <v>53</v>
      </c>
      <c r="C142" s="89"/>
      <c r="F142" s="88" t="s">
        <v>54</v>
      </c>
      <c r="V142" s="88" t="s">
        <v>55</v>
      </c>
      <c r="AT142" s="89"/>
      <c r="AU142" s="89"/>
    </row>
    <row r="143" spans="1:54" s="18" customFormat="1" ht="21.75" customHeight="1" x14ac:dyDescent="0.25">
      <c r="A143" s="88"/>
      <c r="C143" s="19"/>
      <c r="AT143" s="19"/>
      <c r="AU143" s="19"/>
    </row>
    <row r="144" spans="1:54" s="18" customFormat="1" ht="15.75" customHeight="1" x14ac:dyDescent="0.25">
      <c r="A144" s="88"/>
      <c r="C144" s="19"/>
      <c r="AT144" s="19"/>
      <c r="AU144" s="19"/>
    </row>
    <row r="145" spans="1:47" s="18" customFormat="1" ht="17.25" customHeight="1" x14ac:dyDescent="0.25">
      <c r="A145" s="88"/>
      <c r="B145" s="90"/>
      <c r="C145" s="19"/>
      <c r="F145" s="90"/>
      <c r="G145" s="90"/>
      <c r="H145" s="90"/>
      <c r="I145" s="90"/>
      <c r="J145" s="90"/>
      <c r="K145" s="90"/>
      <c r="L145" s="90"/>
      <c r="M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T145" s="19"/>
      <c r="AU145" s="19"/>
    </row>
    <row r="146" spans="1:47" s="18" customFormat="1" ht="16.5" customHeight="1" x14ac:dyDescent="0.25">
      <c r="A146" s="88"/>
      <c r="B146" s="18" t="s">
        <v>56</v>
      </c>
      <c r="C146" s="19"/>
      <c r="F146" s="18" t="s">
        <v>56</v>
      </c>
      <c r="V146" s="18" t="s">
        <v>57</v>
      </c>
      <c r="AT146" s="19"/>
      <c r="AU146" s="19"/>
    </row>
    <row r="147" spans="1:47" s="18" customFormat="1" ht="18" customHeight="1" x14ac:dyDescent="0.25">
      <c r="A147" s="88"/>
      <c r="B147" s="18" t="s">
        <v>58</v>
      </c>
      <c r="C147" s="19"/>
      <c r="F147" s="18" t="s">
        <v>59</v>
      </c>
      <c r="V147" s="18" t="s">
        <v>58</v>
      </c>
      <c r="AT147" s="19"/>
      <c r="AU147" s="19"/>
    </row>
    <row r="149" spans="1:47" ht="21" customHeight="1" x14ac:dyDescent="0.25">
      <c r="A149" s="393" t="s">
        <v>264</v>
      </c>
    </row>
  </sheetData>
  <mergeCells count="40">
    <mergeCell ref="G132:T133"/>
    <mergeCell ref="G134:T135"/>
    <mergeCell ref="G136:T136"/>
    <mergeCell ref="G137:T137"/>
    <mergeCell ref="G138:T139"/>
    <mergeCell ref="G104:T105"/>
    <mergeCell ref="G106:T107"/>
    <mergeCell ref="G108:T108"/>
    <mergeCell ref="G109:T109"/>
    <mergeCell ref="G110:T111"/>
    <mergeCell ref="G76:T77"/>
    <mergeCell ref="G78:T79"/>
    <mergeCell ref="G80:T80"/>
    <mergeCell ref="G81:T81"/>
    <mergeCell ref="G82:T83"/>
    <mergeCell ref="A1:AG1"/>
    <mergeCell ref="A2:AG2"/>
    <mergeCell ref="A4:A7"/>
    <mergeCell ref="B4:B7"/>
    <mergeCell ref="C4:C7"/>
    <mergeCell ref="D4:D7"/>
    <mergeCell ref="F4:F7"/>
    <mergeCell ref="G4:L4"/>
    <mergeCell ref="M4:U4"/>
    <mergeCell ref="V4:AF4"/>
    <mergeCell ref="AG4:AG6"/>
    <mergeCell ref="G5:L5"/>
    <mergeCell ref="M5:U5"/>
    <mergeCell ref="E4:E7"/>
    <mergeCell ref="G25:T25"/>
    <mergeCell ref="G26:T27"/>
    <mergeCell ref="V5:AF5"/>
    <mergeCell ref="G20:T21"/>
    <mergeCell ref="G22:T23"/>
    <mergeCell ref="G24:T24"/>
    <mergeCell ref="G48:T49"/>
    <mergeCell ref="G50:T51"/>
    <mergeCell ref="G52:T52"/>
    <mergeCell ref="G53:T53"/>
    <mergeCell ref="G54:T55"/>
  </mergeCells>
  <pageMargins left="0.31" right="0.2" top="0.24" bottom="0.15748031496063" header="0.23622047244094499" footer="0.15748031496063"/>
  <pageSetup paperSize="9" scale="59" orientation="landscape" r:id="rId1"/>
  <rowBreaks count="4" manualBreakCount="4">
    <brk id="36" max="32" man="1"/>
    <brk id="64" max="32" man="1"/>
    <brk id="92" max="32" man="1"/>
    <brk id="120" max="3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U153"/>
  <sheetViews>
    <sheetView showGridLines="0" view="pageBreakPreview" topLeftCell="C1" zoomScale="85" zoomScaleNormal="70" zoomScaleSheetLayoutView="85" workbookViewId="0">
      <selection activeCell="AD9" sqref="AD9"/>
    </sheetView>
  </sheetViews>
  <sheetFormatPr defaultColWidth="9.140625" defaultRowHeight="12.75" x14ac:dyDescent="0.2"/>
  <cols>
    <col min="1" max="1" width="5.42578125" style="6" customWidth="1"/>
    <col min="2" max="2" width="33.5703125" style="6" customWidth="1"/>
    <col min="3" max="3" width="21" style="48" bestFit="1" customWidth="1"/>
    <col min="4" max="4" width="22" style="6" customWidth="1"/>
    <col min="5" max="5" width="6.42578125" style="6" customWidth="1"/>
    <col min="6" max="6" width="5.7109375" style="6" customWidth="1"/>
    <col min="7" max="11" width="4.7109375" style="6" customWidth="1"/>
    <col min="12" max="12" width="5.5703125" style="6" customWidth="1"/>
    <col min="13" max="17" width="4" style="6" customWidth="1"/>
    <col min="18" max="18" width="6" style="6" customWidth="1"/>
    <col min="19" max="22" width="4" style="6" customWidth="1"/>
    <col min="23" max="23" width="5.5703125" style="6" customWidth="1"/>
    <col min="24" max="31" width="4.140625" style="6" customWidth="1"/>
    <col min="32" max="32" width="4.5703125" style="6" customWidth="1"/>
    <col min="33" max="33" width="3.85546875" style="6" customWidth="1"/>
    <col min="34" max="34" width="5.5703125" style="6" customWidth="1"/>
    <col min="35" max="35" width="6.85546875" style="6" customWidth="1"/>
    <col min="36" max="36" width="3.7109375" style="6" customWidth="1"/>
    <col min="37" max="37" width="4.7109375" style="6" customWidth="1"/>
    <col min="38" max="16384" width="9.140625" style="6"/>
  </cols>
  <sheetData>
    <row r="1" spans="1:37" s="102" customFormat="1" ht="21.75" customHeight="1" x14ac:dyDescent="0.2">
      <c r="A1" s="438" t="s">
        <v>18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S1" s="438"/>
      <c r="T1" s="438"/>
      <c r="U1" s="438"/>
      <c r="V1" s="438"/>
      <c r="W1" s="438"/>
      <c r="X1" s="438"/>
      <c r="Y1" s="438"/>
      <c r="Z1" s="438"/>
      <c r="AA1" s="438"/>
      <c r="AB1" s="438"/>
      <c r="AC1" s="438"/>
      <c r="AD1" s="438"/>
      <c r="AE1" s="438"/>
      <c r="AF1" s="438"/>
      <c r="AG1" s="438"/>
      <c r="AH1" s="438"/>
      <c r="AI1" s="438"/>
    </row>
    <row r="2" spans="1:37" customFormat="1" ht="22.5" customHeight="1" x14ac:dyDescent="0.2">
      <c r="A2" s="438" t="s">
        <v>259</v>
      </c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438"/>
      <c r="X2" s="438"/>
      <c r="Y2" s="438"/>
      <c r="Z2" s="438"/>
      <c r="AA2" s="438"/>
      <c r="AB2" s="438"/>
      <c r="AC2" s="438"/>
      <c r="AD2" s="438"/>
      <c r="AE2" s="438"/>
      <c r="AF2" s="438"/>
      <c r="AG2" s="438"/>
      <c r="AH2" s="438"/>
      <c r="AI2" s="438"/>
      <c r="AJ2" s="17"/>
      <c r="AK2" s="17"/>
    </row>
    <row r="3" spans="1:37" s="41" customFormat="1" ht="21.75" customHeight="1" thickBot="1" x14ac:dyDescent="0.25">
      <c r="A3" s="391" t="s">
        <v>253</v>
      </c>
      <c r="C3" s="40"/>
      <c r="Q3" s="392"/>
      <c r="R3" s="391"/>
    </row>
    <row r="4" spans="1:37" s="41" customFormat="1" ht="15" customHeight="1" thickBot="1" x14ac:dyDescent="0.25">
      <c r="A4" s="439" t="s">
        <v>0</v>
      </c>
      <c r="B4" s="439" t="s">
        <v>1</v>
      </c>
      <c r="C4" s="439" t="s">
        <v>62</v>
      </c>
      <c r="D4" s="442" t="s">
        <v>250</v>
      </c>
      <c r="E4" s="445" t="s">
        <v>249</v>
      </c>
      <c r="F4" s="445" t="s">
        <v>22</v>
      </c>
      <c r="G4" s="448" t="s">
        <v>20</v>
      </c>
      <c r="H4" s="449"/>
      <c r="I4" s="449"/>
      <c r="J4" s="449"/>
      <c r="K4" s="460"/>
      <c r="L4" s="450"/>
      <c r="M4" s="451" t="s">
        <v>21</v>
      </c>
      <c r="N4" s="452"/>
      <c r="O4" s="452"/>
      <c r="P4" s="452"/>
      <c r="Q4" s="452"/>
      <c r="R4" s="452"/>
      <c r="S4" s="452"/>
      <c r="T4" s="452"/>
      <c r="U4" s="452"/>
      <c r="V4" s="452"/>
      <c r="W4" s="453"/>
      <c r="X4" s="451" t="s">
        <v>71</v>
      </c>
      <c r="Y4" s="452"/>
      <c r="Z4" s="452"/>
      <c r="AA4" s="452"/>
      <c r="AB4" s="452"/>
      <c r="AC4" s="452"/>
      <c r="AD4" s="452"/>
      <c r="AE4" s="452"/>
      <c r="AF4" s="452"/>
      <c r="AG4" s="452"/>
      <c r="AH4" s="453"/>
      <c r="AI4" s="445" t="s">
        <v>2</v>
      </c>
    </row>
    <row r="5" spans="1:37" s="41" customFormat="1" ht="15.75" customHeight="1" thickBot="1" x14ac:dyDescent="0.25">
      <c r="A5" s="440"/>
      <c r="B5" s="440"/>
      <c r="C5" s="440"/>
      <c r="D5" s="443"/>
      <c r="E5" s="446"/>
      <c r="F5" s="446"/>
      <c r="G5" s="451">
        <v>100</v>
      </c>
      <c r="H5" s="452"/>
      <c r="I5" s="452"/>
      <c r="J5" s="452"/>
      <c r="K5" s="452"/>
      <c r="L5" s="453"/>
      <c r="M5" s="451">
        <v>100</v>
      </c>
      <c r="N5" s="452"/>
      <c r="O5" s="452"/>
      <c r="P5" s="452"/>
      <c r="Q5" s="452"/>
      <c r="R5" s="452"/>
      <c r="S5" s="452"/>
      <c r="T5" s="452"/>
      <c r="U5" s="452"/>
      <c r="V5" s="452"/>
      <c r="W5" s="453"/>
      <c r="X5" s="451">
        <v>100</v>
      </c>
      <c r="Y5" s="452"/>
      <c r="Z5" s="452"/>
      <c r="AA5" s="452"/>
      <c r="AB5" s="452"/>
      <c r="AC5" s="452"/>
      <c r="AD5" s="452"/>
      <c r="AE5" s="452"/>
      <c r="AF5" s="452"/>
      <c r="AG5" s="452"/>
      <c r="AH5" s="453"/>
      <c r="AI5" s="446"/>
    </row>
    <row r="6" spans="1:37" s="41" customFormat="1" ht="166.5" customHeight="1" x14ac:dyDescent="0.2">
      <c r="A6" s="440"/>
      <c r="B6" s="440"/>
      <c r="C6" s="440"/>
      <c r="D6" s="443"/>
      <c r="E6" s="446"/>
      <c r="F6" s="446"/>
      <c r="G6" s="178" t="s">
        <v>23</v>
      </c>
      <c r="H6" s="178" t="s">
        <v>24</v>
      </c>
      <c r="I6" s="178" t="s">
        <v>25</v>
      </c>
      <c r="J6" s="178" t="s">
        <v>26</v>
      </c>
      <c r="K6" s="372" t="s">
        <v>14</v>
      </c>
      <c r="L6" s="364" t="s">
        <v>3</v>
      </c>
      <c r="M6" s="178" t="s">
        <v>34</v>
      </c>
      <c r="N6" s="178" t="s">
        <v>35</v>
      </c>
      <c r="O6" s="178" t="s">
        <v>28</v>
      </c>
      <c r="P6" s="178" t="s">
        <v>29</v>
      </c>
      <c r="Q6" s="178" t="s">
        <v>38</v>
      </c>
      <c r="R6" s="178" t="s">
        <v>97</v>
      </c>
      <c r="S6" s="178" t="s">
        <v>159</v>
      </c>
      <c r="T6" s="178" t="s">
        <v>64</v>
      </c>
      <c r="U6" s="178" t="s">
        <v>98</v>
      </c>
      <c r="V6" s="178" t="s">
        <v>66</v>
      </c>
      <c r="W6" s="364" t="s">
        <v>3</v>
      </c>
      <c r="X6" s="178" t="s">
        <v>69</v>
      </c>
      <c r="Y6" s="178" t="s">
        <v>70</v>
      </c>
      <c r="Z6" s="178" t="s">
        <v>67</v>
      </c>
      <c r="AA6" s="178" t="s">
        <v>68</v>
      </c>
      <c r="AB6" s="178" t="s">
        <v>99</v>
      </c>
      <c r="AC6" s="178" t="s">
        <v>100</v>
      </c>
      <c r="AD6" s="178" t="s">
        <v>101</v>
      </c>
      <c r="AE6" s="178" t="s">
        <v>102</v>
      </c>
      <c r="AF6" s="178" t="s">
        <v>103</v>
      </c>
      <c r="AG6" s="178" t="s">
        <v>104</v>
      </c>
      <c r="AH6" s="364" t="s">
        <v>3</v>
      </c>
      <c r="AI6" s="462"/>
    </row>
    <row r="7" spans="1:37" s="40" customFormat="1" ht="16.5" customHeight="1" thickBot="1" x14ac:dyDescent="0.25">
      <c r="A7" s="441"/>
      <c r="B7" s="441"/>
      <c r="C7" s="441"/>
      <c r="D7" s="444"/>
      <c r="E7" s="447"/>
      <c r="F7" s="447"/>
      <c r="G7" s="36">
        <v>20</v>
      </c>
      <c r="H7" s="54">
        <v>20</v>
      </c>
      <c r="I7" s="54">
        <v>20</v>
      </c>
      <c r="J7" s="54">
        <v>20</v>
      </c>
      <c r="K7" s="37">
        <v>20</v>
      </c>
      <c r="L7" s="434">
        <v>100</v>
      </c>
      <c r="M7" s="53">
        <v>10</v>
      </c>
      <c r="N7" s="54">
        <v>10</v>
      </c>
      <c r="O7" s="54">
        <v>10</v>
      </c>
      <c r="P7" s="37">
        <v>10</v>
      </c>
      <c r="Q7" s="37">
        <v>10</v>
      </c>
      <c r="R7" s="37">
        <v>10</v>
      </c>
      <c r="S7" s="37">
        <v>10</v>
      </c>
      <c r="T7" s="37">
        <v>10</v>
      </c>
      <c r="U7" s="37">
        <v>10</v>
      </c>
      <c r="V7" s="37">
        <v>10</v>
      </c>
      <c r="W7" s="434">
        <v>100</v>
      </c>
      <c r="X7" s="53">
        <v>10</v>
      </c>
      <c r="Y7" s="54">
        <v>10</v>
      </c>
      <c r="Z7" s="54">
        <v>10</v>
      </c>
      <c r="AA7" s="37">
        <v>10</v>
      </c>
      <c r="AB7" s="37">
        <v>10</v>
      </c>
      <c r="AC7" s="37">
        <v>10</v>
      </c>
      <c r="AD7" s="37">
        <v>10</v>
      </c>
      <c r="AE7" s="37">
        <v>10</v>
      </c>
      <c r="AF7" s="37">
        <v>10</v>
      </c>
      <c r="AG7" s="37">
        <v>10</v>
      </c>
      <c r="AH7" s="434">
        <v>100</v>
      </c>
      <c r="AI7" s="39">
        <v>300</v>
      </c>
    </row>
    <row r="8" spans="1:37" s="26" customFormat="1" ht="30" customHeight="1" x14ac:dyDescent="0.2">
      <c r="A8" s="91">
        <v>1</v>
      </c>
      <c r="B8" s="92"/>
      <c r="C8" s="93"/>
      <c r="D8" s="94"/>
      <c r="E8" s="93"/>
      <c r="F8" s="317"/>
      <c r="G8" s="20"/>
      <c r="H8" s="21"/>
      <c r="I8" s="21"/>
      <c r="J8" s="22"/>
      <c r="K8" s="22"/>
      <c r="L8" s="24"/>
      <c r="M8" s="20"/>
      <c r="N8" s="21"/>
      <c r="O8" s="21"/>
      <c r="P8" s="22"/>
      <c r="Q8" s="22"/>
      <c r="R8" s="22"/>
      <c r="S8" s="22"/>
      <c r="T8" s="22"/>
      <c r="U8" s="22"/>
      <c r="V8" s="22"/>
      <c r="W8" s="24"/>
      <c r="X8" s="20"/>
      <c r="Y8" s="21"/>
      <c r="Z8" s="21"/>
      <c r="AA8" s="21"/>
      <c r="AB8" s="21"/>
      <c r="AC8" s="21"/>
      <c r="AD8" s="21"/>
      <c r="AE8" s="21"/>
      <c r="AF8" s="21"/>
      <c r="AG8" s="21"/>
      <c r="AH8" s="24"/>
      <c r="AI8" s="25"/>
    </row>
    <row r="9" spans="1:37" s="26" customFormat="1" ht="30" customHeight="1" x14ac:dyDescent="0.2">
      <c r="A9" s="95">
        <f>A8+1</f>
        <v>2</v>
      </c>
      <c r="B9" s="96"/>
      <c r="C9" s="97"/>
      <c r="D9" s="94"/>
      <c r="E9" s="97"/>
      <c r="F9" s="317"/>
      <c r="G9" s="28"/>
      <c r="H9" s="29"/>
      <c r="I9" s="29"/>
      <c r="J9" s="30"/>
      <c r="K9" s="30"/>
      <c r="L9" s="27"/>
      <c r="M9" s="28"/>
      <c r="N9" s="29"/>
      <c r="O9" s="29"/>
      <c r="P9" s="30"/>
      <c r="Q9" s="30"/>
      <c r="R9" s="30"/>
      <c r="S9" s="30"/>
      <c r="T9" s="30"/>
      <c r="U9" s="30"/>
      <c r="V9" s="30"/>
      <c r="W9" s="27"/>
      <c r="X9" s="28"/>
      <c r="Y9" s="29"/>
      <c r="Z9" s="29"/>
      <c r="AA9" s="29"/>
      <c r="AB9" s="29"/>
      <c r="AC9" s="29"/>
      <c r="AD9" s="29"/>
      <c r="AE9" s="29"/>
      <c r="AF9" s="29"/>
      <c r="AG9" s="29"/>
      <c r="AH9" s="27"/>
      <c r="AI9" s="32"/>
    </row>
    <row r="10" spans="1:37" s="26" customFormat="1" ht="30" customHeight="1" x14ac:dyDescent="0.2">
      <c r="A10" s="95">
        <f t="shared" ref="A10:A17" si="0">A9+1</f>
        <v>3</v>
      </c>
      <c r="B10" s="96"/>
      <c r="C10" s="97"/>
      <c r="D10" s="94"/>
      <c r="E10" s="97"/>
      <c r="F10" s="317"/>
      <c r="G10" s="28"/>
      <c r="H10" s="29"/>
      <c r="I10" s="29"/>
      <c r="J10" s="30"/>
      <c r="K10" s="30"/>
      <c r="L10" s="27"/>
      <c r="M10" s="28"/>
      <c r="N10" s="29"/>
      <c r="O10" s="29"/>
      <c r="P10" s="30"/>
      <c r="Q10" s="30"/>
      <c r="R10" s="30"/>
      <c r="S10" s="30"/>
      <c r="T10" s="30"/>
      <c r="U10" s="30"/>
      <c r="V10" s="30"/>
      <c r="W10" s="27"/>
      <c r="X10" s="28"/>
      <c r="Y10" s="29"/>
      <c r="Z10" s="29"/>
      <c r="AA10" s="29"/>
      <c r="AB10" s="29"/>
      <c r="AC10" s="29"/>
      <c r="AD10" s="29"/>
      <c r="AE10" s="29"/>
      <c r="AF10" s="29"/>
      <c r="AG10" s="29"/>
      <c r="AH10" s="27"/>
      <c r="AI10" s="32"/>
    </row>
    <row r="11" spans="1:37" s="26" customFormat="1" ht="30" customHeight="1" x14ac:dyDescent="0.2">
      <c r="A11" s="95">
        <f t="shared" si="0"/>
        <v>4</v>
      </c>
      <c r="B11" s="96"/>
      <c r="C11" s="97"/>
      <c r="D11" s="94"/>
      <c r="E11" s="97"/>
      <c r="F11" s="317"/>
      <c r="G11" s="28"/>
      <c r="H11" s="29"/>
      <c r="I11" s="29"/>
      <c r="J11" s="30"/>
      <c r="K11" s="30"/>
      <c r="L11" s="27"/>
      <c r="M11" s="28"/>
      <c r="N11" s="29"/>
      <c r="O11" s="29"/>
      <c r="P11" s="30"/>
      <c r="Q11" s="30"/>
      <c r="R11" s="30"/>
      <c r="S11" s="30"/>
      <c r="T11" s="30"/>
      <c r="U11" s="30"/>
      <c r="V11" s="30"/>
      <c r="W11" s="27"/>
      <c r="X11" s="28"/>
      <c r="Y11" s="29"/>
      <c r="Z11" s="29"/>
      <c r="AA11" s="29"/>
      <c r="AB11" s="29"/>
      <c r="AC11" s="29"/>
      <c r="AD11" s="29"/>
      <c r="AE11" s="29"/>
      <c r="AF11" s="29"/>
      <c r="AG11" s="29"/>
      <c r="AH11" s="27"/>
      <c r="AI11" s="32"/>
    </row>
    <row r="12" spans="1:37" s="26" customFormat="1" ht="30" customHeight="1" x14ac:dyDescent="0.2">
      <c r="A12" s="95">
        <f t="shared" si="0"/>
        <v>5</v>
      </c>
      <c r="B12" s="96"/>
      <c r="C12" s="97"/>
      <c r="D12" s="94"/>
      <c r="E12" s="97"/>
      <c r="F12" s="317"/>
      <c r="G12" s="28"/>
      <c r="H12" s="29"/>
      <c r="I12" s="29"/>
      <c r="J12" s="30"/>
      <c r="K12" s="30"/>
      <c r="L12" s="27"/>
      <c r="M12" s="28"/>
      <c r="N12" s="29"/>
      <c r="O12" s="29"/>
      <c r="P12" s="30"/>
      <c r="Q12" s="30"/>
      <c r="R12" s="30"/>
      <c r="S12" s="30"/>
      <c r="T12" s="30"/>
      <c r="U12" s="30"/>
      <c r="V12" s="30"/>
      <c r="W12" s="27"/>
      <c r="X12" s="28"/>
      <c r="Y12" s="29"/>
      <c r="Z12" s="29"/>
      <c r="AA12" s="29"/>
      <c r="AB12" s="29"/>
      <c r="AC12" s="29"/>
      <c r="AD12" s="29"/>
      <c r="AE12" s="29"/>
      <c r="AF12" s="29"/>
      <c r="AG12" s="29"/>
      <c r="AH12" s="27"/>
      <c r="AI12" s="32"/>
    </row>
    <row r="13" spans="1:37" s="26" customFormat="1" ht="30" customHeight="1" x14ac:dyDescent="0.2">
      <c r="A13" s="95">
        <f t="shared" si="0"/>
        <v>6</v>
      </c>
      <c r="B13" s="96"/>
      <c r="C13" s="97"/>
      <c r="D13" s="94"/>
      <c r="E13" s="97"/>
      <c r="F13" s="317"/>
      <c r="G13" s="28"/>
      <c r="H13" s="29"/>
      <c r="I13" s="29"/>
      <c r="J13" s="30"/>
      <c r="K13" s="30"/>
      <c r="L13" s="27"/>
      <c r="M13" s="28"/>
      <c r="N13" s="29"/>
      <c r="O13" s="29"/>
      <c r="P13" s="30"/>
      <c r="Q13" s="30"/>
      <c r="R13" s="30"/>
      <c r="S13" s="30"/>
      <c r="T13" s="30"/>
      <c r="U13" s="30"/>
      <c r="V13" s="30"/>
      <c r="W13" s="27"/>
      <c r="X13" s="28"/>
      <c r="Y13" s="29"/>
      <c r="Z13" s="29"/>
      <c r="AA13" s="29"/>
      <c r="AB13" s="29"/>
      <c r="AC13" s="29"/>
      <c r="AD13" s="29"/>
      <c r="AE13" s="29"/>
      <c r="AF13" s="29"/>
      <c r="AG13" s="29"/>
      <c r="AH13" s="27"/>
      <c r="AI13" s="32"/>
    </row>
    <row r="14" spans="1:37" s="26" customFormat="1" ht="30" customHeight="1" x14ac:dyDescent="0.2">
      <c r="A14" s="95">
        <f t="shared" si="0"/>
        <v>7</v>
      </c>
      <c r="B14" s="96"/>
      <c r="C14" s="97"/>
      <c r="D14" s="94"/>
      <c r="E14" s="97"/>
      <c r="F14" s="317"/>
      <c r="G14" s="28"/>
      <c r="H14" s="29"/>
      <c r="I14" s="29"/>
      <c r="J14" s="30"/>
      <c r="K14" s="30"/>
      <c r="L14" s="27"/>
      <c r="M14" s="28"/>
      <c r="N14" s="29"/>
      <c r="O14" s="29"/>
      <c r="P14" s="30"/>
      <c r="Q14" s="30"/>
      <c r="R14" s="30"/>
      <c r="S14" s="30"/>
      <c r="T14" s="30"/>
      <c r="U14" s="30"/>
      <c r="V14" s="30"/>
      <c r="W14" s="27"/>
      <c r="X14" s="28"/>
      <c r="Y14" s="29"/>
      <c r="Z14" s="29"/>
      <c r="AA14" s="29"/>
      <c r="AB14" s="29"/>
      <c r="AC14" s="29"/>
      <c r="AD14" s="29"/>
      <c r="AE14" s="29"/>
      <c r="AF14" s="29"/>
      <c r="AG14" s="29"/>
      <c r="AH14" s="27"/>
      <c r="AI14" s="32"/>
    </row>
    <row r="15" spans="1:37" s="26" customFormat="1" ht="30" customHeight="1" x14ac:dyDescent="0.2">
      <c r="A15" s="95">
        <f t="shared" si="0"/>
        <v>8</v>
      </c>
      <c r="B15" s="96"/>
      <c r="C15" s="97"/>
      <c r="D15" s="94"/>
      <c r="E15" s="97"/>
      <c r="F15" s="317"/>
      <c r="G15" s="28"/>
      <c r="H15" s="29"/>
      <c r="I15" s="29"/>
      <c r="J15" s="30"/>
      <c r="K15" s="30"/>
      <c r="L15" s="27"/>
      <c r="M15" s="28"/>
      <c r="N15" s="29"/>
      <c r="O15" s="29"/>
      <c r="P15" s="30"/>
      <c r="Q15" s="30"/>
      <c r="R15" s="30"/>
      <c r="S15" s="30"/>
      <c r="T15" s="30"/>
      <c r="U15" s="30"/>
      <c r="V15" s="30"/>
      <c r="W15" s="27"/>
      <c r="X15" s="28"/>
      <c r="Y15" s="29"/>
      <c r="Z15" s="29"/>
      <c r="AA15" s="29"/>
      <c r="AB15" s="29"/>
      <c r="AC15" s="29"/>
      <c r="AD15" s="29"/>
      <c r="AE15" s="29"/>
      <c r="AF15" s="29"/>
      <c r="AG15" s="29"/>
      <c r="AH15" s="27"/>
      <c r="AI15" s="32"/>
    </row>
    <row r="16" spans="1:37" s="26" customFormat="1" ht="30" customHeight="1" x14ac:dyDescent="0.2">
      <c r="A16" s="95">
        <f t="shared" si="0"/>
        <v>9</v>
      </c>
      <c r="B16" s="96"/>
      <c r="C16" s="97"/>
      <c r="D16" s="94"/>
      <c r="E16" s="97"/>
      <c r="F16" s="317"/>
      <c r="G16" s="28"/>
      <c r="H16" s="29"/>
      <c r="I16" s="29"/>
      <c r="J16" s="30"/>
      <c r="K16" s="30"/>
      <c r="L16" s="27"/>
      <c r="M16" s="28"/>
      <c r="N16" s="29"/>
      <c r="O16" s="29"/>
      <c r="P16" s="30"/>
      <c r="Q16" s="30"/>
      <c r="R16" s="30"/>
      <c r="S16" s="30"/>
      <c r="T16" s="30"/>
      <c r="U16" s="30"/>
      <c r="V16" s="30"/>
      <c r="W16" s="27"/>
      <c r="X16" s="28"/>
      <c r="Y16" s="29"/>
      <c r="Z16" s="29"/>
      <c r="AA16" s="29"/>
      <c r="AB16" s="29"/>
      <c r="AC16" s="29"/>
      <c r="AD16" s="29"/>
      <c r="AE16" s="29"/>
      <c r="AF16" s="29"/>
      <c r="AG16" s="29"/>
      <c r="AH16" s="27"/>
      <c r="AI16" s="32"/>
    </row>
    <row r="17" spans="1:35" s="26" customFormat="1" ht="30" customHeight="1" thickBot="1" x14ac:dyDescent="0.25">
      <c r="A17" s="373">
        <f t="shared" si="0"/>
        <v>10</v>
      </c>
      <c r="B17" s="374"/>
      <c r="C17" s="370"/>
      <c r="D17" s="375"/>
      <c r="E17" s="302"/>
      <c r="F17" s="69"/>
      <c r="G17" s="65"/>
      <c r="H17" s="66"/>
      <c r="I17" s="66"/>
      <c r="J17" s="67"/>
      <c r="K17" s="67"/>
      <c r="L17" s="69"/>
      <c r="M17" s="65"/>
      <c r="N17" s="66"/>
      <c r="O17" s="66"/>
      <c r="P17" s="67"/>
      <c r="Q17" s="67"/>
      <c r="R17" s="67"/>
      <c r="S17" s="67"/>
      <c r="T17" s="67"/>
      <c r="U17" s="67"/>
      <c r="V17" s="68"/>
      <c r="W17" s="69"/>
      <c r="X17" s="65"/>
      <c r="Y17" s="66"/>
      <c r="Z17" s="66"/>
      <c r="AA17" s="66"/>
      <c r="AB17" s="66"/>
      <c r="AC17" s="66"/>
      <c r="AD17" s="66"/>
      <c r="AE17" s="66"/>
      <c r="AF17" s="66"/>
      <c r="AG17" s="66"/>
      <c r="AH17" s="69"/>
      <c r="AI17" s="70"/>
    </row>
    <row r="18" spans="1:35" s="26" customFormat="1" ht="9.75" customHeight="1" thickBot="1" x14ac:dyDescent="0.25">
      <c r="A18" s="359"/>
      <c r="B18" s="360"/>
      <c r="C18" s="361"/>
      <c r="D18" s="360"/>
      <c r="E18" s="360"/>
    </row>
    <row r="19" spans="1:35" s="11" customFormat="1" x14ac:dyDescent="0.2">
      <c r="A19" s="60" t="s">
        <v>75</v>
      </c>
      <c r="B19" s="8"/>
      <c r="C19" s="45"/>
      <c r="D19" s="8"/>
      <c r="E19" s="8"/>
      <c r="F19" s="8"/>
      <c r="G19" s="125" t="s">
        <v>76</v>
      </c>
      <c r="H19" s="8"/>
      <c r="I19" s="8"/>
      <c r="J19" s="8"/>
      <c r="K19" s="9"/>
      <c r="L19" s="9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125" t="s">
        <v>77</v>
      </c>
      <c r="Z19" s="8"/>
      <c r="AA19" s="8"/>
      <c r="AB19" s="8"/>
      <c r="AC19" s="8"/>
      <c r="AD19" s="8"/>
      <c r="AE19" s="8"/>
      <c r="AF19" s="8"/>
      <c r="AG19" s="8"/>
      <c r="AH19" s="8"/>
      <c r="AI19" s="10"/>
    </row>
    <row r="20" spans="1:35" s="11" customFormat="1" ht="12" customHeight="1" x14ac:dyDescent="0.2">
      <c r="A20" s="137" t="s">
        <v>8</v>
      </c>
      <c r="B20" s="138" t="s">
        <v>157</v>
      </c>
      <c r="C20" s="46"/>
      <c r="G20" s="130" t="s">
        <v>8</v>
      </c>
      <c r="H20" s="457" t="s">
        <v>89</v>
      </c>
      <c r="I20" s="457"/>
      <c r="J20" s="457"/>
      <c r="K20" s="457"/>
      <c r="L20" s="457"/>
      <c r="M20" s="457"/>
      <c r="N20" s="457"/>
      <c r="O20" s="457"/>
      <c r="P20" s="457"/>
      <c r="Q20" s="457"/>
      <c r="R20" s="457"/>
      <c r="S20" s="457"/>
      <c r="T20" s="457"/>
      <c r="U20" s="457"/>
      <c r="V20" s="457"/>
      <c r="W20" s="457"/>
      <c r="Y20" s="11" t="s">
        <v>95</v>
      </c>
      <c r="AI20" s="13"/>
    </row>
    <row r="21" spans="1:35" s="11" customFormat="1" ht="12" customHeight="1" x14ac:dyDescent="0.2">
      <c r="A21" s="139"/>
      <c r="B21" s="138" t="s">
        <v>158</v>
      </c>
      <c r="C21" s="46"/>
      <c r="G21" s="129"/>
      <c r="H21" s="457"/>
      <c r="I21" s="457"/>
      <c r="J21" s="457"/>
      <c r="K21" s="457"/>
      <c r="L21" s="457"/>
      <c r="M21" s="457"/>
      <c r="N21" s="457"/>
      <c r="O21" s="457"/>
      <c r="P21" s="457"/>
      <c r="Q21" s="457"/>
      <c r="R21" s="457"/>
      <c r="S21" s="457"/>
      <c r="T21" s="457"/>
      <c r="U21" s="457"/>
      <c r="V21" s="457"/>
      <c r="W21" s="457"/>
      <c r="Y21" s="11" t="s">
        <v>96</v>
      </c>
      <c r="AI21" s="13"/>
    </row>
    <row r="22" spans="1:35" s="11" customFormat="1" ht="12" customHeight="1" x14ac:dyDescent="0.2">
      <c r="A22" s="139"/>
      <c r="B22" s="11" t="s">
        <v>90</v>
      </c>
      <c r="C22" s="46"/>
      <c r="G22" s="130" t="s">
        <v>9</v>
      </c>
      <c r="H22" s="457" t="s">
        <v>88</v>
      </c>
      <c r="I22" s="457"/>
      <c r="J22" s="457"/>
      <c r="K22" s="457"/>
      <c r="L22" s="457"/>
      <c r="M22" s="457"/>
      <c r="N22" s="457"/>
      <c r="O22" s="457"/>
      <c r="P22" s="457"/>
      <c r="Q22" s="457"/>
      <c r="R22" s="457"/>
      <c r="S22" s="457"/>
      <c r="T22" s="457"/>
      <c r="U22" s="457"/>
      <c r="V22" s="457"/>
      <c r="W22" s="457"/>
      <c r="AI22" s="13"/>
    </row>
    <row r="23" spans="1:35" s="11" customFormat="1" ht="12" customHeight="1" x14ac:dyDescent="0.2">
      <c r="A23" s="139"/>
      <c r="B23" s="11" t="s">
        <v>94</v>
      </c>
      <c r="C23" s="46"/>
      <c r="H23" s="457"/>
      <c r="I23" s="457"/>
      <c r="J23" s="457"/>
      <c r="K23" s="457"/>
      <c r="L23" s="457"/>
      <c r="M23" s="457"/>
      <c r="N23" s="457"/>
      <c r="O23" s="457"/>
      <c r="P23" s="457"/>
      <c r="Q23" s="457"/>
      <c r="R23" s="457"/>
      <c r="S23" s="457"/>
      <c r="T23" s="457"/>
      <c r="U23" s="457"/>
      <c r="V23" s="457"/>
      <c r="W23" s="457"/>
      <c r="AI23" s="13"/>
    </row>
    <row r="24" spans="1:35" s="11" customFormat="1" ht="12" customHeight="1" x14ac:dyDescent="0.2">
      <c r="A24" s="137" t="s">
        <v>9</v>
      </c>
      <c r="B24" s="126" t="s">
        <v>93</v>
      </c>
      <c r="C24" s="46"/>
      <c r="G24" s="130" t="s">
        <v>11</v>
      </c>
      <c r="H24" s="461" t="s">
        <v>78</v>
      </c>
      <c r="I24" s="461"/>
      <c r="J24" s="461"/>
      <c r="K24" s="461"/>
      <c r="L24" s="461"/>
      <c r="M24" s="461"/>
      <c r="N24" s="461"/>
      <c r="O24" s="461"/>
      <c r="P24" s="461"/>
      <c r="Q24" s="461"/>
      <c r="R24" s="461"/>
      <c r="S24" s="461"/>
      <c r="T24" s="461"/>
      <c r="U24" s="461"/>
      <c r="V24" s="461"/>
      <c r="W24" s="461"/>
      <c r="AI24" s="13"/>
    </row>
    <row r="25" spans="1:35" s="11" customFormat="1" ht="12" customHeight="1" x14ac:dyDescent="0.2">
      <c r="A25" s="137" t="s">
        <v>11</v>
      </c>
      <c r="B25" s="126" t="s">
        <v>92</v>
      </c>
      <c r="C25" s="46"/>
      <c r="G25" s="130" t="s">
        <v>12</v>
      </c>
      <c r="H25" s="457" t="s">
        <v>87</v>
      </c>
      <c r="I25" s="457"/>
      <c r="J25" s="457"/>
      <c r="K25" s="457"/>
      <c r="L25" s="457"/>
      <c r="M25" s="457"/>
      <c r="N25" s="457"/>
      <c r="O25" s="457"/>
      <c r="P25" s="457"/>
      <c r="Q25" s="457"/>
      <c r="R25" s="457"/>
      <c r="S25" s="457"/>
      <c r="T25" s="457"/>
      <c r="U25" s="457"/>
      <c r="V25" s="457"/>
      <c r="W25" s="457"/>
      <c r="AI25" s="13"/>
    </row>
    <row r="26" spans="1:35" s="11" customFormat="1" ht="12" customHeight="1" x14ac:dyDescent="0.2">
      <c r="A26" s="137" t="s">
        <v>12</v>
      </c>
      <c r="B26" s="126" t="s">
        <v>84</v>
      </c>
      <c r="C26" s="46"/>
      <c r="G26" s="130" t="s">
        <v>13</v>
      </c>
      <c r="H26" s="459" t="s">
        <v>86</v>
      </c>
      <c r="I26" s="459"/>
      <c r="J26" s="459"/>
      <c r="K26" s="459"/>
      <c r="L26" s="459"/>
      <c r="M26" s="459"/>
      <c r="N26" s="459"/>
      <c r="O26" s="459"/>
      <c r="P26" s="459"/>
      <c r="Q26" s="459"/>
      <c r="R26" s="459"/>
      <c r="S26" s="459"/>
      <c r="T26" s="459"/>
      <c r="U26" s="459"/>
      <c r="V26" s="459"/>
      <c r="W26" s="459"/>
      <c r="AI26" s="13"/>
    </row>
    <row r="27" spans="1:35" s="101" customFormat="1" ht="12" customHeight="1" thickBot="1" x14ac:dyDescent="0.25">
      <c r="A27" s="140" t="s">
        <v>13</v>
      </c>
      <c r="B27" s="124" t="s">
        <v>85</v>
      </c>
      <c r="C27" s="99"/>
      <c r="D27" s="98"/>
      <c r="E27" s="98"/>
      <c r="F27" s="98"/>
      <c r="G27" s="98"/>
      <c r="H27" s="458"/>
      <c r="I27" s="458"/>
      <c r="J27" s="458"/>
      <c r="K27" s="458"/>
      <c r="L27" s="458"/>
      <c r="M27" s="458"/>
      <c r="N27" s="458"/>
      <c r="O27" s="458"/>
      <c r="P27" s="458"/>
      <c r="Q27" s="458"/>
      <c r="R27" s="458"/>
      <c r="S27" s="458"/>
      <c r="T27" s="458"/>
      <c r="U27" s="458"/>
      <c r="V27" s="458"/>
      <c r="W27" s="45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100"/>
    </row>
    <row r="28" spans="1:35" s="135" customFormat="1" ht="16.5" customHeight="1" x14ac:dyDescent="0.2">
      <c r="A28" s="134" t="s">
        <v>105</v>
      </c>
      <c r="C28" s="136"/>
    </row>
    <row r="29" spans="1:35" s="18" customFormat="1" ht="11.25" customHeight="1" x14ac:dyDescent="0.2">
      <c r="A29" s="133"/>
      <c r="C29" s="19"/>
    </row>
    <row r="30" spans="1:35" s="88" customFormat="1" ht="15" x14ac:dyDescent="0.25">
      <c r="B30" s="88" t="s">
        <v>53</v>
      </c>
      <c r="C30" s="89"/>
      <c r="F30" s="88" t="s">
        <v>54</v>
      </c>
      <c r="AA30" s="88" t="s">
        <v>55</v>
      </c>
    </row>
    <row r="31" spans="1:35" s="18" customFormat="1" ht="16.5" customHeight="1" x14ac:dyDescent="0.2">
      <c r="C31" s="19"/>
    </row>
    <row r="32" spans="1:35" s="18" customFormat="1" ht="14.25" customHeight="1" x14ac:dyDescent="0.2">
      <c r="C32" s="19"/>
    </row>
    <row r="33" spans="1:47" s="18" customFormat="1" ht="22.5" customHeight="1" x14ac:dyDescent="0.2">
      <c r="B33" s="90"/>
      <c r="C33" s="19"/>
      <c r="F33" s="90"/>
      <c r="G33" s="90"/>
      <c r="H33" s="90"/>
      <c r="I33" s="90"/>
      <c r="J33" s="90"/>
      <c r="K33" s="90"/>
      <c r="L33" s="90"/>
      <c r="M33" s="90"/>
      <c r="AA33" s="90"/>
      <c r="AB33" s="90"/>
      <c r="AC33" s="90"/>
      <c r="AD33" s="90"/>
      <c r="AE33" s="90"/>
      <c r="AF33" s="90"/>
      <c r="AG33" s="90"/>
      <c r="AH33" s="90"/>
    </row>
    <row r="34" spans="1:47" s="18" customFormat="1" ht="17.25" customHeight="1" x14ac:dyDescent="0.2">
      <c r="B34" s="18" t="s">
        <v>56</v>
      </c>
      <c r="C34" s="19"/>
      <c r="F34" s="18" t="s">
        <v>56</v>
      </c>
      <c r="AA34" s="18" t="s">
        <v>57</v>
      </c>
    </row>
    <row r="35" spans="1:47" s="18" customFormat="1" ht="18" customHeight="1" x14ac:dyDescent="0.2">
      <c r="B35" s="18" t="s">
        <v>58</v>
      </c>
      <c r="C35" s="19"/>
      <c r="F35" s="18" t="s">
        <v>59</v>
      </c>
      <c r="AA35" s="18" t="s">
        <v>58</v>
      </c>
    </row>
    <row r="36" spans="1:47" s="18" customFormat="1" ht="9" customHeight="1" thickBot="1" x14ac:dyDescent="0.3">
      <c r="A36" s="88"/>
      <c r="C36" s="19"/>
      <c r="AT36" s="19"/>
      <c r="AU36" s="19"/>
    </row>
    <row r="37" spans="1:47" s="26" customFormat="1" ht="30" customHeight="1" x14ac:dyDescent="0.2">
      <c r="A37" s="294">
        <v>11</v>
      </c>
      <c r="B37" s="376"/>
      <c r="C37" s="93"/>
      <c r="D37" s="377"/>
      <c r="E37" s="93"/>
      <c r="F37" s="318"/>
      <c r="G37" s="20"/>
      <c r="H37" s="21"/>
      <c r="I37" s="21"/>
      <c r="J37" s="22"/>
      <c r="K37" s="22"/>
      <c r="L37" s="24"/>
      <c r="M37" s="20"/>
      <c r="N37" s="21"/>
      <c r="O37" s="21"/>
      <c r="P37" s="22"/>
      <c r="Q37" s="22"/>
      <c r="R37" s="22"/>
      <c r="S37" s="22"/>
      <c r="T37" s="22"/>
      <c r="U37" s="22"/>
      <c r="V37" s="22"/>
      <c r="W37" s="24"/>
      <c r="X37" s="20"/>
      <c r="Y37" s="21"/>
      <c r="Z37" s="21"/>
      <c r="AA37" s="21"/>
      <c r="AB37" s="21"/>
      <c r="AC37" s="21"/>
      <c r="AD37" s="21"/>
      <c r="AE37" s="21"/>
      <c r="AF37" s="21"/>
      <c r="AG37" s="21"/>
      <c r="AH37" s="24"/>
      <c r="AI37" s="25"/>
    </row>
    <row r="38" spans="1:47" s="26" customFormat="1" ht="30" customHeight="1" x14ac:dyDescent="0.2">
      <c r="A38" s="95">
        <f>A37+1</f>
        <v>12</v>
      </c>
      <c r="B38" s="96"/>
      <c r="C38" s="97"/>
      <c r="D38" s="94"/>
      <c r="E38" s="97"/>
      <c r="F38" s="317"/>
      <c r="G38" s="28"/>
      <c r="H38" s="29"/>
      <c r="I38" s="29"/>
      <c r="J38" s="30"/>
      <c r="K38" s="30"/>
      <c r="L38" s="27"/>
      <c r="M38" s="28"/>
      <c r="N38" s="29"/>
      <c r="O38" s="29"/>
      <c r="P38" s="30"/>
      <c r="Q38" s="30"/>
      <c r="R38" s="30"/>
      <c r="S38" s="30"/>
      <c r="T38" s="30"/>
      <c r="U38" s="30"/>
      <c r="V38" s="30"/>
      <c r="W38" s="27"/>
      <c r="X38" s="28"/>
      <c r="Y38" s="29"/>
      <c r="Z38" s="29"/>
      <c r="AA38" s="29"/>
      <c r="AB38" s="29"/>
      <c r="AC38" s="29"/>
      <c r="AD38" s="29"/>
      <c r="AE38" s="29"/>
      <c r="AF38" s="29"/>
      <c r="AG38" s="29"/>
      <c r="AH38" s="27"/>
      <c r="AI38" s="32"/>
    </row>
    <row r="39" spans="1:47" s="26" customFormat="1" ht="30" customHeight="1" x14ac:dyDescent="0.2">
      <c r="A39" s="95">
        <f t="shared" ref="A39:A46" si="1">A38+1</f>
        <v>13</v>
      </c>
      <c r="B39" s="96"/>
      <c r="C39" s="97"/>
      <c r="D39" s="94"/>
      <c r="E39" s="97"/>
      <c r="F39" s="317"/>
      <c r="G39" s="28"/>
      <c r="H39" s="29"/>
      <c r="I39" s="29"/>
      <c r="J39" s="30"/>
      <c r="K39" s="30"/>
      <c r="L39" s="27"/>
      <c r="M39" s="28"/>
      <c r="N39" s="29"/>
      <c r="O39" s="29"/>
      <c r="P39" s="30"/>
      <c r="Q39" s="30"/>
      <c r="R39" s="30"/>
      <c r="S39" s="30"/>
      <c r="T39" s="30"/>
      <c r="U39" s="30"/>
      <c r="V39" s="30"/>
      <c r="W39" s="27"/>
      <c r="X39" s="28"/>
      <c r="Y39" s="29"/>
      <c r="Z39" s="29"/>
      <c r="AA39" s="29"/>
      <c r="AB39" s="29"/>
      <c r="AC39" s="29"/>
      <c r="AD39" s="29"/>
      <c r="AE39" s="29"/>
      <c r="AF39" s="29"/>
      <c r="AG39" s="29"/>
      <c r="AH39" s="27"/>
      <c r="AI39" s="32"/>
    </row>
    <row r="40" spans="1:47" s="26" customFormat="1" ht="30" customHeight="1" x14ac:dyDescent="0.2">
      <c r="A40" s="95">
        <f t="shared" si="1"/>
        <v>14</v>
      </c>
      <c r="B40" s="96"/>
      <c r="C40" s="97"/>
      <c r="D40" s="94"/>
      <c r="E40" s="97"/>
      <c r="F40" s="317"/>
      <c r="G40" s="28"/>
      <c r="H40" s="29"/>
      <c r="I40" s="29"/>
      <c r="J40" s="30"/>
      <c r="K40" s="30"/>
      <c r="L40" s="27"/>
      <c r="M40" s="28"/>
      <c r="N40" s="29"/>
      <c r="O40" s="29"/>
      <c r="P40" s="30"/>
      <c r="Q40" s="30"/>
      <c r="R40" s="30"/>
      <c r="S40" s="30"/>
      <c r="T40" s="30"/>
      <c r="U40" s="30"/>
      <c r="V40" s="30"/>
      <c r="W40" s="27"/>
      <c r="X40" s="28"/>
      <c r="Y40" s="29"/>
      <c r="Z40" s="29"/>
      <c r="AA40" s="29"/>
      <c r="AB40" s="29"/>
      <c r="AC40" s="29"/>
      <c r="AD40" s="29"/>
      <c r="AE40" s="29"/>
      <c r="AF40" s="29"/>
      <c r="AG40" s="29"/>
      <c r="AH40" s="27"/>
      <c r="AI40" s="32"/>
    </row>
    <row r="41" spans="1:47" s="26" customFormat="1" ht="30" customHeight="1" x14ac:dyDescent="0.2">
      <c r="A41" s="95">
        <f t="shared" si="1"/>
        <v>15</v>
      </c>
      <c r="B41" s="96"/>
      <c r="C41" s="97"/>
      <c r="D41" s="94"/>
      <c r="E41" s="97"/>
      <c r="F41" s="317"/>
      <c r="G41" s="28"/>
      <c r="H41" s="29"/>
      <c r="I41" s="29"/>
      <c r="J41" s="30"/>
      <c r="K41" s="30"/>
      <c r="L41" s="27"/>
      <c r="M41" s="28"/>
      <c r="N41" s="29"/>
      <c r="O41" s="29"/>
      <c r="P41" s="30"/>
      <c r="Q41" s="30"/>
      <c r="R41" s="30"/>
      <c r="S41" s="30"/>
      <c r="T41" s="30"/>
      <c r="U41" s="30"/>
      <c r="V41" s="30"/>
      <c r="W41" s="27"/>
      <c r="X41" s="28"/>
      <c r="Y41" s="29"/>
      <c r="Z41" s="29"/>
      <c r="AA41" s="29"/>
      <c r="AB41" s="29"/>
      <c r="AC41" s="29"/>
      <c r="AD41" s="29"/>
      <c r="AE41" s="29"/>
      <c r="AF41" s="29"/>
      <c r="AG41" s="29"/>
      <c r="AH41" s="27"/>
      <c r="AI41" s="32"/>
    </row>
    <row r="42" spans="1:47" s="26" customFormat="1" ht="30" customHeight="1" x14ac:dyDescent="0.2">
      <c r="A42" s="95">
        <f t="shared" si="1"/>
        <v>16</v>
      </c>
      <c r="B42" s="96"/>
      <c r="C42" s="97"/>
      <c r="D42" s="94"/>
      <c r="E42" s="97"/>
      <c r="F42" s="317"/>
      <c r="G42" s="28"/>
      <c r="H42" s="29"/>
      <c r="I42" s="29"/>
      <c r="J42" s="30"/>
      <c r="K42" s="30"/>
      <c r="L42" s="27"/>
      <c r="M42" s="28"/>
      <c r="N42" s="29"/>
      <c r="O42" s="29"/>
      <c r="P42" s="30"/>
      <c r="Q42" s="30"/>
      <c r="R42" s="30"/>
      <c r="S42" s="30"/>
      <c r="T42" s="30"/>
      <c r="U42" s="30"/>
      <c r="V42" s="30"/>
      <c r="W42" s="27"/>
      <c r="X42" s="28"/>
      <c r="Y42" s="29"/>
      <c r="Z42" s="29"/>
      <c r="AA42" s="29"/>
      <c r="AB42" s="29"/>
      <c r="AC42" s="29"/>
      <c r="AD42" s="29"/>
      <c r="AE42" s="29"/>
      <c r="AF42" s="29"/>
      <c r="AG42" s="29"/>
      <c r="AH42" s="27"/>
      <c r="AI42" s="32"/>
    </row>
    <row r="43" spans="1:47" s="26" customFormat="1" ht="30" customHeight="1" x14ac:dyDescent="0.2">
      <c r="A43" s="95">
        <f t="shared" si="1"/>
        <v>17</v>
      </c>
      <c r="B43" s="96"/>
      <c r="C43" s="97"/>
      <c r="D43" s="94"/>
      <c r="E43" s="97"/>
      <c r="F43" s="317"/>
      <c r="G43" s="28"/>
      <c r="H43" s="29"/>
      <c r="I43" s="29"/>
      <c r="J43" s="30"/>
      <c r="K43" s="30"/>
      <c r="L43" s="27"/>
      <c r="M43" s="28"/>
      <c r="N43" s="29"/>
      <c r="O43" s="29"/>
      <c r="P43" s="30"/>
      <c r="Q43" s="30"/>
      <c r="R43" s="30"/>
      <c r="S43" s="30"/>
      <c r="T43" s="30"/>
      <c r="U43" s="30"/>
      <c r="V43" s="30"/>
      <c r="W43" s="27"/>
      <c r="X43" s="28"/>
      <c r="Y43" s="29"/>
      <c r="Z43" s="29"/>
      <c r="AA43" s="29"/>
      <c r="AB43" s="29"/>
      <c r="AC43" s="29"/>
      <c r="AD43" s="29"/>
      <c r="AE43" s="29"/>
      <c r="AF43" s="29"/>
      <c r="AG43" s="29"/>
      <c r="AH43" s="27"/>
      <c r="AI43" s="32"/>
    </row>
    <row r="44" spans="1:47" s="26" customFormat="1" ht="30" customHeight="1" x14ac:dyDescent="0.2">
      <c r="A44" s="95">
        <f t="shared" si="1"/>
        <v>18</v>
      </c>
      <c r="B44" s="96"/>
      <c r="C44" s="97"/>
      <c r="D44" s="94"/>
      <c r="E44" s="97"/>
      <c r="F44" s="317"/>
      <c r="G44" s="28"/>
      <c r="H44" s="29"/>
      <c r="I44" s="29"/>
      <c r="J44" s="30"/>
      <c r="K44" s="30"/>
      <c r="L44" s="27"/>
      <c r="M44" s="28"/>
      <c r="N44" s="29"/>
      <c r="O44" s="29"/>
      <c r="P44" s="30"/>
      <c r="Q44" s="30"/>
      <c r="R44" s="30"/>
      <c r="S44" s="30"/>
      <c r="T44" s="30"/>
      <c r="U44" s="30"/>
      <c r="V44" s="30"/>
      <c r="W44" s="27"/>
      <c r="X44" s="28"/>
      <c r="Y44" s="29"/>
      <c r="Z44" s="29"/>
      <c r="AA44" s="29"/>
      <c r="AB44" s="29"/>
      <c r="AC44" s="29"/>
      <c r="AD44" s="29"/>
      <c r="AE44" s="29"/>
      <c r="AF44" s="29"/>
      <c r="AG44" s="29"/>
      <c r="AH44" s="27"/>
      <c r="AI44" s="32"/>
    </row>
    <row r="45" spans="1:47" s="26" customFormat="1" ht="30" customHeight="1" x14ac:dyDescent="0.2">
      <c r="A45" s="95">
        <f t="shared" si="1"/>
        <v>19</v>
      </c>
      <c r="B45" s="96"/>
      <c r="C45" s="97"/>
      <c r="D45" s="94"/>
      <c r="E45" s="97"/>
      <c r="F45" s="317"/>
      <c r="G45" s="28"/>
      <c r="H45" s="29"/>
      <c r="I45" s="29"/>
      <c r="J45" s="30"/>
      <c r="K45" s="30"/>
      <c r="L45" s="27"/>
      <c r="M45" s="28"/>
      <c r="N45" s="29"/>
      <c r="O45" s="29"/>
      <c r="P45" s="30"/>
      <c r="Q45" s="30"/>
      <c r="R45" s="30"/>
      <c r="S45" s="30"/>
      <c r="T45" s="30"/>
      <c r="U45" s="30"/>
      <c r="V45" s="30"/>
      <c r="W45" s="27"/>
      <c r="X45" s="28"/>
      <c r="Y45" s="29"/>
      <c r="Z45" s="29"/>
      <c r="AA45" s="29"/>
      <c r="AB45" s="29"/>
      <c r="AC45" s="29"/>
      <c r="AD45" s="29"/>
      <c r="AE45" s="29"/>
      <c r="AF45" s="29"/>
      <c r="AG45" s="29"/>
      <c r="AH45" s="27"/>
      <c r="AI45" s="32"/>
    </row>
    <row r="46" spans="1:47" s="26" customFormat="1" ht="30" customHeight="1" thickBot="1" x14ac:dyDescent="0.25">
      <c r="A46" s="373">
        <f t="shared" si="1"/>
        <v>20</v>
      </c>
      <c r="B46" s="374"/>
      <c r="C46" s="370"/>
      <c r="D46" s="375"/>
      <c r="E46" s="302"/>
      <c r="F46" s="69"/>
      <c r="G46" s="65"/>
      <c r="H46" s="66"/>
      <c r="I46" s="66"/>
      <c r="J46" s="67"/>
      <c r="K46" s="67"/>
      <c r="L46" s="69"/>
      <c r="M46" s="65"/>
      <c r="N46" s="66"/>
      <c r="O46" s="66"/>
      <c r="P46" s="67"/>
      <c r="Q46" s="67"/>
      <c r="R46" s="67"/>
      <c r="S46" s="67"/>
      <c r="T46" s="67"/>
      <c r="U46" s="67"/>
      <c r="V46" s="68"/>
      <c r="W46" s="69"/>
      <c r="X46" s="65"/>
      <c r="Y46" s="66"/>
      <c r="Z46" s="66"/>
      <c r="AA46" s="66"/>
      <c r="AB46" s="66"/>
      <c r="AC46" s="66"/>
      <c r="AD46" s="66"/>
      <c r="AE46" s="66"/>
      <c r="AF46" s="66"/>
      <c r="AG46" s="66"/>
      <c r="AH46" s="69"/>
      <c r="AI46" s="70"/>
    </row>
    <row r="47" spans="1:47" s="26" customFormat="1" ht="9.75" customHeight="1" thickBot="1" x14ac:dyDescent="0.25">
      <c r="A47" s="359"/>
      <c r="B47" s="360"/>
      <c r="C47" s="361"/>
      <c r="D47" s="360"/>
      <c r="E47" s="360"/>
    </row>
    <row r="48" spans="1:47" s="11" customFormat="1" x14ac:dyDescent="0.2">
      <c r="A48" s="60" t="s">
        <v>75</v>
      </c>
      <c r="B48" s="8"/>
      <c r="C48" s="45"/>
      <c r="D48" s="8"/>
      <c r="E48" s="8"/>
      <c r="F48" s="8"/>
      <c r="G48" s="125" t="s">
        <v>76</v>
      </c>
      <c r="H48" s="8"/>
      <c r="I48" s="8"/>
      <c r="J48" s="8"/>
      <c r="K48" s="9"/>
      <c r="L48" s="9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125" t="s">
        <v>77</v>
      </c>
      <c r="Z48" s="8"/>
      <c r="AA48" s="8"/>
      <c r="AB48" s="8"/>
      <c r="AC48" s="8"/>
      <c r="AD48" s="8"/>
      <c r="AE48" s="8"/>
      <c r="AF48" s="8"/>
      <c r="AG48" s="8"/>
      <c r="AH48" s="8"/>
      <c r="AI48" s="10"/>
    </row>
    <row r="49" spans="1:35" s="11" customFormat="1" ht="12" customHeight="1" x14ac:dyDescent="0.2">
      <c r="A49" s="137" t="s">
        <v>8</v>
      </c>
      <c r="B49" s="138" t="s">
        <v>157</v>
      </c>
      <c r="C49" s="46"/>
      <c r="G49" s="130" t="s">
        <v>8</v>
      </c>
      <c r="H49" s="457" t="s">
        <v>89</v>
      </c>
      <c r="I49" s="457"/>
      <c r="J49" s="457"/>
      <c r="K49" s="457"/>
      <c r="L49" s="457"/>
      <c r="M49" s="457"/>
      <c r="N49" s="457"/>
      <c r="O49" s="457"/>
      <c r="P49" s="457"/>
      <c r="Q49" s="457"/>
      <c r="R49" s="457"/>
      <c r="S49" s="457"/>
      <c r="T49" s="457"/>
      <c r="U49" s="457"/>
      <c r="V49" s="457"/>
      <c r="W49" s="457"/>
      <c r="Y49" s="11" t="s">
        <v>95</v>
      </c>
      <c r="AI49" s="13"/>
    </row>
    <row r="50" spans="1:35" s="11" customFormat="1" ht="12" customHeight="1" x14ac:dyDescent="0.2">
      <c r="A50" s="139"/>
      <c r="B50" s="138" t="s">
        <v>158</v>
      </c>
      <c r="C50" s="46"/>
      <c r="G50" s="129"/>
      <c r="H50" s="457"/>
      <c r="I50" s="457"/>
      <c r="J50" s="457"/>
      <c r="K50" s="457"/>
      <c r="L50" s="457"/>
      <c r="M50" s="457"/>
      <c r="N50" s="457"/>
      <c r="O50" s="457"/>
      <c r="P50" s="457"/>
      <c r="Q50" s="457"/>
      <c r="R50" s="457"/>
      <c r="S50" s="457"/>
      <c r="T50" s="457"/>
      <c r="U50" s="457"/>
      <c r="V50" s="457"/>
      <c r="W50" s="457"/>
      <c r="Y50" s="11" t="s">
        <v>96</v>
      </c>
      <c r="AI50" s="13"/>
    </row>
    <row r="51" spans="1:35" s="11" customFormat="1" ht="12" customHeight="1" x14ac:dyDescent="0.2">
      <c r="A51" s="139"/>
      <c r="B51" s="11" t="s">
        <v>90</v>
      </c>
      <c r="C51" s="46"/>
      <c r="G51" s="130" t="s">
        <v>9</v>
      </c>
      <c r="H51" s="457" t="s">
        <v>88</v>
      </c>
      <c r="I51" s="457"/>
      <c r="J51" s="457"/>
      <c r="K51" s="457"/>
      <c r="L51" s="457"/>
      <c r="M51" s="457"/>
      <c r="N51" s="457"/>
      <c r="O51" s="457"/>
      <c r="P51" s="457"/>
      <c r="Q51" s="457"/>
      <c r="R51" s="457"/>
      <c r="S51" s="457"/>
      <c r="T51" s="457"/>
      <c r="U51" s="457"/>
      <c r="V51" s="457"/>
      <c r="W51" s="457"/>
      <c r="AI51" s="13"/>
    </row>
    <row r="52" spans="1:35" s="11" customFormat="1" ht="12" customHeight="1" x14ac:dyDescent="0.2">
      <c r="A52" s="139"/>
      <c r="B52" s="11" t="s">
        <v>94</v>
      </c>
      <c r="C52" s="46"/>
      <c r="H52" s="457"/>
      <c r="I52" s="457"/>
      <c r="J52" s="457"/>
      <c r="K52" s="457"/>
      <c r="L52" s="457"/>
      <c r="M52" s="457"/>
      <c r="N52" s="457"/>
      <c r="O52" s="457"/>
      <c r="P52" s="457"/>
      <c r="Q52" s="457"/>
      <c r="R52" s="457"/>
      <c r="S52" s="457"/>
      <c r="T52" s="457"/>
      <c r="U52" s="457"/>
      <c r="V52" s="457"/>
      <c r="W52" s="457"/>
      <c r="AI52" s="13"/>
    </row>
    <row r="53" spans="1:35" s="11" customFormat="1" ht="12" customHeight="1" x14ac:dyDescent="0.2">
      <c r="A53" s="137" t="s">
        <v>9</v>
      </c>
      <c r="B53" s="126" t="s">
        <v>93</v>
      </c>
      <c r="C53" s="46"/>
      <c r="G53" s="130" t="s">
        <v>11</v>
      </c>
      <c r="H53" s="461" t="s">
        <v>78</v>
      </c>
      <c r="I53" s="461"/>
      <c r="J53" s="461"/>
      <c r="K53" s="461"/>
      <c r="L53" s="461"/>
      <c r="M53" s="461"/>
      <c r="N53" s="461"/>
      <c r="O53" s="461"/>
      <c r="P53" s="461"/>
      <c r="Q53" s="461"/>
      <c r="R53" s="461"/>
      <c r="S53" s="461"/>
      <c r="T53" s="461"/>
      <c r="U53" s="461"/>
      <c r="V53" s="461"/>
      <c r="W53" s="461"/>
      <c r="AI53" s="13"/>
    </row>
    <row r="54" spans="1:35" s="11" customFormat="1" ht="12" customHeight="1" x14ac:dyDescent="0.2">
      <c r="A54" s="137" t="s">
        <v>11</v>
      </c>
      <c r="B54" s="126" t="s">
        <v>92</v>
      </c>
      <c r="C54" s="46"/>
      <c r="G54" s="130" t="s">
        <v>12</v>
      </c>
      <c r="H54" s="457" t="s">
        <v>87</v>
      </c>
      <c r="I54" s="457"/>
      <c r="J54" s="457"/>
      <c r="K54" s="457"/>
      <c r="L54" s="457"/>
      <c r="M54" s="457"/>
      <c r="N54" s="457"/>
      <c r="O54" s="457"/>
      <c r="P54" s="457"/>
      <c r="Q54" s="457"/>
      <c r="R54" s="457"/>
      <c r="S54" s="457"/>
      <c r="T54" s="457"/>
      <c r="U54" s="457"/>
      <c r="V54" s="457"/>
      <c r="W54" s="457"/>
      <c r="AI54" s="13"/>
    </row>
    <row r="55" spans="1:35" s="11" customFormat="1" ht="12" customHeight="1" x14ac:dyDescent="0.2">
      <c r="A55" s="137" t="s">
        <v>12</v>
      </c>
      <c r="B55" s="126" t="s">
        <v>84</v>
      </c>
      <c r="C55" s="46"/>
      <c r="G55" s="130" t="s">
        <v>13</v>
      </c>
      <c r="H55" s="459" t="s">
        <v>86</v>
      </c>
      <c r="I55" s="459"/>
      <c r="J55" s="459"/>
      <c r="K55" s="459"/>
      <c r="L55" s="459"/>
      <c r="M55" s="459"/>
      <c r="N55" s="459"/>
      <c r="O55" s="459"/>
      <c r="P55" s="459"/>
      <c r="Q55" s="459"/>
      <c r="R55" s="459"/>
      <c r="S55" s="459"/>
      <c r="T55" s="459"/>
      <c r="U55" s="459"/>
      <c r="V55" s="459"/>
      <c r="W55" s="459"/>
      <c r="AI55" s="13"/>
    </row>
    <row r="56" spans="1:35" s="101" customFormat="1" ht="12" customHeight="1" thickBot="1" x14ac:dyDescent="0.25">
      <c r="A56" s="140" t="s">
        <v>13</v>
      </c>
      <c r="B56" s="124" t="s">
        <v>85</v>
      </c>
      <c r="C56" s="99"/>
      <c r="D56" s="98"/>
      <c r="E56" s="98"/>
      <c r="F56" s="98"/>
      <c r="G56" s="98"/>
      <c r="H56" s="458"/>
      <c r="I56" s="458"/>
      <c r="J56" s="458"/>
      <c r="K56" s="458"/>
      <c r="L56" s="458"/>
      <c r="M56" s="458"/>
      <c r="N56" s="458"/>
      <c r="O56" s="458"/>
      <c r="P56" s="458"/>
      <c r="Q56" s="458"/>
      <c r="R56" s="458"/>
      <c r="S56" s="458"/>
      <c r="T56" s="458"/>
      <c r="U56" s="458"/>
      <c r="V56" s="458"/>
      <c r="W56" s="45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100"/>
    </row>
    <row r="57" spans="1:35" s="135" customFormat="1" ht="16.5" customHeight="1" x14ac:dyDescent="0.2">
      <c r="A57" s="134" t="s">
        <v>105</v>
      </c>
      <c r="C57" s="136"/>
    </row>
    <row r="58" spans="1:35" s="18" customFormat="1" ht="11.25" customHeight="1" x14ac:dyDescent="0.2">
      <c r="A58" s="133"/>
      <c r="C58" s="19"/>
    </row>
    <row r="59" spans="1:35" s="88" customFormat="1" ht="15" x14ac:dyDescent="0.25">
      <c r="B59" s="88" t="s">
        <v>53</v>
      </c>
      <c r="C59" s="89"/>
      <c r="F59" s="88" t="s">
        <v>54</v>
      </c>
      <c r="AA59" s="88" t="s">
        <v>55</v>
      </c>
    </row>
    <row r="60" spans="1:35" s="18" customFormat="1" ht="16.5" customHeight="1" x14ac:dyDescent="0.2">
      <c r="C60" s="19"/>
    </row>
    <row r="61" spans="1:35" s="18" customFormat="1" ht="14.25" customHeight="1" x14ac:dyDescent="0.2">
      <c r="C61" s="19"/>
    </row>
    <row r="62" spans="1:35" s="18" customFormat="1" ht="22.5" customHeight="1" x14ac:dyDescent="0.2">
      <c r="B62" s="90"/>
      <c r="C62" s="19"/>
      <c r="F62" s="90"/>
      <c r="G62" s="90"/>
      <c r="H62" s="90"/>
      <c r="I62" s="90"/>
      <c r="J62" s="90"/>
      <c r="K62" s="90"/>
      <c r="L62" s="90"/>
      <c r="M62" s="90"/>
      <c r="AA62" s="90"/>
      <c r="AB62" s="90"/>
      <c r="AC62" s="90"/>
      <c r="AD62" s="90"/>
      <c r="AE62" s="90"/>
      <c r="AF62" s="90"/>
      <c r="AG62" s="90"/>
      <c r="AH62" s="90"/>
    </row>
    <row r="63" spans="1:35" s="18" customFormat="1" ht="17.25" customHeight="1" x14ac:dyDescent="0.2">
      <c r="B63" s="18" t="s">
        <v>56</v>
      </c>
      <c r="C63" s="19"/>
      <c r="F63" s="18" t="s">
        <v>56</v>
      </c>
      <c r="AA63" s="18" t="s">
        <v>57</v>
      </c>
    </row>
    <row r="64" spans="1:35" s="18" customFormat="1" ht="18" customHeight="1" x14ac:dyDescent="0.2">
      <c r="B64" s="18" t="s">
        <v>58</v>
      </c>
      <c r="C64" s="19"/>
      <c r="F64" s="18" t="s">
        <v>59</v>
      </c>
      <c r="AA64" s="18" t="s">
        <v>58</v>
      </c>
    </row>
    <row r="65" spans="1:47" s="18" customFormat="1" ht="9" customHeight="1" thickBot="1" x14ac:dyDescent="0.3">
      <c r="A65" s="88"/>
      <c r="C65" s="19"/>
      <c r="AT65" s="19"/>
      <c r="AU65" s="19"/>
    </row>
    <row r="66" spans="1:47" s="26" customFormat="1" ht="30" customHeight="1" x14ac:dyDescent="0.2">
      <c r="A66" s="294">
        <v>21</v>
      </c>
      <c r="B66" s="376"/>
      <c r="C66" s="93"/>
      <c r="D66" s="377"/>
      <c r="E66" s="93"/>
      <c r="F66" s="318"/>
      <c r="G66" s="20"/>
      <c r="H66" s="21"/>
      <c r="I66" s="21"/>
      <c r="J66" s="22"/>
      <c r="K66" s="22"/>
      <c r="L66" s="24"/>
      <c r="M66" s="20"/>
      <c r="N66" s="21"/>
      <c r="O66" s="21"/>
      <c r="P66" s="22"/>
      <c r="Q66" s="22"/>
      <c r="R66" s="22"/>
      <c r="S66" s="22"/>
      <c r="T66" s="22"/>
      <c r="U66" s="22"/>
      <c r="V66" s="22"/>
      <c r="W66" s="24"/>
      <c r="X66" s="20"/>
      <c r="Y66" s="21"/>
      <c r="Z66" s="21"/>
      <c r="AA66" s="21"/>
      <c r="AB66" s="21"/>
      <c r="AC66" s="21"/>
      <c r="AD66" s="21"/>
      <c r="AE66" s="21"/>
      <c r="AF66" s="21"/>
      <c r="AG66" s="21"/>
      <c r="AH66" s="24"/>
      <c r="AI66" s="25"/>
    </row>
    <row r="67" spans="1:47" s="26" customFormat="1" ht="30" customHeight="1" x14ac:dyDescent="0.2">
      <c r="A67" s="95">
        <f>A66+1</f>
        <v>22</v>
      </c>
      <c r="B67" s="96"/>
      <c r="C67" s="97"/>
      <c r="D67" s="94"/>
      <c r="E67" s="97"/>
      <c r="F67" s="317"/>
      <c r="G67" s="28"/>
      <c r="H67" s="29"/>
      <c r="I67" s="29"/>
      <c r="J67" s="30"/>
      <c r="K67" s="30"/>
      <c r="L67" s="27"/>
      <c r="M67" s="28"/>
      <c r="N67" s="29"/>
      <c r="O67" s="29"/>
      <c r="P67" s="30"/>
      <c r="Q67" s="30"/>
      <c r="R67" s="30"/>
      <c r="S67" s="30"/>
      <c r="T67" s="30"/>
      <c r="U67" s="30"/>
      <c r="V67" s="30"/>
      <c r="W67" s="27"/>
      <c r="X67" s="28"/>
      <c r="Y67" s="29"/>
      <c r="Z67" s="29"/>
      <c r="AA67" s="29"/>
      <c r="AB67" s="29"/>
      <c r="AC67" s="29"/>
      <c r="AD67" s="29"/>
      <c r="AE67" s="29"/>
      <c r="AF67" s="29"/>
      <c r="AG67" s="29"/>
      <c r="AH67" s="27"/>
      <c r="AI67" s="32"/>
    </row>
    <row r="68" spans="1:47" s="26" customFormat="1" ht="30" customHeight="1" x14ac:dyDescent="0.2">
      <c r="A68" s="95">
        <f t="shared" ref="A68:A75" si="2">A67+1</f>
        <v>23</v>
      </c>
      <c r="B68" s="96"/>
      <c r="C68" s="97"/>
      <c r="D68" s="94"/>
      <c r="E68" s="97"/>
      <c r="F68" s="317"/>
      <c r="G68" s="28"/>
      <c r="H68" s="29"/>
      <c r="I68" s="29"/>
      <c r="J68" s="30"/>
      <c r="K68" s="30"/>
      <c r="L68" s="27"/>
      <c r="M68" s="28"/>
      <c r="N68" s="29"/>
      <c r="O68" s="29"/>
      <c r="P68" s="30"/>
      <c r="Q68" s="30"/>
      <c r="R68" s="30"/>
      <c r="S68" s="30"/>
      <c r="T68" s="30"/>
      <c r="U68" s="30"/>
      <c r="V68" s="30"/>
      <c r="W68" s="27"/>
      <c r="X68" s="28"/>
      <c r="Y68" s="29"/>
      <c r="Z68" s="29"/>
      <c r="AA68" s="29"/>
      <c r="AB68" s="29"/>
      <c r="AC68" s="29"/>
      <c r="AD68" s="29"/>
      <c r="AE68" s="29"/>
      <c r="AF68" s="29"/>
      <c r="AG68" s="29"/>
      <c r="AH68" s="27"/>
      <c r="AI68" s="32"/>
    </row>
    <row r="69" spans="1:47" s="26" customFormat="1" ht="30" customHeight="1" x14ac:dyDescent="0.2">
      <c r="A69" s="95">
        <f t="shared" si="2"/>
        <v>24</v>
      </c>
      <c r="B69" s="96"/>
      <c r="C69" s="97"/>
      <c r="D69" s="94"/>
      <c r="E69" s="97"/>
      <c r="F69" s="317"/>
      <c r="G69" s="28"/>
      <c r="H69" s="29"/>
      <c r="I69" s="29"/>
      <c r="J69" s="30"/>
      <c r="K69" s="30"/>
      <c r="L69" s="27"/>
      <c r="M69" s="28"/>
      <c r="N69" s="29"/>
      <c r="O69" s="29"/>
      <c r="P69" s="30"/>
      <c r="Q69" s="30"/>
      <c r="R69" s="30"/>
      <c r="S69" s="30"/>
      <c r="T69" s="30"/>
      <c r="U69" s="30"/>
      <c r="V69" s="30"/>
      <c r="W69" s="27"/>
      <c r="X69" s="28"/>
      <c r="Y69" s="29"/>
      <c r="Z69" s="29"/>
      <c r="AA69" s="29"/>
      <c r="AB69" s="29"/>
      <c r="AC69" s="29"/>
      <c r="AD69" s="29"/>
      <c r="AE69" s="29"/>
      <c r="AF69" s="29"/>
      <c r="AG69" s="29"/>
      <c r="AH69" s="27"/>
      <c r="AI69" s="32"/>
    </row>
    <row r="70" spans="1:47" s="26" customFormat="1" ht="30" customHeight="1" x14ac:dyDescent="0.2">
      <c r="A70" s="95">
        <f t="shared" si="2"/>
        <v>25</v>
      </c>
      <c r="B70" s="96"/>
      <c r="C70" s="97"/>
      <c r="D70" s="94"/>
      <c r="E70" s="97"/>
      <c r="F70" s="317"/>
      <c r="G70" s="28"/>
      <c r="H70" s="29"/>
      <c r="I70" s="29"/>
      <c r="J70" s="30"/>
      <c r="K70" s="30"/>
      <c r="L70" s="27"/>
      <c r="M70" s="28"/>
      <c r="N70" s="29"/>
      <c r="O70" s="29"/>
      <c r="P70" s="30"/>
      <c r="Q70" s="30"/>
      <c r="R70" s="30"/>
      <c r="S70" s="30"/>
      <c r="T70" s="30"/>
      <c r="U70" s="30"/>
      <c r="V70" s="30"/>
      <c r="W70" s="27"/>
      <c r="X70" s="28"/>
      <c r="Y70" s="29"/>
      <c r="Z70" s="29"/>
      <c r="AA70" s="29"/>
      <c r="AB70" s="29"/>
      <c r="AC70" s="29"/>
      <c r="AD70" s="29"/>
      <c r="AE70" s="29"/>
      <c r="AF70" s="29"/>
      <c r="AG70" s="29"/>
      <c r="AH70" s="27"/>
      <c r="AI70" s="32"/>
    </row>
    <row r="71" spans="1:47" s="26" customFormat="1" ht="30" customHeight="1" x14ac:dyDescent="0.2">
      <c r="A71" s="95">
        <f t="shared" si="2"/>
        <v>26</v>
      </c>
      <c r="B71" s="96"/>
      <c r="C71" s="97"/>
      <c r="D71" s="94"/>
      <c r="E71" s="97"/>
      <c r="F71" s="317"/>
      <c r="G71" s="28"/>
      <c r="H71" s="29"/>
      <c r="I71" s="29"/>
      <c r="J71" s="30"/>
      <c r="K71" s="30"/>
      <c r="L71" s="27"/>
      <c r="M71" s="28"/>
      <c r="N71" s="29"/>
      <c r="O71" s="29"/>
      <c r="P71" s="30"/>
      <c r="Q71" s="30"/>
      <c r="R71" s="30"/>
      <c r="S71" s="30"/>
      <c r="T71" s="30"/>
      <c r="U71" s="30"/>
      <c r="V71" s="30"/>
      <c r="W71" s="27"/>
      <c r="X71" s="28"/>
      <c r="Y71" s="29"/>
      <c r="Z71" s="29"/>
      <c r="AA71" s="29"/>
      <c r="AB71" s="29"/>
      <c r="AC71" s="29"/>
      <c r="AD71" s="29"/>
      <c r="AE71" s="29"/>
      <c r="AF71" s="29"/>
      <c r="AG71" s="29"/>
      <c r="AH71" s="27"/>
      <c r="AI71" s="32"/>
    </row>
    <row r="72" spans="1:47" s="26" customFormat="1" ht="30" customHeight="1" x14ac:dyDescent="0.2">
      <c r="A72" s="95">
        <f t="shared" si="2"/>
        <v>27</v>
      </c>
      <c r="B72" s="96"/>
      <c r="C72" s="97"/>
      <c r="D72" s="94"/>
      <c r="E72" s="97"/>
      <c r="F72" s="317"/>
      <c r="G72" s="28"/>
      <c r="H72" s="29"/>
      <c r="I72" s="29"/>
      <c r="J72" s="30"/>
      <c r="K72" s="30"/>
      <c r="L72" s="27"/>
      <c r="M72" s="28"/>
      <c r="N72" s="29"/>
      <c r="O72" s="29"/>
      <c r="P72" s="30"/>
      <c r="Q72" s="30"/>
      <c r="R72" s="30"/>
      <c r="S72" s="30"/>
      <c r="T72" s="30"/>
      <c r="U72" s="30"/>
      <c r="V72" s="30"/>
      <c r="W72" s="27"/>
      <c r="X72" s="28"/>
      <c r="Y72" s="29"/>
      <c r="Z72" s="29"/>
      <c r="AA72" s="29"/>
      <c r="AB72" s="29"/>
      <c r="AC72" s="29"/>
      <c r="AD72" s="29"/>
      <c r="AE72" s="29"/>
      <c r="AF72" s="29"/>
      <c r="AG72" s="29"/>
      <c r="AH72" s="27"/>
      <c r="AI72" s="32"/>
    </row>
    <row r="73" spans="1:47" s="26" customFormat="1" ht="30" customHeight="1" x14ac:dyDescent="0.2">
      <c r="A73" s="95">
        <f t="shared" si="2"/>
        <v>28</v>
      </c>
      <c r="B73" s="96"/>
      <c r="C73" s="97"/>
      <c r="D73" s="94"/>
      <c r="E73" s="97"/>
      <c r="F73" s="317"/>
      <c r="G73" s="28"/>
      <c r="H73" s="29"/>
      <c r="I73" s="29"/>
      <c r="J73" s="30"/>
      <c r="K73" s="30"/>
      <c r="L73" s="27"/>
      <c r="M73" s="28"/>
      <c r="N73" s="29"/>
      <c r="O73" s="29"/>
      <c r="P73" s="30"/>
      <c r="Q73" s="30"/>
      <c r="R73" s="30"/>
      <c r="S73" s="30"/>
      <c r="T73" s="30"/>
      <c r="U73" s="30"/>
      <c r="V73" s="30"/>
      <c r="W73" s="27"/>
      <c r="X73" s="28"/>
      <c r="Y73" s="29"/>
      <c r="Z73" s="29"/>
      <c r="AA73" s="29"/>
      <c r="AB73" s="29"/>
      <c r="AC73" s="29"/>
      <c r="AD73" s="29"/>
      <c r="AE73" s="29"/>
      <c r="AF73" s="29"/>
      <c r="AG73" s="29"/>
      <c r="AH73" s="27"/>
      <c r="AI73" s="32"/>
    </row>
    <row r="74" spans="1:47" s="26" customFormat="1" ht="30" customHeight="1" x14ac:dyDescent="0.2">
      <c r="A74" s="95">
        <f t="shared" si="2"/>
        <v>29</v>
      </c>
      <c r="B74" s="96"/>
      <c r="C74" s="97"/>
      <c r="D74" s="94"/>
      <c r="E74" s="97"/>
      <c r="F74" s="317"/>
      <c r="G74" s="28"/>
      <c r="H74" s="29"/>
      <c r="I74" s="29"/>
      <c r="J74" s="30"/>
      <c r="K74" s="30"/>
      <c r="L74" s="27"/>
      <c r="M74" s="28"/>
      <c r="N74" s="29"/>
      <c r="O74" s="29"/>
      <c r="P74" s="30"/>
      <c r="Q74" s="30"/>
      <c r="R74" s="30"/>
      <c r="S74" s="30"/>
      <c r="T74" s="30"/>
      <c r="U74" s="30"/>
      <c r="V74" s="30"/>
      <c r="W74" s="27"/>
      <c r="X74" s="28"/>
      <c r="Y74" s="29"/>
      <c r="Z74" s="29"/>
      <c r="AA74" s="29"/>
      <c r="AB74" s="29"/>
      <c r="AC74" s="29"/>
      <c r="AD74" s="29"/>
      <c r="AE74" s="29"/>
      <c r="AF74" s="29"/>
      <c r="AG74" s="29"/>
      <c r="AH74" s="27"/>
      <c r="AI74" s="32"/>
    </row>
    <row r="75" spans="1:47" s="26" customFormat="1" ht="30" customHeight="1" thickBot="1" x14ac:dyDescent="0.25">
      <c r="A75" s="373">
        <f t="shared" si="2"/>
        <v>30</v>
      </c>
      <c r="B75" s="374"/>
      <c r="C75" s="370"/>
      <c r="D75" s="375"/>
      <c r="E75" s="302"/>
      <c r="F75" s="69"/>
      <c r="G75" s="65"/>
      <c r="H75" s="66"/>
      <c r="I75" s="66"/>
      <c r="J75" s="67"/>
      <c r="K75" s="67"/>
      <c r="L75" s="69"/>
      <c r="M75" s="65"/>
      <c r="N75" s="66"/>
      <c r="O75" s="66"/>
      <c r="P75" s="67"/>
      <c r="Q75" s="67"/>
      <c r="R75" s="67"/>
      <c r="S75" s="67"/>
      <c r="T75" s="67"/>
      <c r="U75" s="67"/>
      <c r="V75" s="68"/>
      <c r="W75" s="69"/>
      <c r="X75" s="65"/>
      <c r="Y75" s="66"/>
      <c r="Z75" s="66"/>
      <c r="AA75" s="66"/>
      <c r="AB75" s="66"/>
      <c r="AC75" s="66"/>
      <c r="AD75" s="66"/>
      <c r="AE75" s="66"/>
      <c r="AF75" s="66"/>
      <c r="AG75" s="66"/>
      <c r="AH75" s="69"/>
      <c r="AI75" s="70"/>
    </row>
    <row r="76" spans="1:47" s="26" customFormat="1" ht="9.75" customHeight="1" thickBot="1" x14ac:dyDescent="0.25">
      <c r="A76" s="359"/>
      <c r="B76" s="360"/>
      <c r="C76" s="361"/>
      <c r="D76" s="360"/>
      <c r="E76" s="360"/>
    </row>
    <row r="77" spans="1:47" s="11" customFormat="1" x14ac:dyDescent="0.2">
      <c r="A77" s="60" t="s">
        <v>75</v>
      </c>
      <c r="B77" s="8"/>
      <c r="C77" s="45"/>
      <c r="D77" s="8"/>
      <c r="E77" s="8"/>
      <c r="F77" s="8"/>
      <c r="G77" s="125" t="s">
        <v>76</v>
      </c>
      <c r="H77" s="8"/>
      <c r="I77" s="8"/>
      <c r="J77" s="8"/>
      <c r="K77" s="9"/>
      <c r="L77" s="9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125" t="s">
        <v>77</v>
      </c>
      <c r="Z77" s="8"/>
      <c r="AA77" s="8"/>
      <c r="AB77" s="8"/>
      <c r="AC77" s="8"/>
      <c r="AD77" s="8"/>
      <c r="AE77" s="8"/>
      <c r="AF77" s="8"/>
      <c r="AG77" s="8"/>
      <c r="AH77" s="8"/>
      <c r="AI77" s="10"/>
    </row>
    <row r="78" spans="1:47" s="11" customFormat="1" ht="12" customHeight="1" x14ac:dyDescent="0.2">
      <c r="A78" s="137" t="s">
        <v>8</v>
      </c>
      <c r="B78" s="138" t="s">
        <v>157</v>
      </c>
      <c r="C78" s="46"/>
      <c r="G78" s="130" t="s">
        <v>8</v>
      </c>
      <c r="H78" s="457" t="s">
        <v>89</v>
      </c>
      <c r="I78" s="457"/>
      <c r="J78" s="457"/>
      <c r="K78" s="457"/>
      <c r="L78" s="457"/>
      <c r="M78" s="457"/>
      <c r="N78" s="457"/>
      <c r="O78" s="457"/>
      <c r="P78" s="457"/>
      <c r="Q78" s="457"/>
      <c r="R78" s="457"/>
      <c r="S78" s="457"/>
      <c r="T78" s="457"/>
      <c r="U78" s="457"/>
      <c r="V78" s="457"/>
      <c r="W78" s="457"/>
      <c r="Y78" s="11" t="s">
        <v>95</v>
      </c>
      <c r="AI78" s="13"/>
    </row>
    <row r="79" spans="1:47" s="11" customFormat="1" ht="12" customHeight="1" x14ac:dyDescent="0.2">
      <c r="A79" s="139"/>
      <c r="B79" s="138" t="s">
        <v>158</v>
      </c>
      <c r="C79" s="46"/>
      <c r="G79" s="129"/>
      <c r="H79" s="457"/>
      <c r="I79" s="457"/>
      <c r="J79" s="457"/>
      <c r="K79" s="457"/>
      <c r="L79" s="457"/>
      <c r="M79" s="457"/>
      <c r="N79" s="457"/>
      <c r="O79" s="457"/>
      <c r="P79" s="457"/>
      <c r="Q79" s="457"/>
      <c r="R79" s="457"/>
      <c r="S79" s="457"/>
      <c r="T79" s="457"/>
      <c r="U79" s="457"/>
      <c r="V79" s="457"/>
      <c r="W79" s="457"/>
      <c r="Y79" s="11" t="s">
        <v>96</v>
      </c>
      <c r="AI79" s="13"/>
    </row>
    <row r="80" spans="1:47" s="11" customFormat="1" ht="12" customHeight="1" x14ac:dyDescent="0.2">
      <c r="A80" s="139"/>
      <c r="B80" s="11" t="s">
        <v>90</v>
      </c>
      <c r="C80" s="46"/>
      <c r="G80" s="130" t="s">
        <v>9</v>
      </c>
      <c r="H80" s="457" t="s">
        <v>88</v>
      </c>
      <c r="I80" s="457"/>
      <c r="J80" s="457"/>
      <c r="K80" s="457"/>
      <c r="L80" s="457"/>
      <c r="M80" s="457"/>
      <c r="N80" s="457"/>
      <c r="O80" s="457"/>
      <c r="P80" s="457"/>
      <c r="Q80" s="457"/>
      <c r="R80" s="457"/>
      <c r="S80" s="457"/>
      <c r="T80" s="457"/>
      <c r="U80" s="457"/>
      <c r="V80" s="457"/>
      <c r="W80" s="457"/>
      <c r="AI80" s="13"/>
    </row>
    <row r="81" spans="1:47" s="11" customFormat="1" ht="12" customHeight="1" x14ac:dyDescent="0.2">
      <c r="A81" s="139"/>
      <c r="B81" s="11" t="s">
        <v>94</v>
      </c>
      <c r="C81" s="46"/>
      <c r="H81" s="457"/>
      <c r="I81" s="457"/>
      <c r="J81" s="457"/>
      <c r="K81" s="457"/>
      <c r="L81" s="457"/>
      <c r="M81" s="457"/>
      <c r="N81" s="457"/>
      <c r="O81" s="457"/>
      <c r="P81" s="457"/>
      <c r="Q81" s="457"/>
      <c r="R81" s="457"/>
      <c r="S81" s="457"/>
      <c r="T81" s="457"/>
      <c r="U81" s="457"/>
      <c r="V81" s="457"/>
      <c r="W81" s="457"/>
      <c r="AI81" s="13"/>
    </row>
    <row r="82" spans="1:47" s="11" customFormat="1" ht="12" customHeight="1" x14ac:dyDescent="0.2">
      <c r="A82" s="137" t="s">
        <v>9</v>
      </c>
      <c r="B82" s="126" t="s">
        <v>93</v>
      </c>
      <c r="C82" s="46"/>
      <c r="G82" s="130" t="s">
        <v>11</v>
      </c>
      <c r="H82" s="461" t="s">
        <v>78</v>
      </c>
      <c r="I82" s="461"/>
      <c r="J82" s="461"/>
      <c r="K82" s="461"/>
      <c r="L82" s="461"/>
      <c r="M82" s="461"/>
      <c r="N82" s="461"/>
      <c r="O82" s="461"/>
      <c r="P82" s="461"/>
      <c r="Q82" s="461"/>
      <c r="R82" s="461"/>
      <c r="S82" s="461"/>
      <c r="T82" s="461"/>
      <c r="U82" s="461"/>
      <c r="V82" s="461"/>
      <c r="W82" s="461"/>
      <c r="AI82" s="13"/>
    </row>
    <row r="83" spans="1:47" s="11" customFormat="1" ht="12" customHeight="1" x14ac:dyDescent="0.2">
      <c r="A83" s="137" t="s">
        <v>11</v>
      </c>
      <c r="B83" s="126" t="s">
        <v>92</v>
      </c>
      <c r="C83" s="46"/>
      <c r="G83" s="130" t="s">
        <v>12</v>
      </c>
      <c r="H83" s="457" t="s">
        <v>87</v>
      </c>
      <c r="I83" s="457"/>
      <c r="J83" s="457"/>
      <c r="K83" s="457"/>
      <c r="L83" s="457"/>
      <c r="M83" s="457"/>
      <c r="N83" s="457"/>
      <c r="O83" s="457"/>
      <c r="P83" s="457"/>
      <c r="Q83" s="457"/>
      <c r="R83" s="457"/>
      <c r="S83" s="457"/>
      <c r="T83" s="457"/>
      <c r="U83" s="457"/>
      <c r="V83" s="457"/>
      <c r="W83" s="457"/>
      <c r="AI83" s="13"/>
    </row>
    <row r="84" spans="1:47" s="11" customFormat="1" ht="12" customHeight="1" x14ac:dyDescent="0.2">
      <c r="A84" s="137" t="s">
        <v>12</v>
      </c>
      <c r="B84" s="126" t="s">
        <v>84</v>
      </c>
      <c r="C84" s="46"/>
      <c r="G84" s="130" t="s">
        <v>13</v>
      </c>
      <c r="H84" s="459" t="s">
        <v>86</v>
      </c>
      <c r="I84" s="459"/>
      <c r="J84" s="459"/>
      <c r="K84" s="459"/>
      <c r="L84" s="459"/>
      <c r="M84" s="459"/>
      <c r="N84" s="459"/>
      <c r="O84" s="459"/>
      <c r="P84" s="459"/>
      <c r="Q84" s="459"/>
      <c r="R84" s="459"/>
      <c r="S84" s="459"/>
      <c r="T84" s="459"/>
      <c r="U84" s="459"/>
      <c r="V84" s="459"/>
      <c r="W84" s="459"/>
      <c r="AI84" s="13"/>
    </row>
    <row r="85" spans="1:47" s="101" customFormat="1" ht="12" customHeight="1" thickBot="1" x14ac:dyDescent="0.25">
      <c r="A85" s="140" t="s">
        <v>13</v>
      </c>
      <c r="B85" s="124" t="s">
        <v>85</v>
      </c>
      <c r="C85" s="99"/>
      <c r="D85" s="98"/>
      <c r="E85" s="98"/>
      <c r="F85" s="98"/>
      <c r="G85" s="98"/>
      <c r="H85" s="458"/>
      <c r="I85" s="458"/>
      <c r="J85" s="458"/>
      <c r="K85" s="458"/>
      <c r="L85" s="458"/>
      <c r="M85" s="458"/>
      <c r="N85" s="458"/>
      <c r="O85" s="458"/>
      <c r="P85" s="458"/>
      <c r="Q85" s="458"/>
      <c r="R85" s="458"/>
      <c r="S85" s="458"/>
      <c r="T85" s="458"/>
      <c r="U85" s="458"/>
      <c r="V85" s="458"/>
      <c r="W85" s="458"/>
      <c r="X85" s="98"/>
      <c r="Y85" s="98"/>
      <c r="Z85" s="98"/>
      <c r="AA85" s="98"/>
      <c r="AB85" s="98"/>
      <c r="AC85" s="98"/>
      <c r="AD85" s="98"/>
      <c r="AE85" s="98"/>
      <c r="AF85" s="98"/>
      <c r="AG85" s="98"/>
      <c r="AH85" s="98"/>
      <c r="AI85" s="100"/>
    </row>
    <row r="86" spans="1:47" s="135" customFormat="1" ht="16.5" customHeight="1" x14ac:dyDescent="0.2">
      <c r="A86" s="134" t="s">
        <v>105</v>
      </c>
      <c r="C86" s="136"/>
    </row>
    <row r="87" spans="1:47" s="18" customFormat="1" ht="11.25" customHeight="1" x14ac:dyDescent="0.2">
      <c r="A87" s="133"/>
      <c r="C87" s="19"/>
    </row>
    <row r="88" spans="1:47" s="88" customFormat="1" ht="15" x14ac:dyDescent="0.25">
      <c r="B88" s="88" t="s">
        <v>53</v>
      </c>
      <c r="C88" s="89"/>
      <c r="F88" s="88" t="s">
        <v>54</v>
      </c>
      <c r="AA88" s="88" t="s">
        <v>55</v>
      </c>
    </row>
    <row r="89" spans="1:47" s="18" customFormat="1" ht="16.5" customHeight="1" x14ac:dyDescent="0.2">
      <c r="C89" s="19"/>
    </row>
    <row r="90" spans="1:47" s="18" customFormat="1" ht="14.25" customHeight="1" x14ac:dyDescent="0.2">
      <c r="C90" s="19"/>
    </row>
    <row r="91" spans="1:47" s="18" customFormat="1" ht="22.5" customHeight="1" x14ac:dyDescent="0.2">
      <c r="B91" s="90"/>
      <c r="C91" s="19"/>
      <c r="F91" s="90"/>
      <c r="G91" s="90"/>
      <c r="H91" s="90"/>
      <c r="I91" s="90"/>
      <c r="J91" s="90"/>
      <c r="K91" s="90"/>
      <c r="L91" s="90"/>
      <c r="M91" s="90"/>
      <c r="AA91" s="90"/>
      <c r="AB91" s="90"/>
      <c r="AC91" s="90"/>
      <c r="AD91" s="90"/>
      <c r="AE91" s="90"/>
      <c r="AF91" s="90"/>
      <c r="AG91" s="90"/>
      <c r="AH91" s="90"/>
    </row>
    <row r="92" spans="1:47" s="18" customFormat="1" ht="17.25" customHeight="1" x14ac:dyDescent="0.2">
      <c r="B92" s="18" t="s">
        <v>56</v>
      </c>
      <c r="C92" s="19"/>
      <c r="F92" s="18" t="s">
        <v>56</v>
      </c>
      <c r="AA92" s="18" t="s">
        <v>57</v>
      </c>
    </row>
    <row r="93" spans="1:47" s="18" customFormat="1" ht="18" customHeight="1" x14ac:dyDescent="0.2">
      <c r="B93" s="18" t="s">
        <v>58</v>
      </c>
      <c r="C93" s="19"/>
      <c r="F93" s="18" t="s">
        <v>59</v>
      </c>
      <c r="AA93" s="18" t="s">
        <v>58</v>
      </c>
    </row>
    <row r="94" spans="1:47" s="18" customFormat="1" ht="9" customHeight="1" thickBot="1" x14ac:dyDescent="0.3">
      <c r="A94" s="88"/>
      <c r="C94" s="19"/>
      <c r="AT94" s="19"/>
      <c r="AU94" s="19"/>
    </row>
    <row r="95" spans="1:47" s="26" customFormat="1" ht="30" customHeight="1" x14ac:dyDescent="0.2">
      <c r="A95" s="294">
        <v>31</v>
      </c>
      <c r="B95" s="376"/>
      <c r="C95" s="93"/>
      <c r="D95" s="377"/>
      <c r="E95" s="93"/>
      <c r="F95" s="318"/>
      <c r="G95" s="20"/>
      <c r="H95" s="21"/>
      <c r="I95" s="21"/>
      <c r="J95" s="22"/>
      <c r="K95" s="22"/>
      <c r="L95" s="24"/>
      <c r="M95" s="20"/>
      <c r="N95" s="21"/>
      <c r="O95" s="21"/>
      <c r="P95" s="22"/>
      <c r="Q95" s="22"/>
      <c r="R95" s="22"/>
      <c r="S95" s="22"/>
      <c r="T95" s="22"/>
      <c r="U95" s="22"/>
      <c r="V95" s="22"/>
      <c r="W95" s="24"/>
      <c r="X95" s="20"/>
      <c r="Y95" s="21"/>
      <c r="Z95" s="21"/>
      <c r="AA95" s="21"/>
      <c r="AB95" s="21"/>
      <c r="AC95" s="21"/>
      <c r="AD95" s="21"/>
      <c r="AE95" s="21"/>
      <c r="AF95" s="21"/>
      <c r="AG95" s="21"/>
      <c r="AH95" s="24"/>
      <c r="AI95" s="25"/>
    </row>
    <row r="96" spans="1:47" s="26" customFormat="1" ht="30" customHeight="1" x14ac:dyDescent="0.2">
      <c r="A96" s="95">
        <f>A95+1</f>
        <v>32</v>
      </c>
      <c r="B96" s="96"/>
      <c r="C96" s="97"/>
      <c r="D96" s="94"/>
      <c r="E96" s="97"/>
      <c r="F96" s="317"/>
      <c r="G96" s="28"/>
      <c r="H96" s="29"/>
      <c r="I96" s="29"/>
      <c r="J96" s="30"/>
      <c r="K96" s="30"/>
      <c r="L96" s="27"/>
      <c r="M96" s="28"/>
      <c r="N96" s="29"/>
      <c r="O96" s="29"/>
      <c r="P96" s="30"/>
      <c r="Q96" s="30"/>
      <c r="R96" s="30"/>
      <c r="S96" s="30"/>
      <c r="T96" s="30"/>
      <c r="U96" s="30"/>
      <c r="V96" s="30"/>
      <c r="W96" s="27"/>
      <c r="X96" s="28"/>
      <c r="Y96" s="29"/>
      <c r="Z96" s="29"/>
      <c r="AA96" s="29"/>
      <c r="AB96" s="29"/>
      <c r="AC96" s="29"/>
      <c r="AD96" s="29"/>
      <c r="AE96" s="29"/>
      <c r="AF96" s="29"/>
      <c r="AG96" s="29"/>
      <c r="AH96" s="27"/>
      <c r="AI96" s="32"/>
    </row>
    <row r="97" spans="1:35" s="26" customFormat="1" ht="30" customHeight="1" x14ac:dyDescent="0.2">
      <c r="A97" s="95">
        <f t="shared" ref="A97:A104" si="3">A96+1</f>
        <v>33</v>
      </c>
      <c r="B97" s="96"/>
      <c r="C97" s="97"/>
      <c r="D97" s="94"/>
      <c r="E97" s="97"/>
      <c r="F97" s="317"/>
      <c r="G97" s="28"/>
      <c r="H97" s="29"/>
      <c r="I97" s="29"/>
      <c r="J97" s="30"/>
      <c r="K97" s="30"/>
      <c r="L97" s="27"/>
      <c r="M97" s="28"/>
      <c r="N97" s="29"/>
      <c r="O97" s="29"/>
      <c r="P97" s="30"/>
      <c r="Q97" s="30"/>
      <c r="R97" s="30"/>
      <c r="S97" s="30"/>
      <c r="T97" s="30"/>
      <c r="U97" s="30"/>
      <c r="V97" s="30"/>
      <c r="W97" s="27"/>
      <c r="X97" s="28"/>
      <c r="Y97" s="29"/>
      <c r="Z97" s="29"/>
      <c r="AA97" s="29"/>
      <c r="AB97" s="29"/>
      <c r="AC97" s="29"/>
      <c r="AD97" s="29"/>
      <c r="AE97" s="29"/>
      <c r="AF97" s="29"/>
      <c r="AG97" s="29"/>
      <c r="AH97" s="27"/>
      <c r="AI97" s="32"/>
    </row>
    <row r="98" spans="1:35" s="26" customFormat="1" ht="30" customHeight="1" x14ac:dyDescent="0.2">
      <c r="A98" s="95">
        <f t="shared" si="3"/>
        <v>34</v>
      </c>
      <c r="B98" s="96"/>
      <c r="C98" s="97"/>
      <c r="D98" s="94"/>
      <c r="E98" s="97"/>
      <c r="F98" s="317"/>
      <c r="G98" s="28"/>
      <c r="H98" s="29"/>
      <c r="I98" s="29"/>
      <c r="J98" s="30"/>
      <c r="K98" s="30"/>
      <c r="L98" s="27"/>
      <c r="M98" s="28"/>
      <c r="N98" s="29"/>
      <c r="O98" s="29"/>
      <c r="P98" s="30"/>
      <c r="Q98" s="30"/>
      <c r="R98" s="30"/>
      <c r="S98" s="30"/>
      <c r="T98" s="30"/>
      <c r="U98" s="30"/>
      <c r="V98" s="30"/>
      <c r="W98" s="27"/>
      <c r="X98" s="28"/>
      <c r="Y98" s="29"/>
      <c r="Z98" s="29"/>
      <c r="AA98" s="29"/>
      <c r="AB98" s="29"/>
      <c r="AC98" s="29"/>
      <c r="AD98" s="29"/>
      <c r="AE98" s="29"/>
      <c r="AF98" s="29"/>
      <c r="AG98" s="29"/>
      <c r="AH98" s="27"/>
      <c r="AI98" s="32"/>
    </row>
    <row r="99" spans="1:35" s="26" customFormat="1" ht="30" customHeight="1" x14ac:dyDescent="0.2">
      <c r="A99" s="95">
        <f t="shared" si="3"/>
        <v>35</v>
      </c>
      <c r="B99" s="96"/>
      <c r="C99" s="97"/>
      <c r="D99" s="94"/>
      <c r="E99" s="97"/>
      <c r="F99" s="317"/>
      <c r="G99" s="28"/>
      <c r="H99" s="29"/>
      <c r="I99" s="29"/>
      <c r="J99" s="30"/>
      <c r="K99" s="30"/>
      <c r="L99" s="27"/>
      <c r="M99" s="28"/>
      <c r="N99" s="29"/>
      <c r="O99" s="29"/>
      <c r="P99" s="30"/>
      <c r="Q99" s="30"/>
      <c r="R99" s="30"/>
      <c r="S99" s="30"/>
      <c r="T99" s="30"/>
      <c r="U99" s="30"/>
      <c r="V99" s="30"/>
      <c r="W99" s="27"/>
      <c r="X99" s="28"/>
      <c r="Y99" s="29"/>
      <c r="Z99" s="29"/>
      <c r="AA99" s="29"/>
      <c r="AB99" s="29"/>
      <c r="AC99" s="29"/>
      <c r="AD99" s="29"/>
      <c r="AE99" s="29"/>
      <c r="AF99" s="29"/>
      <c r="AG99" s="29"/>
      <c r="AH99" s="27"/>
      <c r="AI99" s="32"/>
    </row>
    <row r="100" spans="1:35" s="26" customFormat="1" ht="30" customHeight="1" x14ac:dyDescent="0.2">
      <c r="A100" s="95">
        <f t="shared" si="3"/>
        <v>36</v>
      </c>
      <c r="B100" s="96"/>
      <c r="C100" s="97"/>
      <c r="D100" s="94"/>
      <c r="E100" s="97"/>
      <c r="F100" s="317"/>
      <c r="G100" s="28"/>
      <c r="H100" s="29"/>
      <c r="I100" s="29"/>
      <c r="J100" s="30"/>
      <c r="K100" s="30"/>
      <c r="L100" s="27"/>
      <c r="M100" s="28"/>
      <c r="N100" s="29"/>
      <c r="O100" s="29"/>
      <c r="P100" s="30"/>
      <c r="Q100" s="30"/>
      <c r="R100" s="30"/>
      <c r="S100" s="30"/>
      <c r="T100" s="30"/>
      <c r="U100" s="30"/>
      <c r="V100" s="30"/>
      <c r="W100" s="27"/>
      <c r="X100" s="28"/>
      <c r="Y100" s="29"/>
      <c r="Z100" s="29"/>
      <c r="AA100" s="29"/>
      <c r="AB100" s="29"/>
      <c r="AC100" s="29"/>
      <c r="AD100" s="29"/>
      <c r="AE100" s="29"/>
      <c r="AF100" s="29"/>
      <c r="AG100" s="29"/>
      <c r="AH100" s="27"/>
      <c r="AI100" s="32"/>
    </row>
    <row r="101" spans="1:35" s="26" customFormat="1" ht="30" customHeight="1" x14ac:dyDescent="0.2">
      <c r="A101" s="95">
        <f t="shared" si="3"/>
        <v>37</v>
      </c>
      <c r="B101" s="96"/>
      <c r="C101" s="97"/>
      <c r="D101" s="94"/>
      <c r="E101" s="97"/>
      <c r="F101" s="317"/>
      <c r="G101" s="28"/>
      <c r="H101" s="29"/>
      <c r="I101" s="29"/>
      <c r="J101" s="30"/>
      <c r="K101" s="30"/>
      <c r="L101" s="27"/>
      <c r="M101" s="28"/>
      <c r="N101" s="29"/>
      <c r="O101" s="29"/>
      <c r="P101" s="30"/>
      <c r="Q101" s="30"/>
      <c r="R101" s="30"/>
      <c r="S101" s="30"/>
      <c r="T101" s="30"/>
      <c r="U101" s="30"/>
      <c r="V101" s="30"/>
      <c r="W101" s="27"/>
      <c r="X101" s="28"/>
      <c r="Y101" s="29"/>
      <c r="Z101" s="29"/>
      <c r="AA101" s="29"/>
      <c r="AB101" s="29"/>
      <c r="AC101" s="29"/>
      <c r="AD101" s="29"/>
      <c r="AE101" s="29"/>
      <c r="AF101" s="29"/>
      <c r="AG101" s="29"/>
      <c r="AH101" s="27"/>
      <c r="AI101" s="32"/>
    </row>
    <row r="102" spans="1:35" s="26" customFormat="1" ht="30" customHeight="1" x14ac:dyDescent="0.2">
      <c r="A102" s="95">
        <f t="shared" si="3"/>
        <v>38</v>
      </c>
      <c r="B102" s="96"/>
      <c r="C102" s="97"/>
      <c r="D102" s="94"/>
      <c r="E102" s="97"/>
      <c r="F102" s="317"/>
      <c r="G102" s="28"/>
      <c r="H102" s="29"/>
      <c r="I102" s="29"/>
      <c r="J102" s="30"/>
      <c r="K102" s="30"/>
      <c r="L102" s="27"/>
      <c r="M102" s="28"/>
      <c r="N102" s="29"/>
      <c r="O102" s="29"/>
      <c r="P102" s="30"/>
      <c r="Q102" s="30"/>
      <c r="R102" s="30"/>
      <c r="S102" s="30"/>
      <c r="T102" s="30"/>
      <c r="U102" s="30"/>
      <c r="V102" s="30"/>
      <c r="W102" s="27"/>
      <c r="X102" s="28"/>
      <c r="Y102" s="29"/>
      <c r="Z102" s="29"/>
      <c r="AA102" s="29"/>
      <c r="AB102" s="29"/>
      <c r="AC102" s="29"/>
      <c r="AD102" s="29"/>
      <c r="AE102" s="29"/>
      <c r="AF102" s="29"/>
      <c r="AG102" s="29"/>
      <c r="AH102" s="27"/>
      <c r="AI102" s="32"/>
    </row>
    <row r="103" spans="1:35" s="26" customFormat="1" ht="30" customHeight="1" x14ac:dyDescent="0.2">
      <c r="A103" s="95">
        <f t="shared" si="3"/>
        <v>39</v>
      </c>
      <c r="B103" s="96"/>
      <c r="C103" s="97"/>
      <c r="D103" s="94"/>
      <c r="E103" s="97"/>
      <c r="F103" s="317"/>
      <c r="G103" s="28"/>
      <c r="H103" s="29"/>
      <c r="I103" s="29"/>
      <c r="J103" s="30"/>
      <c r="K103" s="30"/>
      <c r="L103" s="27"/>
      <c r="M103" s="28"/>
      <c r="N103" s="29"/>
      <c r="O103" s="29"/>
      <c r="P103" s="30"/>
      <c r="Q103" s="30"/>
      <c r="R103" s="30"/>
      <c r="S103" s="30"/>
      <c r="T103" s="30"/>
      <c r="U103" s="30"/>
      <c r="V103" s="30"/>
      <c r="W103" s="27"/>
      <c r="X103" s="28"/>
      <c r="Y103" s="29"/>
      <c r="Z103" s="29"/>
      <c r="AA103" s="29"/>
      <c r="AB103" s="29"/>
      <c r="AC103" s="29"/>
      <c r="AD103" s="29"/>
      <c r="AE103" s="29"/>
      <c r="AF103" s="29"/>
      <c r="AG103" s="29"/>
      <c r="AH103" s="27"/>
      <c r="AI103" s="32"/>
    </row>
    <row r="104" spans="1:35" s="26" customFormat="1" ht="30" customHeight="1" thickBot="1" x14ac:dyDescent="0.25">
      <c r="A104" s="373">
        <f t="shared" si="3"/>
        <v>40</v>
      </c>
      <c r="B104" s="374"/>
      <c r="C104" s="370"/>
      <c r="D104" s="375"/>
      <c r="E104" s="302"/>
      <c r="F104" s="69"/>
      <c r="G104" s="65"/>
      <c r="H104" s="66"/>
      <c r="I104" s="66"/>
      <c r="J104" s="67"/>
      <c r="K104" s="67"/>
      <c r="L104" s="69"/>
      <c r="M104" s="65"/>
      <c r="N104" s="66"/>
      <c r="O104" s="66"/>
      <c r="P104" s="67"/>
      <c r="Q104" s="67"/>
      <c r="R104" s="67"/>
      <c r="S104" s="67"/>
      <c r="T104" s="67"/>
      <c r="U104" s="67"/>
      <c r="V104" s="68"/>
      <c r="W104" s="69"/>
      <c r="X104" s="65"/>
      <c r="Y104" s="66"/>
      <c r="Z104" s="66"/>
      <c r="AA104" s="66"/>
      <c r="AB104" s="66"/>
      <c r="AC104" s="66"/>
      <c r="AD104" s="66"/>
      <c r="AE104" s="66"/>
      <c r="AF104" s="66"/>
      <c r="AG104" s="66"/>
      <c r="AH104" s="69"/>
      <c r="AI104" s="70"/>
    </row>
    <row r="105" spans="1:35" s="26" customFormat="1" ht="9.75" customHeight="1" thickBot="1" x14ac:dyDescent="0.25">
      <c r="A105" s="359"/>
      <c r="B105" s="360"/>
      <c r="C105" s="361"/>
      <c r="D105" s="360"/>
      <c r="E105" s="360"/>
    </row>
    <row r="106" spans="1:35" s="11" customFormat="1" x14ac:dyDescent="0.2">
      <c r="A106" s="60" t="s">
        <v>75</v>
      </c>
      <c r="B106" s="8"/>
      <c r="C106" s="45"/>
      <c r="D106" s="8"/>
      <c r="E106" s="8"/>
      <c r="F106" s="8"/>
      <c r="G106" s="125" t="s">
        <v>76</v>
      </c>
      <c r="H106" s="8"/>
      <c r="I106" s="8"/>
      <c r="J106" s="8"/>
      <c r="K106" s="9"/>
      <c r="L106" s="9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125" t="s">
        <v>77</v>
      </c>
      <c r="Z106" s="8"/>
      <c r="AA106" s="8"/>
      <c r="AB106" s="8"/>
      <c r="AC106" s="8"/>
      <c r="AD106" s="8"/>
      <c r="AE106" s="8"/>
      <c r="AF106" s="8"/>
      <c r="AG106" s="8"/>
      <c r="AH106" s="8"/>
      <c r="AI106" s="10"/>
    </row>
    <row r="107" spans="1:35" s="11" customFormat="1" ht="12" customHeight="1" x14ac:dyDescent="0.2">
      <c r="A107" s="137" t="s">
        <v>8</v>
      </c>
      <c r="B107" s="138" t="s">
        <v>157</v>
      </c>
      <c r="C107" s="46"/>
      <c r="G107" s="130" t="s">
        <v>8</v>
      </c>
      <c r="H107" s="457" t="s">
        <v>89</v>
      </c>
      <c r="I107" s="457"/>
      <c r="J107" s="457"/>
      <c r="K107" s="457"/>
      <c r="L107" s="457"/>
      <c r="M107" s="457"/>
      <c r="N107" s="457"/>
      <c r="O107" s="457"/>
      <c r="P107" s="457"/>
      <c r="Q107" s="457"/>
      <c r="R107" s="457"/>
      <c r="S107" s="457"/>
      <c r="T107" s="457"/>
      <c r="U107" s="457"/>
      <c r="V107" s="457"/>
      <c r="W107" s="457"/>
      <c r="Y107" s="11" t="s">
        <v>95</v>
      </c>
      <c r="AI107" s="13"/>
    </row>
    <row r="108" spans="1:35" s="11" customFormat="1" ht="12" customHeight="1" x14ac:dyDescent="0.2">
      <c r="A108" s="139"/>
      <c r="B108" s="138" t="s">
        <v>158</v>
      </c>
      <c r="C108" s="46"/>
      <c r="G108" s="129"/>
      <c r="H108" s="457"/>
      <c r="I108" s="457"/>
      <c r="J108" s="457"/>
      <c r="K108" s="457"/>
      <c r="L108" s="457"/>
      <c r="M108" s="457"/>
      <c r="N108" s="457"/>
      <c r="O108" s="457"/>
      <c r="P108" s="457"/>
      <c r="Q108" s="457"/>
      <c r="R108" s="457"/>
      <c r="S108" s="457"/>
      <c r="T108" s="457"/>
      <c r="U108" s="457"/>
      <c r="V108" s="457"/>
      <c r="W108" s="457"/>
      <c r="Y108" s="11" t="s">
        <v>96</v>
      </c>
      <c r="AI108" s="13"/>
    </row>
    <row r="109" spans="1:35" s="11" customFormat="1" ht="12" customHeight="1" x14ac:dyDescent="0.2">
      <c r="A109" s="139"/>
      <c r="B109" s="11" t="s">
        <v>90</v>
      </c>
      <c r="C109" s="46"/>
      <c r="G109" s="130" t="s">
        <v>9</v>
      </c>
      <c r="H109" s="457" t="s">
        <v>88</v>
      </c>
      <c r="I109" s="457"/>
      <c r="J109" s="457"/>
      <c r="K109" s="457"/>
      <c r="L109" s="457"/>
      <c r="M109" s="457"/>
      <c r="N109" s="457"/>
      <c r="O109" s="457"/>
      <c r="P109" s="457"/>
      <c r="Q109" s="457"/>
      <c r="R109" s="457"/>
      <c r="S109" s="457"/>
      <c r="T109" s="457"/>
      <c r="U109" s="457"/>
      <c r="V109" s="457"/>
      <c r="W109" s="457"/>
      <c r="AI109" s="13"/>
    </row>
    <row r="110" spans="1:35" s="11" customFormat="1" ht="12" customHeight="1" x14ac:dyDescent="0.2">
      <c r="A110" s="139"/>
      <c r="B110" s="11" t="s">
        <v>94</v>
      </c>
      <c r="C110" s="46"/>
      <c r="H110" s="457"/>
      <c r="I110" s="457"/>
      <c r="J110" s="457"/>
      <c r="K110" s="457"/>
      <c r="L110" s="457"/>
      <c r="M110" s="457"/>
      <c r="N110" s="457"/>
      <c r="O110" s="457"/>
      <c r="P110" s="457"/>
      <c r="Q110" s="457"/>
      <c r="R110" s="457"/>
      <c r="S110" s="457"/>
      <c r="T110" s="457"/>
      <c r="U110" s="457"/>
      <c r="V110" s="457"/>
      <c r="W110" s="457"/>
      <c r="AI110" s="13"/>
    </row>
    <row r="111" spans="1:35" s="11" customFormat="1" ht="12" customHeight="1" x14ac:dyDescent="0.2">
      <c r="A111" s="137" t="s">
        <v>9</v>
      </c>
      <c r="B111" s="126" t="s">
        <v>93</v>
      </c>
      <c r="C111" s="46"/>
      <c r="G111" s="130" t="s">
        <v>11</v>
      </c>
      <c r="H111" s="461" t="s">
        <v>78</v>
      </c>
      <c r="I111" s="461"/>
      <c r="J111" s="461"/>
      <c r="K111" s="461"/>
      <c r="L111" s="461"/>
      <c r="M111" s="461"/>
      <c r="N111" s="461"/>
      <c r="O111" s="461"/>
      <c r="P111" s="461"/>
      <c r="Q111" s="461"/>
      <c r="R111" s="461"/>
      <c r="S111" s="461"/>
      <c r="T111" s="461"/>
      <c r="U111" s="461"/>
      <c r="V111" s="461"/>
      <c r="W111" s="461"/>
      <c r="AI111" s="13"/>
    </row>
    <row r="112" spans="1:35" s="11" customFormat="1" ht="12" customHeight="1" x14ac:dyDescent="0.2">
      <c r="A112" s="137" t="s">
        <v>11</v>
      </c>
      <c r="B112" s="126" t="s">
        <v>92</v>
      </c>
      <c r="C112" s="46"/>
      <c r="G112" s="130" t="s">
        <v>12</v>
      </c>
      <c r="H112" s="457" t="s">
        <v>87</v>
      </c>
      <c r="I112" s="457"/>
      <c r="J112" s="457"/>
      <c r="K112" s="457"/>
      <c r="L112" s="457"/>
      <c r="M112" s="457"/>
      <c r="N112" s="457"/>
      <c r="O112" s="457"/>
      <c r="P112" s="457"/>
      <c r="Q112" s="457"/>
      <c r="R112" s="457"/>
      <c r="S112" s="457"/>
      <c r="T112" s="457"/>
      <c r="U112" s="457"/>
      <c r="V112" s="457"/>
      <c r="W112" s="457"/>
      <c r="AI112" s="13"/>
    </row>
    <row r="113" spans="1:47" s="11" customFormat="1" ht="12" customHeight="1" x14ac:dyDescent="0.2">
      <c r="A113" s="137" t="s">
        <v>12</v>
      </c>
      <c r="B113" s="126" t="s">
        <v>84</v>
      </c>
      <c r="C113" s="46"/>
      <c r="G113" s="130" t="s">
        <v>13</v>
      </c>
      <c r="H113" s="459" t="s">
        <v>86</v>
      </c>
      <c r="I113" s="459"/>
      <c r="J113" s="459"/>
      <c r="K113" s="459"/>
      <c r="L113" s="459"/>
      <c r="M113" s="459"/>
      <c r="N113" s="459"/>
      <c r="O113" s="459"/>
      <c r="P113" s="459"/>
      <c r="Q113" s="459"/>
      <c r="R113" s="459"/>
      <c r="S113" s="459"/>
      <c r="T113" s="459"/>
      <c r="U113" s="459"/>
      <c r="V113" s="459"/>
      <c r="W113" s="459"/>
      <c r="AI113" s="13"/>
    </row>
    <row r="114" spans="1:47" s="101" customFormat="1" ht="12" customHeight="1" thickBot="1" x14ac:dyDescent="0.25">
      <c r="A114" s="140" t="s">
        <v>13</v>
      </c>
      <c r="B114" s="124" t="s">
        <v>85</v>
      </c>
      <c r="C114" s="99"/>
      <c r="D114" s="98"/>
      <c r="E114" s="98"/>
      <c r="F114" s="98"/>
      <c r="G114" s="98"/>
      <c r="H114" s="458"/>
      <c r="I114" s="458"/>
      <c r="J114" s="458"/>
      <c r="K114" s="458"/>
      <c r="L114" s="458"/>
      <c r="M114" s="458"/>
      <c r="N114" s="458"/>
      <c r="O114" s="458"/>
      <c r="P114" s="458"/>
      <c r="Q114" s="458"/>
      <c r="R114" s="458"/>
      <c r="S114" s="458"/>
      <c r="T114" s="458"/>
      <c r="U114" s="458"/>
      <c r="V114" s="458"/>
      <c r="W114" s="45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  <c r="AH114" s="98"/>
      <c r="AI114" s="100"/>
    </row>
    <row r="115" spans="1:47" s="135" customFormat="1" ht="16.5" customHeight="1" x14ac:dyDescent="0.2">
      <c r="A115" s="134" t="s">
        <v>105</v>
      </c>
      <c r="C115" s="136"/>
    </row>
    <row r="116" spans="1:47" s="18" customFormat="1" ht="11.25" customHeight="1" x14ac:dyDescent="0.2">
      <c r="A116" s="133"/>
      <c r="C116" s="19"/>
    </row>
    <row r="117" spans="1:47" s="88" customFormat="1" ht="15" x14ac:dyDescent="0.25">
      <c r="B117" s="88" t="s">
        <v>53</v>
      </c>
      <c r="C117" s="89"/>
      <c r="F117" s="88" t="s">
        <v>54</v>
      </c>
      <c r="AA117" s="88" t="s">
        <v>55</v>
      </c>
    </row>
    <row r="118" spans="1:47" s="18" customFormat="1" ht="16.5" customHeight="1" x14ac:dyDescent="0.2">
      <c r="C118" s="19"/>
    </row>
    <row r="119" spans="1:47" s="18" customFormat="1" ht="14.25" customHeight="1" x14ac:dyDescent="0.2">
      <c r="C119" s="19"/>
    </row>
    <row r="120" spans="1:47" s="18" customFormat="1" ht="22.5" customHeight="1" x14ac:dyDescent="0.2">
      <c r="B120" s="90"/>
      <c r="C120" s="19"/>
      <c r="F120" s="90"/>
      <c r="G120" s="90"/>
      <c r="H120" s="90"/>
      <c r="I120" s="90"/>
      <c r="J120" s="90"/>
      <c r="K120" s="90"/>
      <c r="L120" s="90"/>
      <c r="M120" s="90"/>
      <c r="AA120" s="90"/>
      <c r="AB120" s="90"/>
      <c r="AC120" s="90"/>
      <c r="AD120" s="90"/>
      <c r="AE120" s="90"/>
      <c r="AF120" s="90"/>
      <c r="AG120" s="90"/>
      <c r="AH120" s="90"/>
    </row>
    <row r="121" spans="1:47" s="18" customFormat="1" ht="17.25" customHeight="1" x14ac:dyDescent="0.2">
      <c r="B121" s="18" t="s">
        <v>56</v>
      </c>
      <c r="C121" s="19"/>
      <c r="F121" s="18" t="s">
        <v>56</v>
      </c>
      <c r="AA121" s="18" t="s">
        <v>57</v>
      </c>
    </row>
    <row r="122" spans="1:47" s="18" customFormat="1" ht="18" customHeight="1" x14ac:dyDescent="0.2">
      <c r="B122" s="18" t="s">
        <v>58</v>
      </c>
      <c r="C122" s="19"/>
      <c r="F122" s="18" t="s">
        <v>59</v>
      </c>
      <c r="AA122" s="18" t="s">
        <v>58</v>
      </c>
    </row>
    <row r="123" spans="1:47" s="18" customFormat="1" ht="9" customHeight="1" thickBot="1" x14ac:dyDescent="0.3">
      <c r="A123" s="88"/>
      <c r="C123" s="19"/>
      <c r="AT123" s="19"/>
      <c r="AU123" s="19"/>
    </row>
    <row r="124" spans="1:47" s="26" customFormat="1" ht="30" customHeight="1" x14ac:dyDescent="0.2">
      <c r="A124" s="294">
        <v>41</v>
      </c>
      <c r="B124" s="376"/>
      <c r="C124" s="93"/>
      <c r="D124" s="377"/>
      <c r="E124" s="93"/>
      <c r="F124" s="318"/>
      <c r="G124" s="20"/>
      <c r="H124" s="21"/>
      <c r="I124" s="21"/>
      <c r="J124" s="22"/>
      <c r="K124" s="22"/>
      <c r="L124" s="24"/>
      <c r="M124" s="20"/>
      <c r="N124" s="21"/>
      <c r="O124" s="21"/>
      <c r="P124" s="22"/>
      <c r="Q124" s="22"/>
      <c r="R124" s="22"/>
      <c r="S124" s="22"/>
      <c r="T124" s="22"/>
      <c r="U124" s="22"/>
      <c r="V124" s="22"/>
      <c r="W124" s="24"/>
      <c r="X124" s="20"/>
      <c r="Y124" s="21"/>
      <c r="Z124" s="21"/>
      <c r="AA124" s="21"/>
      <c r="AB124" s="21"/>
      <c r="AC124" s="21"/>
      <c r="AD124" s="21"/>
      <c r="AE124" s="21"/>
      <c r="AF124" s="21"/>
      <c r="AG124" s="21"/>
      <c r="AH124" s="24"/>
      <c r="AI124" s="25"/>
    </row>
    <row r="125" spans="1:47" s="26" customFormat="1" ht="30" customHeight="1" x14ac:dyDescent="0.2">
      <c r="A125" s="95">
        <f>A124+1</f>
        <v>42</v>
      </c>
      <c r="B125" s="96"/>
      <c r="C125" s="97"/>
      <c r="D125" s="94"/>
      <c r="E125" s="97"/>
      <c r="F125" s="317"/>
      <c r="G125" s="28"/>
      <c r="H125" s="29"/>
      <c r="I125" s="29"/>
      <c r="J125" s="30"/>
      <c r="K125" s="30"/>
      <c r="L125" s="27"/>
      <c r="M125" s="28"/>
      <c r="N125" s="29"/>
      <c r="O125" s="29"/>
      <c r="P125" s="30"/>
      <c r="Q125" s="30"/>
      <c r="R125" s="30"/>
      <c r="S125" s="30"/>
      <c r="T125" s="30"/>
      <c r="U125" s="30"/>
      <c r="V125" s="30"/>
      <c r="W125" s="27"/>
      <c r="X125" s="28"/>
      <c r="Y125" s="29"/>
      <c r="Z125" s="29"/>
      <c r="AA125" s="29"/>
      <c r="AB125" s="29"/>
      <c r="AC125" s="29"/>
      <c r="AD125" s="29"/>
      <c r="AE125" s="29"/>
      <c r="AF125" s="29"/>
      <c r="AG125" s="29"/>
      <c r="AH125" s="27"/>
      <c r="AI125" s="32"/>
    </row>
    <row r="126" spans="1:47" s="26" customFormat="1" ht="30" customHeight="1" x14ac:dyDescent="0.2">
      <c r="A126" s="95">
        <f t="shared" ref="A126:A133" si="4">A125+1</f>
        <v>43</v>
      </c>
      <c r="B126" s="96"/>
      <c r="C126" s="97"/>
      <c r="D126" s="94"/>
      <c r="E126" s="97"/>
      <c r="F126" s="317"/>
      <c r="G126" s="28"/>
      <c r="H126" s="29"/>
      <c r="I126" s="29"/>
      <c r="J126" s="30"/>
      <c r="K126" s="30"/>
      <c r="L126" s="27"/>
      <c r="M126" s="28"/>
      <c r="N126" s="29"/>
      <c r="O126" s="29"/>
      <c r="P126" s="30"/>
      <c r="Q126" s="30"/>
      <c r="R126" s="30"/>
      <c r="S126" s="30"/>
      <c r="T126" s="30"/>
      <c r="U126" s="30"/>
      <c r="V126" s="30"/>
      <c r="W126" s="27"/>
      <c r="X126" s="28"/>
      <c r="Y126" s="29"/>
      <c r="Z126" s="29"/>
      <c r="AA126" s="29"/>
      <c r="AB126" s="29"/>
      <c r="AC126" s="29"/>
      <c r="AD126" s="29"/>
      <c r="AE126" s="29"/>
      <c r="AF126" s="29"/>
      <c r="AG126" s="29"/>
      <c r="AH126" s="27"/>
      <c r="AI126" s="32"/>
    </row>
    <row r="127" spans="1:47" s="26" customFormat="1" ht="30" customHeight="1" x14ac:dyDescent="0.2">
      <c r="A127" s="95">
        <f t="shared" si="4"/>
        <v>44</v>
      </c>
      <c r="B127" s="96"/>
      <c r="C127" s="97"/>
      <c r="D127" s="94"/>
      <c r="E127" s="97"/>
      <c r="F127" s="317"/>
      <c r="G127" s="28"/>
      <c r="H127" s="29"/>
      <c r="I127" s="29"/>
      <c r="J127" s="30"/>
      <c r="K127" s="30"/>
      <c r="L127" s="27"/>
      <c r="M127" s="28"/>
      <c r="N127" s="29"/>
      <c r="O127" s="29"/>
      <c r="P127" s="30"/>
      <c r="Q127" s="30"/>
      <c r="R127" s="30"/>
      <c r="S127" s="30"/>
      <c r="T127" s="30"/>
      <c r="U127" s="30"/>
      <c r="V127" s="30"/>
      <c r="W127" s="27"/>
      <c r="X127" s="28"/>
      <c r="Y127" s="29"/>
      <c r="Z127" s="29"/>
      <c r="AA127" s="29"/>
      <c r="AB127" s="29"/>
      <c r="AC127" s="29"/>
      <c r="AD127" s="29"/>
      <c r="AE127" s="29"/>
      <c r="AF127" s="29"/>
      <c r="AG127" s="29"/>
      <c r="AH127" s="27"/>
      <c r="AI127" s="32"/>
    </row>
    <row r="128" spans="1:47" s="26" customFormat="1" ht="30" customHeight="1" x14ac:dyDescent="0.2">
      <c r="A128" s="95">
        <f t="shared" si="4"/>
        <v>45</v>
      </c>
      <c r="B128" s="96"/>
      <c r="C128" s="97"/>
      <c r="D128" s="94"/>
      <c r="E128" s="97"/>
      <c r="F128" s="317"/>
      <c r="G128" s="28"/>
      <c r="H128" s="29"/>
      <c r="I128" s="29"/>
      <c r="J128" s="30"/>
      <c r="K128" s="30"/>
      <c r="L128" s="27"/>
      <c r="M128" s="28"/>
      <c r="N128" s="29"/>
      <c r="O128" s="29"/>
      <c r="P128" s="30"/>
      <c r="Q128" s="30"/>
      <c r="R128" s="30"/>
      <c r="S128" s="30"/>
      <c r="T128" s="30"/>
      <c r="U128" s="30"/>
      <c r="V128" s="30"/>
      <c r="W128" s="27"/>
      <c r="X128" s="28"/>
      <c r="Y128" s="29"/>
      <c r="Z128" s="29"/>
      <c r="AA128" s="29"/>
      <c r="AB128" s="29"/>
      <c r="AC128" s="29"/>
      <c r="AD128" s="29"/>
      <c r="AE128" s="29"/>
      <c r="AF128" s="29"/>
      <c r="AG128" s="29"/>
      <c r="AH128" s="27"/>
      <c r="AI128" s="32"/>
    </row>
    <row r="129" spans="1:35" s="26" customFormat="1" ht="30" customHeight="1" x14ac:dyDescent="0.2">
      <c r="A129" s="95">
        <f t="shared" si="4"/>
        <v>46</v>
      </c>
      <c r="B129" s="96"/>
      <c r="C129" s="97"/>
      <c r="D129" s="94"/>
      <c r="E129" s="97"/>
      <c r="F129" s="317"/>
      <c r="G129" s="28"/>
      <c r="H129" s="29"/>
      <c r="I129" s="29"/>
      <c r="J129" s="30"/>
      <c r="K129" s="30"/>
      <c r="L129" s="27"/>
      <c r="M129" s="28"/>
      <c r="N129" s="29"/>
      <c r="O129" s="29"/>
      <c r="P129" s="30"/>
      <c r="Q129" s="30"/>
      <c r="R129" s="30"/>
      <c r="S129" s="30"/>
      <c r="T129" s="30"/>
      <c r="U129" s="30"/>
      <c r="V129" s="30"/>
      <c r="W129" s="27"/>
      <c r="X129" s="28"/>
      <c r="Y129" s="29"/>
      <c r="Z129" s="29"/>
      <c r="AA129" s="29"/>
      <c r="AB129" s="29"/>
      <c r="AC129" s="29"/>
      <c r="AD129" s="29"/>
      <c r="AE129" s="29"/>
      <c r="AF129" s="29"/>
      <c r="AG129" s="29"/>
      <c r="AH129" s="27"/>
      <c r="AI129" s="32"/>
    </row>
    <row r="130" spans="1:35" s="26" customFormat="1" ht="30" customHeight="1" x14ac:dyDescent="0.2">
      <c r="A130" s="95">
        <f t="shared" si="4"/>
        <v>47</v>
      </c>
      <c r="B130" s="96"/>
      <c r="C130" s="97"/>
      <c r="D130" s="94"/>
      <c r="E130" s="97"/>
      <c r="F130" s="317"/>
      <c r="G130" s="28"/>
      <c r="H130" s="29"/>
      <c r="I130" s="29"/>
      <c r="J130" s="30"/>
      <c r="K130" s="30"/>
      <c r="L130" s="27"/>
      <c r="M130" s="28"/>
      <c r="N130" s="29"/>
      <c r="O130" s="29"/>
      <c r="P130" s="30"/>
      <c r="Q130" s="30"/>
      <c r="R130" s="30"/>
      <c r="S130" s="30"/>
      <c r="T130" s="30"/>
      <c r="U130" s="30"/>
      <c r="V130" s="30"/>
      <c r="W130" s="27"/>
      <c r="X130" s="28"/>
      <c r="Y130" s="29"/>
      <c r="Z130" s="29"/>
      <c r="AA130" s="29"/>
      <c r="AB130" s="29"/>
      <c r="AC130" s="29"/>
      <c r="AD130" s="29"/>
      <c r="AE130" s="29"/>
      <c r="AF130" s="29"/>
      <c r="AG130" s="29"/>
      <c r="AH130" s="27"/>
      <c r="AI130" s="32"/>
    </row>
    <row r="131" spans="1:35" s="26" customFormat="1" ht="30" customHeight="1" x14ac:dyDescent="0.2">
      <c r="A131" s="95">
        <f t="shared" si="4"/>
        <v>48</v>
      </c>
      <c r="B131" s="96"/>
      <c r="C131" s="97"/>
      <c r="D131" s="94"/>
      <c r="E131" s="97"/>
      <c r="F131" s="317"/>
      <c r="G131" s="28"/>
      <c r="H131" s="29"/>
      <c r="I131" s="29"/>
      <c r="J131" s="30"/>
      <c r="K131" s="30"/>
      <c r="L131" s="27"/>
      <c r="M131" s="28"/>
      <c r="N131" s="29"/>
      <c r="O131" s="29"/>
      <c r="P131" s="30"/>
      <c r="Q131" s="30"/>
      <c r="R131" s="30"/>
      <c r="S131" s="30"/>
      <c r="T131" s="30"/>
      <c r="U131" s="30"/>
      <c r="V131" s="30"/>
      <c r="W131" s="27"/>
      <c r="X131" s="28"/>
      <c r="Y131" s="29"/>
      <c r="Z131" s="29"/>
      <c r="AA131" s="29"/>
      <c r="AB131" s="29"/>
      <c r="AC131" s="29"/>
      <c r="AD131" s="29"/>
      <c r="AE131" s="29"/>
      <c r="AF131" s="29"/>
      <c r="AG131" s="29"/>
      <c r="AH131" s="27"/>
      <c r="AI131" s="32"/>
    </row>
    <row r="132" spans="1:35" s="26" customFormat="1" ht="30" customHeight="1" x14ac:dyDescent="0.2">
      <c r="A132" s="95">
        <f t="shared" si="4"/>
        <v>49</v>
      </c>
      <c r="B132" s="96"/>
      <c r="C132" s="97"/>
      <c r="D132" s="94"/>
      <c r="E132" s="97"/>
      <c r="F132" s="317"/>
      <c r="G132" s="28"/>
      <c r="H132" s="29"/>
      <c r="I132" s="29"/>
      <c r="J132" s="30"/>
      <c r="K132" s="30"/>
      <c r="L132" s="27"/>
      <c r="M132" s="28"/>
      <c r="N132" s="29"/>
      <c r="O132" s="29"/>
      <c r="P132" s="30"/>
      <c r="Q132" s="30"/>
      <c r="R132" s="30"/>
      <c r="S132" s="30"/>
      <c r="T132" s="30"/>
      <c r="U132" s="30"/>
      <c r="V132" s="30"/>
      <c r="W132" s="27"/>
      <c r="X132" s="28"/>
      <c r="Y132" s="29"/>
      <c r="Z132" s="29"/>
      <c r="AA132" s="29"/>
      <c r="AB132" s="29"/>
      <c r="AC132" s="29"/>
      <c r="AD132" s="29"/>
      <c r="AE132" s="29"/>
      <c r="AF132" s="29"/>
      <c r="AG132" s="29"/>
      <c r="AH132" s="27"/>
      <c r="AI132" s="32"/>
    </row>
    <row r="133" spans="1:35" s="26" customFormat="1" ht="30" customHeight="1" thickBot="1" x14ac:dyDescent="0.25">
      <c r="A133" s="373">
        <f t="shared" si="4"/>
        <v>50</v>
      </c>
      <c r="B133" s="374"/>
      <c r="C133" s="370"/>
      <c r="D133" s="375"/>
      <c r="E133" s="302"/>
      <c r="F133" s="69"/>
      <c r="G133" s="65"/>
      <c r="H133" s="66"/>
      <c r="I133" s="66"/>
      <c r="J133" s="67"/>
      <c r="K133" s="67"/>
      <c r="L133" s="69"/>
      <c r="M133" s="65"/>
      <c r="N133" s="66"/>
      <c r="O133" s="66"/>
      <c r="P133" s="67"/>
      <c r="Q133" s="67"/>
      <c r="R133" s="67"/>
      <c r="S133" s="67"/>
      <c r="T133" s="67"/>
      <c r="U133" s="67"/>
      <c r="V133" s="68"/>
      <c r="W133" s="69"/>
      <c r="X133" s="65"/>
      <c r="Y133" s="66"/>
      <c r="Z133" s="66"/>
      <c r="AA133" s="66"/>
      <c r="AB133" s="66"/>
      <c r="AC133" s="66"/>
      <c r="AD133" s="66"/>
      <c r="AE133" s="66"/>
      <c r="AF133" s="66"/>
      <c r="AG133" s="66"/>
      <c r="AH133" s="69"/>
      <c r="AI133" s="70"/>
    </row>
    <row r="134" spans="1:35" s="26" customFormat="1" ht="9.75" customHeight="1" thickBot="1" x14ac:dyDescent="0.25">
      <c r="A134" s="359"/>
      <c r="B134" s="360"/>
      <c r="C134" s="361"/>
      <c r="D134" s="360"/>
      <c r="E134" s="360"/>
    </row>
    <row r="135" spans="1:35" s="11" customFormat="1" x14ac:dyDescent="0.2">
      <c r="A135" s="60" t="s">
        <v>75</v>
      </c>
      <c r="B135" s="8"/>
      <c r="C135" s="45"/>
      <c r="D135" s="8"/>
      <c r="E135" s="8"/>
      <c r="F135" s="8"/>
      <c r="G135" s="125" t="s">
        <v>76</v>
      </c>
      <c r="H135" s="8"/>
      <c r="I135" s="8"/>
      <c r="J135" s="8"/>
      <c r="K135" s="9"/>
      <c r="L135" s="9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125" t="s">
        <v>77</v>
      </c>
      <c r="Z135" s="8"/>
      <c r="AA135" s="8"/>
      <c r="AB135" s="8"/>
      <c r="AC135" s="8"/>
      <c r="AD135" s="8"/>
      <c r="AE135" s="8"/>
      <c r="AF135" s="8"/>
      <c r="AG135" s="8"/>
      <c r="AH135" s="8"/>
      <c r="AI135" s="10"/>
    </row>
    <row r="136" spans="1:35" s="11" customFormat="1" ht="12" customHeight="1" x14ac:dyDescent="0.2">
      <c r="A136" s="137" t="s">
        <v>8</v>
      </c>
      <c r="B136" s="138" t="s">
        <v>157</v>
      </c>
      <c r="C136" s="46"/>
      <c r="G136" s="130" t="s">
        <v>8</v>
      </c>
      <c r="H136" s="457" t="s">
        <v>89</v>
      </c>
      <c r="I136" s="457"/>
      <c r="J136" s="457"/>
      <c r="K136" s="457"/>
      <c r="L136" s="457"/>
      <c r="M136" s="457"/>
      <c r="N136" s="457"/>
      <c r="O136" s="457"/>
      <c r="P136" s="457"/>
      <c r="Q136" s="457"/>
      <c r="R136" s="457"/>
      <c r="S136" s="457"/>
      <c r="T136" s="457"/>
      <c r="U136" s="457"/>
      <c r="V136" s="457"/>
      <c r="W136" s="457"/>
      <c r="Y136" s="11" t="s">
        <v>95</v>
      </c>
      <c r="AI136" s="13"/>
    </row>
    <row r="137" spans="1:35" s="11" customFormat="1" ht="12" customHeight="1" x14ac:dyDescent="0.2">
      <c r="A137" s="139"/>
      <c r="B137" s="138" t="s">
        <v>158</v>
      </c>
      <c r="C137" s="46"/>
      <c r="G137" s="129"/>
      <c r="H137" s="457"/>
      <c r="I137" s="457"/>
      <c r="J137" s="457"/>
      <c r="K137" s="457"/>
      <c r="L137" s="457"/>
      <c r="M137" s="457"/>
      <c r="N137" s="457"/>
      <c r="O137" s="457"/>
      <c r="P137" s="457"/>
      <c r="Q137" s="457"/>
      <c r="R137" s="457"/>
      <c r="S137" s="457"/>
      <c r="T137" s="457"/>
      <c r="U137" s="457"/>
      <c r="V137" s="457"/>
      <c r="W137" s="457"/>
      <c r="Y137" s="11" t="s">
        <v>96</v>
      </c>
      <c r="AI137" s="13"/>
    </row>
    <row r="138" spans="1:35" s="11" customFormat="1" ht="12" customHeight="1" x14ac:dyDescent="0.2">
      <c r="A138" s="139"/>
      <c r="B138" s="11" t="s">
        <v>90</v>
      </c>
      <c r="C138" s="46"/>
      <c r="G138" s="130" t="s">
        <v>9</v>
      </c>
      <c r="H138" s="457" t="s">
        <v>88</v>
      </c>
      <c r="I138" s="457"/>
      <c r="J138" s="457"/>
      <c r="K138" s="457"/>
      <c r="L138" s="457"/>
      <c r="M138" s="457"/>
      <c r="N138" s="457"/>
      <c r="O138" s="457"/>
      <c r="P138" s="457"/>
      <c r="Q138" s="457"/>
      <c r="R138" s="457"/>
      <c r="S138" s="457"/>
      <c r="T138" s="457"/>
      <c r="U138" s="457"/>
      <c r="V138" s="457"/>
      <c r="W138" s="457"/>
      <c r="AI138" s="13"/>
    </row>
    <row r="139" spans="1:35" s="11" customFormat="1" ht="12" customHeight="1" x14ac:dyDescent="0.2">
      <c r="A139" s="139"/>
      <c r="B139" s="11" t="s">
        <v>94</v>
      </c>
      <c r="C139" s="46"/>
      <c r="H139" s="457"/>
      <c r="I139" s="457"/>
      <c r="J139" s="457"/>
      <c r="K139" s="457"/>
      <c r="L139" s="457"/>
      <c r="M139" s="457"/>
      <c r="N139" s="457"/>
      <c r="O139" s="457"/>
      <c r="P139" s="457"/>
      <c r="Q139" s="457"/>
      <c r="R139" s="457"/>
      <c r="S139" s="457"/>
      <c r="T139" s="457"/>
      <c r="U139" s="457"/>
      <c r="V139" s="457"/>
      <c r="W139" s="457"/>
      <c r="AI139" s="13"/>
    </row>
    <row r="140" spans="1:35" s="11" customFormat="1" ht="12" customHeight="1" x14ac:dyDescent="0.2">
      <c r="A140" s="137" t="s">
        <v>9</v>
      </c>
      <c r="B140" s="126" t="s">
        <v>93</v>
      </c>
      <c r="C140" s="46"/>
      <c r="G140" s="130" t="s">
        <v>11</v>
      </c>
      <c r="H140" s="461" t="s">
        <v>78</v>
      </c>
      <c r="I140" s="461"/>
      <c r="J140" s="461"/>
      <c r="K140" s="461"/>
      <c r="L140" s="461"/>
      <c r="M140" s="461"/>
      <c r="N140" s="461"/>
      <c r="O140" s="461"/>
      <c r="P140" s="461"/>
      <c r="Q140" s="461"/>
      <c r="R140" s="461"/>
      <c r="S140" s="461"/>
      <c r="T140" s="461"/>
      <c r="U140" s="461"/>
      <c r="V140" s="461"/>
      <c r="W140" s="461"/>
      <c r="AI140" s="13"/>
    </row>
    <row r="141" spans="1:35" s="11" customFormat="1" ht="12" customHeight="1" x14ac:dyDescent="0.2">
      <c r="A141" s="137" t="s">
        <v>11</v>
      </c>
      <c r="B141" s="126" t="s">
        <v>92</v>
      </c>
      <c r="C141" s="46"/>
      <c r="G141" s="130" t="s">
        <v>12</v>
      </c>
      <c r="H141" s="457" t="s">
        <v>87</v>
      </c>
      <c r="I141" s="457"/>
      <c r="J141" s="457"/>
      <c r="K141" s="457"/>
      <c r="L141" s="457"/>
      <c r="M141" s="457"/>
      <c r="N141" s="457"/>
      <c r="O141" s="457"/>
      <c r="P141" s="457"/>
      <c r="Q141" s="457"/>
      <c r="R141" s="457"/>
      <c r="S141" s="457"/>
      <c r="T141" s="457"/>
      <c r="U141" s="457"/>
      <c r="V141" s="457"/>
      <c r="W141" s="457"/>
      <c r="AI141" s="13"/>
    </row>
    <row r="142" spans="1:35" s="11" customFormat="1" ht="12" customHeight="1" x14ac:dyDescent="0.2">
      <c r="A142" s="137" t="s">
        <v>12</v>
      </c>
      <c r="B142" s="126" t="s">
        <v>84</v>
      </c>
      <c r="C142" s="46"/>
      <c r="G142" s="130" t="s">
        <v>13</v>
      </c>
      <c r="H142" s="459" t="s">
        <v>86</v>
      </c>
      <c r="I142" s="459"/>
      <c r="J142" s="459"/>
      <c r="K142" s="459"/>
      <c r="L142" s="459"/>
      <c r="M142" s="459"/>
      <c r="N142" s="459"/>
      <c r="O142" s="459"/>
      <c r="P142" s="459"/>
      <c r="Q142" s="459"/>
      <c r="R142" s="459"/>
      <c r="S142" s="459"/>
      <c r="T142" s="459"/>
      <c r="U142" s="459"/>
      <c r="V142" s="459"/>
      <c r="W142" s="459"/>
      <c r="AI142" s="13"/>
    </row>
    <row r="143" spans="1:35" s="101" customFormat="1" ht="12" customHeight="1" thickBot="1" x14ac:dyDescent="0.25">
      <c r="A143" s="140" t="s">
        <v>13</v>
      </c>
      <c r="B143" s="124" t="s">
        <v>85</v>
      </c>
      <c r="C143" s="99"/>
      <c r="D143" s="98"/>
      <c r="E143" s="98"/>
      <c r="F143" s="98"/>
      <c r="G143" s="98"/>
      <c r="H143" s="458"/>
      <c r="I143" s="458"/>
      <c r="J143" s="458"/>
      <c r="K143" s="458"/>
      <c r="L143" s="458"/>
      <c r="M143" s="458"/>
      <c r="N143" s="458"/>
      <c r="O143" s="458"/>
      <c r="P143" s="458"/>
      <c r="Q143" s="458"/>
      <c r="R143" s="458"/>
      <c r="S143" s="458"/>
      <c r="T143" s="458"/>
      <c r="U143" s="458"/>
      <c r="V143" s="458"/>
      <c r="W143" s="45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100"/>
    </row>
    <row r="144" spans="1:35" s="135" customFormat="1" ht="16.5" customHeight="1" x14ac:dyDescent="0.2">
      <c r="A144" s="134" t="s">
        <v>105</v>
      </c>
      <c r="C144" s="136"/>
    </row>
    <row r="145" spans="1:34" s="18" customFormat="1" ht="11.25" customHeight="1" x14ac:dyDescent="0.2">
      <c r="A145" s="133"/>
      <c r="C145" s="19"/>
    </row>
    <row r="146" spans="1:34" s="88" customFormat="1" ht="15" x14ac:dyDescent="0.25">
      <c r="B146" s="88" t="s">
        <v>53</v>
      </c>
      <c r="C146" s="89"/>
      <c r="F146" s="88" t="s">
        <v>54</v>
      </c>
      <c r="AA146" s="88" t="s">
        <v>55</v>
      </c>
    </row>
    <row r="147" spans="1:34" s="18" customFormat="1" ht="16.5" customHeight="1" x14ac:dyDescent="0.2">
      <c r="C147" s="19"/>
    </row>
    <row r="148" spans="1:34" s="18" customFormat="1" ht="14.25" customHeight="1" x14ac:dyDescent="0.2">
      <c r="C148" s="19"/>
    </row>
    <row r="149" spans="1:34" s="18" customFormat="1" ht="22.5" customHeight="1" x14ac:dyDescent="0.2">
      <c r="B149" s="90"/>
      <c r="C149" s="19"/>
      <c r="F149" s="90"/>
      <c r="G149" s="90"/>
      <c r="H149" s="90"/>
      <c r="I149" s="90"/>
      <c r="J149" s="90"/>
      <c r="K149" s="90"/>
      <c r="L149" s="90"/>
      <c r="M149" s="90"/>
      <c r="AA149" s="90"/>
      <c r="AB149" s="90"/>
      <c r="AC149" s="90"/>
      <c r="AD149" s="90"/>
      <c r="AE149" s="90"/>
      <c r="AF149" s="90"/>
      <c r="AG149" s="90"/>
      <c r="AH149" s="90"/>
    </row>
    <row r="150" spans="1:34" s="18" customFormat="1" ht="17.25" customHeight="1" x14ac:dyDescent="0.2">
      <c r="B150" s="18" t="s">
        <v>56</v>
      </c>
      <c r="C150" s="19"/>
      <c r="F150" s="18" t="s">
        <v>56</v>
      </c>
      <c r="AA150" s="18" t="s">
        <v>57</v>
      </c>
    </row>
    <row r="151" spans="1:34" s="18" customFormat="1" ht="18" customHeight="1" x14ac:dyDescent="0.2">
      <c r="B151" s="18" t="s">
        <v>58</v>
      </c>
      <c r="C151" s="19"/>
      <c r="F151" s="18" t="s">
        <v>59</v>
      </c>
      <c r="AA151" s="18" t="s">
        <v>58</v>
      </c>
    </row>
    <row r="153" spans="1:34" ht="21" customHeight="1" x14ac:dyDescent="0.25">
      <c r="A153" s="393" t="s">
        <v>264</v>
      </c>
    </row>
  </sheetData>
  <mergeCells count="40">
    <mergeCell ref="H136:W137"/>
    <mergeCell ref="H138:W139"/>
    <mergeCell ref="H140:W140"/>
    <mergeCell ref="H141:W141"/>
    <mergeCell ref="H142:W143"/>
    <mergeCell ref="H107:W108"/>
    <mergeCell ref="H109:W110"/>
    <mergeCell ref="H111:W111"/>
    <mergeCell ref="H112:W112"/>
    <mergeCell ref="H113:W114"/>
    <mergeCell ref="H78:W79"/>
    <mergeCell ref="H80:W81"/>
    <mergeCell ref="H82:W82"/>
    <mergeCell ref="H83:W83"/>
    <mergeCell ref="H84:W85"/>
    <mergeCell ref="H49:W50"/>
    <mergeCell ref="H51:W52"/>
    <mergeCell ref="H53:W53"/>
    <mergeCell ref="H54:W54"/>
    <mergeCell ref="H55:W56"/>
    <mergeCell ref="H26:W27"/>
    <mergeCell ref="H25:W25"/>
    <mergeCell ref="H20:W21"/>
    <mergeCell ref="H24:W24"/>
    <mergeCell ref="H22:W23"/>
    <mergeCell ref="G4:L4"/>
    <mergeCell ref="A1:AI1"/>
    <mergeCell ref="A2:AI2"/>
    <mergeCell ref="A4:A7"/>
    <mergeCell ref="B4:B7"/>
    <mergeCell ref="C4:C7"/>
    <mergeCell ref="D4:D7"/>
    <mergeCell ref="F4:F7"/>
    <mergeCell ref="M4:W4"/>
    <mergeCell ref="X4:AH4"/>
    <mergeCell ref="AI4:AI6"/>
    <mergeCell ref="X5:AH5"/>
    <mergeCell ref="G5:L5"/>
    <mergeCell ref="M5:W5"/>
    <mergeCell ref="E4:E7"/>
  </mergeCells>
  <phoneticPr fontId="0" type="noConversion"/>
  <pageMargins left="0.27559055118110198" right="0.196850393700787" top="0.196850393700787" bottom="0.15748031496063" header="0.15748031496063" footer="0.15748031496063"/>
  <pageSetup paperSize="9" scale="62" orientation="landscape" r:id="rId1"/>
  <headerFooter alignWithMargins="0"/>
  <rowBreaks count="4" manualBreakCount="4">
    <brk id="36" max="34" man="1"/>
    <brk id="65" max="34" man="1"/>
    <brk id="94" max="34" man="1"/>
    <brk id="123" max="3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F174"/>
  <sheetViews>
    <sheetView showGridLines="0" view="pageBreakPreview" topLeftCell="C1" zoomScale="85" zoomScaleNormal="70" zoomScaleSheetLayoutView="85" workbookViewId="0">
      <selection activeCell="AG7" sqref="AG7"/>
    </sheetView>
  </sheetViews>
  <sheetFormatPr defaultRowHeight="12.75" x14ac:dyDescent="0.2"/>
  <cols>
    <col min="1" max="1" width="5" customWidth="1"/>
    <col min="2" max="2" width="36" customWidth="1"/>
    <col min="3" max="3" width="19.7109375" style="71" customWidth="1"/>
    <col min="4" max="4" width="21" customWidth="1"/>
    <col min="5" max="5" width="6.28515625" customWidth="1"/>
    <col min="6" max="6" width="6" customWidth="1"/>
    <col min="7" max="7" width="5.28515625" customWidth="1"/>
    <col min="8" max="10" width="4.28515625" customWidth="1"/>
    <col min="11" max="11" width="5.5703125" customWidth="1"/>
    <col min="12" max="12" width="4.28515625" customWidth="1"/>
    <col min="13" max="13" width="4.5703125" customWidth="1"/>
    <col min="14" max="23" width="4.140625" customWidth="1"/>
    <col min="24" max="26" width="5" customWidth="1"/>
    <col min="27" max="27" width="1.28515625" customWidth="1"/>
    <col min="28" max="29" width="17.5703125" customWidth="1"/>
    <col min="30" max="30" width="5.7109375" customWidth="1"/>
    <col min="31" max="31" width="5.85546875" customWidth="1"/>
    <col min="32" max="32" width="4.7109375" customWidth="1"/>
  </cols>
  <sheetData>
    <row r="1" spans="1:32" s="102" customFormat="1" ht="22.5" customHeight="1" x14ac:dyDescent="0.2">
      <c r="A1" s="438" t="s">
        <v>18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S1" s="438"/>
      <c r="T1" s="438"/>
      <c r="U1" s="438"/>
      <c r="V1" s="438"/>
      <c r="W1" s="438"/>
      <c r="X1" s="438"/>
      <c r="Y1" s="438"/>
      <c r="Z1" s="438"/>
      <c r="AA1" s="438"/>
      <c r="AB1" s="438"/>
      <c r="AC1" s="438"/>
      <c r="AD1" s="438"/>
    </row>
    <row r="2" spans="1:32" ht="22.5" customHeight="1" x14ac:dyDescent="0.2">
      <c r="A2" s="438" t="s">
        <v>260</v>
      </c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438"/>
      <c r="X2" s="438"/>
      <c r="Y2" s="438"/>
      <c r="Z2" s="438"/>
      <c r="AA2" s="438"/>
      <c r="AB2" s="438"/>
      <c r="AC2" s="438"/>
      <c r="AD2" s="438"/>
      <c r="AE2" s="17"/>
      <c r="AF2" s="17"/>
    </row>
    <row r="3" spans="1:32" s="41" customFormat="1" ht="21.75" customHeight="1" thickBot="1" x14ac:dyDescent="0.25">
      <c r="A3" s="391" t="s">
        <v>253</v>
      </c>
      <c r="C3" s="40"/>
      <c r="Q3" s="392"/>
      <c r="R3" s="391"/>
    </row>
    <row r="4" spans="1:32" s="42" customFormat="1" ht="17.25" customHeight="1" thickBot="1" x14ac:dyDescent="0.25">
      <c r="A4" s="490" t="s">
        <v>0</v>
      </c>
      <c r="B4" s="490" t="s">
        <v>1</v>
      </c>
      <c r="C4" s="439" t="s">
        <v>62</v>
      </c>
      <c r="D4" s="493" t="s">
        <v>250</v>
      </c>
      <c r="E4" s="472" t="s">
        <v>249</v>
      </c>
      <c r="F4" s="472" t="s">
        <v>22</v>
      </c>
      <c r="G4" s="487" t="s">
        <v>40</v>
      </c>
      <c r="H4" s="471"/>
      <c r="I4" s="471"/>
      <c r="J4" s="471"/>
      <c r="K4" s="488"/>
      <c r="L4" s="488"/>
      <c r="M4" s="489"/>
      <c r="N4" s="474" t="s">
        <v>41</v>
      </c>
      <c r="O4" s="475"/>
      <c r="P4" s="475"/>
      <c r="Q4" s="475"/>
      <c r="R4" s="475"/>
      <c r="S4" s="475"/>
      <c r="T4" s="475"/>
      <c r="U4" s="475"/>
      <c r="V4" s="475"/>
      <c r="W4" s="476"/>
      <c r="X4" s="464" t="s">
        <v>42</v>
      </c>
      <c r="Y4" s="465"/>
      <c r="Z4" s="468" t="s">
        <v>120</v>
      </c>
      <c r="AB4" s="470" t="s">
        <v>43</v>
      </c>
      <c r="AC4" s="471"/>
      <c r="AD4" s="472" t="s">
        <v>121</v>
      </c>
      <c r="AE4" s="632" t="s">
        <v>2</v>
      </c>
    </row>
    <row r="5" spans="1:32" s="42" customFormat="1" ht="17.25" customHeight="1" thickBot="1" x14ac:dyDescent="0.25">
      <c r="A5" s="491"/>
      <c r="B5" s="491"/>
      <c r="C5" s="440"/>
      <c r="D5" s="494"/>
      <c r="E5" s="473"/>
      <c r="F5" s="473"/>
      <c r="G5" s="474">
        <v>100</v>
      </c>
      <c r="H5" s="475"/>
      <c r="I5" s="475"/>
      <c r="J5" s="475"/>
      <c r="K5" s="475"/>
      <c r="L5" s="475"/>
      <c r="M5" s="476"/>
      <c r="N5" s="474">
        <v>100</v>
      </c>
      <c r="O5" s="475"/>
      <c r="P5" s="475"/>
      <c r="Q5" s="475"/>
      <c r="R5" s="475"/>
      <c r="S5" s="475"/>
      <c r="T5" s="475"/>
      <c r="U5" s="475"/>
      <c r="V5" s="475"/>
      <c r="W5" s="476"/>
      <c r="X5" s="466"/>
      <c r="Y5" s="467"/>
      <c r="Z5" s="469"/>
      <c r="AB5" s="474">
        <v>100</v>
      </c>
      <c r="AC5" s="475"/>
      <c r="AD5" s="473"/>
      <c r="AE5" s="633"/>
    </row>
    <row r="6" spans="1:32" s="42" customFormat="1" ht="17.25" customHeight="1" thickBot="1" x14ac:dyDescent="0.25">
      <c r="A6" s="491"/>
      <c r="B6" s="491"/>
      <c r="C6" s="440"/>
      <c r="D6" s="494"/>
      <c r="E6" s="473"/>
      <c r="F6" s="473"/>
      <c r="G6" s="484" t="s">
        <v>51</v>
      </c>
      <c r="H6" s="482" t="s">
        <v>14</v>
      </c>
      <c r="I6" s="482" t="s">
        <v>27</v>
      </c>
      <c r="J6" s="482" t="s">
        <v>28</v>
      </c>
      <c r="K6" s="482" t="s">
        <v>38</v>
      </c>
      <c r="L6" s="482" t="s">
        <v>33</v>
      </c>
      <c r="M6" s="478" t="s">
        <v>39</v>
      </c>
      <c r="N6" s="474" t="s">
        <v>6</v>
      </c>
      <c r="O6" s="475"/>
      <c r="P6" s="475"/>
      <c r="Q6" s="475"/>
      <c r="R6" s="476"/>
      <c r="S6" s="474" t="s">
        <v>7</v>
      </c>
      <c r="T6" s="475"/>
      <c r="U6" s="475"/>
      <c r="V6" s="475"/>
      <c r="W6" s="476"/>
      <c r="X6" s="474">
        <v>100</v>
      </c>
      <c r="Y6" s="476"/>
      <c r="Z6" s="469"/>
      <c r="AB6" s="150" t="s">
        <v>6</v>
      </c>
      <c r="AC6" s="150" t="s">
        <v>7</v>
      </c>
      <c r="AD6" s="473"/>
      <c r="AE6" s="633"/>
    </row>
    <row r="7" spans="1:32" s="1" customFormat="1" ht="96.75" customHeight="1" x14ac:dyDescent="0.2">
      <c r="A7" s="491"/>
      <c r="B7" s="491"/>
      <c r="C7" s="440"/>
      <c r="D7" s="494"/>
      <c r="E7" s="473"/>
      <c r="F7" s="473"/>
      <c r="G7" s="485"/>
      <c r="H7" s="483"/>
      <c r="I7" s="483"/>
      <c r="J7" s="483"/>
      <c r="K7" s="483"/>
      <c r="L7" s="483"/>
      <c r="M7" s="479"/>
      <c r="N7" s="59"/>
      <c r="O7" s="55"/>
      <c r="P7" s="55"/>
      <c r="Q7" s="55"/>
      <c r="R7" s="58"/>
      <c r="S7" s="59"/>
      <c r="T7" s="55"/>
      <c r="U7" s="55"/>
      <c r="V7" s="55"/>
      <c r="W7" s="58"/>
      <c r="X7" s="634" t="s">
        <v>4</v>
      </c>
      <c r="Y7" s="635" t="s">
        <v>5</v>
      </c>
      <c r="Z7" s="469"/>
      <c r="AB7" s="186" t="s">
        <v>172</v>
      </c>
      <c r="AC7" s="186" t="s">
        <v>172</v>
      </c>
      <c r="AD7" s="473"/>
      <c r="AE7" s="633"/>
    </row>
    <row r="8" spans="1:32" s="35" customFormat="1" ht="17.25" customHeight="1" thickBot="1" x14ac:dyDescent="0.25">
      <c r="A8" s="492"/>
      <c r="B8" s="492"/>
      <c r="C8" s="441"/>
      <c r="D8" s="495"/>
      <c r="E8" s="486"/>
      <c r="F8" s="486"/>
      <c r="G8" s="33">
        <v>10</v>
      </c>
      <c r="H8" s="57">
        <v>10</v>
      </c>
      <c r="I8" s="57">
        <v>10</v>
      </c>
      <c r="J8" s="57">
        <v>10</v>
      </c>
      <c r="K8" s="57">
        <v>10</v>
      </c>
      <c r="L8" s="57">
        <v>40</v>
      </c>
      <c r="M8" s="57">
        <v>10</v>
      </c>
      <c r="N8" s="56">
        <v>10</v>
      </c>
      <c r="O8" s="57">
        <v>10</v>
      </c>
      <c r="P8" s="57">
        <v>10</v>
      </c>
      <c r="Q8" s="57">
        <v>10</v>
      </c>
      <c r="R8" s="34">
        <v>10</v>
      </c>
      <c r="S8" s="56">
        <v>10</v>
      </c>
      <c r="T8" s="57">
        <v>10</v>
      </c>
      <c r="U8" s="57">
        <v>10</v>
      </c>
      <c r="V8" s="57">
        <v>10</v>
      </c>
      <c r="W8" s="34">
        <v>10</v>
      </c>
      <c r="X8" s="56">
        <v>60</v>
      </c>
      <c r="Y8" s="34">
        <v>40</v>
      </c>
      <c r="Z8" s="72">
        <v>300</v>
      </c>
      <c r="AB8" s="56">
        <v>50</v>
      </c>
      <c r="AC8" s="73">
        <v>50</v>
      </c>
      <c r="AD8" s="73">
        <v>100</v>
      </c>
      <c r="AE8" s="73">
        <v>400</v>
      </c>
    </row>
    <row r="9" spans="1:32" s="88" customFormat="1" ht="30" customHeight="1" x14ac:dyDescent="0.25">
      <c r="A9" s="91">
        <v>1</v>
      </c>
      <c r="B9" s="103"/>
      <c r="C9" s="97"/>
      <c r="D9" s="103"/>
      <c r="E9" s="97"/>
      <c r="F9" s="315"/>
      <c r="G9" s="104"/>
      <c r="H9" s="105"/>
      <c r="I9" s="105"/>
      <c r="J9" s="106"/>
      <c r="K9" s="105"/>
      <c r="L9" s="105"/>
      <c r="M9" s="105"/>
      <c r="N9" s="104"/>
      <c r="O9" s="105"/>
      <c r="P9" s="105"/>
      <c r="Q9" s="105"/>
      <c r="R9" s="106"/>
      <c r="S9" s="104"/>
      <c r="T9" s="105"/>
      <c r="U9" s="105"/>
      <c r="V9" s="105"/>
      <c r="W9" s="107"/>
      <c r="X9" s="104"/>
      <c r="Y9" s="107"/>
      <c r="Z9" s="108"/>
      <c r="AB9" s="104"/>
      <c r="AC9" s="104"/>
      <c r="AD9" s="109"/>
      <c r="AE9" s="109"/>
    </row>
    <row r="10" spans="1:32" s="88" customFormat="1" ht="30" customHeight="1" x14ac:dyDescent="0.25">
      <c r="A10" s="95">
        <f>A9+1</f>
        <v>2</v>
      </c>
      <c r="B10" s="103"/>
      <c r="C10" s="97"/>
      <c r="D10" s="103"/>
      <c r="E10" s="97"/>
      <c r="F10" s="315"/>
      <c r="G10" s="111"/>
      <c r="H10" s="112"/>
      <c r="I10" s="112"/>
      <c r="J10" s="113"/>
      <c r="K10" s="112"/>
      <c r="L10" s="112"/>
      <c r="M10" s="112"/>
      <c r="N10" s="111"/>
      <c r="O10" s="112"/>
      <c r="P10" s="112"/>
      <c r="Q10" s="112"/>
      <c r="R10" s="113"/>
      <c r="S10" s="111"/>
      <c r="T10" s="112"/>
      <c r="U10" s="112"/>
      <c r="V10" s="112"/>
      <c r="W10" s="114"/>
      <c r="X10" s="111"/>
      <c r="Y10" s="114"/>
      <c r="Z10" s="115"/>
      <c r="AB10" s="111"/>
      <c r="AC10" s="111"/>
      <c r="AD10" s="110"/>
      <c r="AE10" s="110"/>
    </row>
    <row r="11" spans="1:32" s="88" customFormat="1" ht="30" customHeight="1" x14ac:dyDescent="0.25">
      <c r="A11" s="95">
        <f t="shared" ref="A11:A18" si="0">A10+1</f>
        <v>3</v>
      </c>
      <c r="B11" s="103"/>
      <c r="C11" s="97"/>
      <c r="D11" s="103"/>
      <c r="E11" s="97"/>
      <c r="F11" s="315"/>
      <c r="G11" s="111"/>
      <c r="H11" s="112"/>
      <c r="I11" s="112"/>
      <c r="J11" s="113"/>
      <c r="K11" s="112"/>
      <c r="L11" s="112"/>
      <c r="M11" s="112"/>
      <c r="N11" s="111"/>
      <c r="O11" s="112"/>
      <c r="P11" s="112"/>
      <c r="Q11" s="112"/>
      <c r="R11" s="113"/>
      <c r="S11" s="111"/>
      <c r="T11" s="112"/>
      <c r="U11" s="112"/>
      <c r="V11" s="112"/>
      <c r="W11" s="114"/>
      <c r="X11" s="111"/>
      <c r="Y11" s="114"/>
      <c r="Z11" s="115"/>
      <c r="AB11" s="111"/>
      <c r="AC11" s="111"/>
      <c r="AD11" s="110"/>
      <c r="AE11" s="110"/>
    </row>
    <row r="12" spans="1:32" s="88" customFormat="1" ht="30" customHeight="1" x14ac:dyDescent="0.25">
      <c r="A12" s="95">
        <f t="shared" si="0"/>
        <v>4</v>
      </c>
      <c r="B12" s="103"/>
      <c r="C12" s="97"/>
      <c r="D12" s="103"/>
      <c r="E12" s="97"/>
      <c r="F12" s="315"/>
      <c r="G12" s="111"/>
      <c r="H12" s="112"/>
      <c r="I12" s="112"/>
      <c r="J12" s="113"/>
      <c r="K12" s="112"/>
      <c r="L12" s="112"/>
      <c r="M12" s="112"/>
      <c r="N12" s="111"/>
      <c r="O12" s="112"/>
      <c r="P12" s="112"/>
      <c r="Q12" s="112"/>
      <c r="R12" s="113"/>
      <c r="S12" s="111"/>
      <c r="T12" s="112"/>
      <c r="U12" s="112"/>
      <c r="V12" s="112"/>
      <c r="W12" s="114"/>
      <c r="X12" s="111"/>
      <c r="Y12" s="114"/>
      <c r="Z12" s="115"/>
      <c r="AB12" s="111"/>
      <c r="AC12" s="111"/>
      <c r="AD12" s="110"/>
      <c r="AE12" s="110"/>
    </row>
    <row r="13" spans="1:32" s="88" customFormat="1" ht="30" customHeight="1" x14ac:dyDescent="0.25">
      <c r="A13" s="95">
        <f t="shared" si="0"/>
        <v>5</v>
      </c>
      <c r="B13" s="103"/>
      <c r="C13" s="97"/>
      <c r="D13" s="103"/>
      <c r="E13" s="97"/>
      <c r="F13" s="315"/>
      <c r="G13" s="111"/>
      <c r="H13" s="112"/>
      <c r="I13" s="112"/>
      <c r="J13" s="113"/>
      <c r="K13" s="112"/>
      <c r="L13" s="112"/>
      <c r="M13" s="112"/>
      <c r="N13" s="111"/>
      <c r="O13" s="112"/>
      <c r="P13" s="112"/>
      <c r="Q13" s="112"/>
      <c r="R13" s="113"/>
      <c r="S13" s="111"/>
      <c r="T13" s="112"/>
      <c r="U13" s="112"/>
      <c r="V13" s="112"/>
      <c r="W13" s="114"/>
      <c r="X13" s="111"/>
      <c r="Y13" s="114"/>
      <c r="Z13" s="115"/>
      <c r="AB13" s="111"/>
      <c r="AC13" s="111"/>
      <c r="AD13" s="110"/>
      <c r="AE13" s="110"/>
    </row>
    <row r="14" spans="1:32" s="88" customFormat="1" ht="30" customHeight="1" x14ac:dyDescent="0.25">
      <c r="A14" s="95">
        <f t="shared" si="0"/>
        <v>6</v>
      </c>
      <c r="B14" s="103"/>
      <c r="C14" s="97"/>
      <c r="D14" s="103"/>
      <c r="E14" s="97"/>
      <c r="F14" s="315"/>
      <c r="G14" s="111"/>
      <c r="H14" s="112"/>
      <c r="I14" s="112"/>
      <c r="J14" s="113"/>
      <c r="K14" s="112"/>
      <c r="L14" s="112"/>
      <c r="M14" s="112"/>
      <c r="N14" s="111"/>
      <c r="O14" s="112"/>
      <c r="P14" s="112"/>
      <c r="Q14" s="112"/>
      <c r="R14" s="113"/>
      <c r="S14" s="111"/>
      <c r="T14" s="112"/>
      <c r="U14" s="112"/>
      <c r="V14" s="112"/>
      <c r="W14" s="114"/>
      <c r="X14" s="111"/>
      <c r="Y14" s="114"/>
      <c r="Z14" s="115"/>
      <c r="AB14" s="111"/>
      <c r="AC14" s="111"/>
      <c r="AD14" s="110"/>
      <c r="AE14" s="110"/>
    </row>
    <row r="15" spans="1:32" s="88" customFormat="1" ht="30" customHeight="1" x14ac:dyDescent="0.25">
      <c r="A15" s="95">
        <f t="shared" si="0"/>
        <v>7</v>
      </c>
      <c r="B15" s="103"/>
      <c r="C15" s="97"/>
      <c r="D15" s="103"/>
      <c r="E15" s="97"/>
      <c r="F15" s="315"/>
      <c r="G15" s="111"/>
      <c r="H15" s="112"/>
      <c r="I15" s="112"/>
      <c r="J15" s="113"/>
      <c r="K15" s="112"/>
      <c r="L15" s="112"/>
      <c r="M15" s="112"/>
      <c r="N15" s="111"/>
      <c r="O15" s="112"/>
      <c r="P15" s="112"/>
      <c r="Q15" s="112"/>
      <c r="R15" s="113"/>
      <c r="S15" s="111"/>
      <c r="T15" s="112"/>
      <c r="U15" s="112"/>
      <c r="V15" s="112"/>
      <c r="W15" s="114"/>
      <c r="X15" s="111"/>
      <c r="Y15" s="114"/>
      <c r="Z15" s="115"/>
      <c r="AB15" s="111"/>
      <c r="AC15" s="111"/>
      <c r="AD15" s="110"/>
      <c r="AE15" s="110"/>
    </row>
    <row r="16" spans="1:32" s="88" customFormat="1" ht="30" customHeight="1" x14ac:dyDescent="0.25">
      <c r="A16" s="95">
        <f t="shared" si="0"/>
        <v>8</v>
      </c>
      <c r="B16" s="103"/>
      <c r="C16" s="97"/>
      <c r="D16" s="103"/>
      <c r="E16" s="103"/>
      <c r="F16" s="316"/>
      <c r="G16" s="111"/>
      <c r="H16" s="112"/>
      <c r="I16" s="112"/>
      <c r="J16" s="113"/>
      <c r="K16" s="112"/>
      <c r="L16" s="112"/>
      <c r="M16" s="112"/>
      <c r="N16" s="111"/>
      <c r="O16" s="112"/>
      <c r="P16" s="112"/>
      <c r="Q16" s="112"/>
      <c r="R16" s="113"/>
      <c r="S16" s="111"/>
      <c r="T16" s="112"/>
      <c r="U16" s="112"/>
      <c r="V16" s="112"/>
      <c r="W16" s="114"/>
      <c r="X16" s="111"/>
      <c r="Y16" s="114"/>
      <c r="Z16" s="115"/>
      <c r="AB16" s="111"/>
      <c r="AC16" s="111"/>
      <c r="AD16" s="110"/>
      <c r="AE16" s="110"/>
    </row>
    <row r="17" spans="1:31" s="88" customFormat="1" ht="30" customHeight="1" x14ac:dyDescent="0.25">
      <c r="A17" s="95">
        <f t="shared" si="0"/>
        <v>9</v>
      </c>
      <c r="B17" s="103"/>
      <c r="C17" s="97"/>
      <c r="D17" s="103"/>
      <c r="E17" s="103"/>
      <c r="F17" s="316"/>
      <c r="G17" s="111"/>
      <c r="H17" s="112"/>
      <c r="I17" s="112"/>
      <c r="J17" s="113"/>
      <c r="K17" s="112"/>
      <c r="L17" s="112"/>
      <c r="M17" s="112"/>
      <c r="N17" s="111"/>
      <c r="O17" s="112"/>
      <c r="P17" s="112"/>
      <c r="Q17" s="112"/>
      <c r="R17" s="113"/>
      <c r="S17" s="111"/>
      <c r="T17" s="112"/>
      <c r="U17" s="112"/>
      <c r="V17" s="112"/>
      <c r="W17" s="114"/>
      <c r="X17" s="111"/>
      <c r="Y17" s="114"/>
      <c r="Z17" s="115"/>
      <c r="AB17" s="111"/>
      <c r="AC17" s="111"/>
      <c r="AD17" s="110"/>
      <c r="AE17" s="110"/>
    </row>
    <row r="18" spans="1:31" s="88" customFormat="1" ht="30" customHeight="1" thickBot="1" x14ac:dyDescent="0.3">
      <c r="A18" s="95">
        <f t="shared" si="0"/>
        <v>10</v>
      </c>
      <c r="B18" s="103"/>
      <c r="C18" s="97"/>
      <c r="D18" s="103"/>
      <c r="E18" s="103"/>
      <c r="F18" s="110"/>
      <c r="G18" s="111"/>
      <c r="H18" s="112"/>
      <c r="I18" s="112"/>
      <c r="J18" s="113"/>
      <c r="K18" s="112"/>
      <c r="L18" s="112"/>
      <c r="M18" s="112"/>
      <c r="N18" s="111"/>
      <c r="O18" s="112"/>
      <c r="P18" s="112"/>
      <c r="Q18" s="112"/>
      <c r="R18" s="113"/>
      <c r="S18" s="111"/>
      <c r="T18" s="112"/>
      <c r="U18" s="112"/>
      <c r="V18" s="112"/>
      <c r="W18" s="114"/>
      <c r="X18" s="111"/>
      <c r="Y18" s="114"/>
      <c r="Z18" s="115"/>
      <c r="AB18" s="111"/>
      <c r="AC18" s="111"/>
      <c r="AD18" s="110"/>
      <c r="AE18" s="110"/>
    </row>
    <row r="19" spans="1:31" s="5" customFormat="1" ht="18.75" customHeight="1" x14ac:dyDescent="0.2">
      <c r="A19" s="74" t="s">
        <v>106</v>
      </c>
      <c r="B19" s="2"/>
      <c r="C19" s="161"/>
      <c r="D19" s="2"/>
      <c r="E19" s="2"/>
      <c r="F19" s="2"/>
      <c r="G19" s="2"/>
      <c r="H19" s="2"/>
      <c r="I19" s="2"/>
      <c r="J19" s="84"/>
      <c r="K19" s="3"/>
      <c r="L19" s="3"/>
      <c r="M19" s="2"/>
      <c r="N19" s="163" t="s">
        <v>110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4"/>
      <c r="AB19" s="636" t="s">
        <v>50</v>
      </c>
      <c r="AC19" s="637"/>
      <c r="AD19" s="637"/>
      <c r="AE19" s="638"/>
    </row>
    <row r="20" spans="1:31" s="17" customFormat="1" ht="12" customHeight="1" x14ac:dyDescent="0.2">
      <c r="A20" s="137" t="s">
        <v>8</v>
      </c>
      <c r="B20" s="138" t="s">
        <v>91</v>
      </c>
      <c r="C20" s="162"/>
      <c r="D20" s="138" t="s">
        <v>133</v>
      </c>
      <c r="E20" s="138"/>
      <c r="J20" s="76"/>
      <c r="K20" s="85"/>
      <c r="L20" s="76"/>
      <c r="N20" s="164" t="s">
        <v>8</v>
      </c>
      <c r="O20" s="160" t="s">
        <v>112</v>
      </c>
      <c r="P20" s="135"/>
      <c r="Z20" s="77"/>
      <c r="AB20" s="463"/>
      <c r="AC20" s="639"/>
      <c r="AD20" s="639"/>
      <c r="AE20" s="77"/>
    </row>
    <row r="21" spans="1:31" s="17" customFormat="1" ht="12" customHeight="1" x14ac:dyDescent="0.2">
      <c r="A21" s="75"/>
      <c r="B21" s="138" t="s">
        <v>107</v>
      </c>
      <c r="C21" s="162"/>
      <c r="D21" s="138" t="s">
        <v>165</v>
      </c>
      <c r="E21" s="138"/>
      <c r="J21" s="76"/>
      <c r="K21" s="85"/>
      <c r="L21" s="76"/>
      <c r="N21" s="164" t="s">
        <v>9</v>
      </c>
      <c r="O21" s="160" t="s">
        <v>113</v>
      </c>
      <c r="P21" s="135"/>
      <c r="Z21" s="77"/>
      <c r="AB21" s="87" t="s">
        <v>10</v>
      </c>
      <c r="AC21" s="640"/>
      <c r="AD21" s="640"/>
      <c r="AE21" s="77"/>
    </row>
    <row r="22" spans="1:31" s="17" customFormat="1" ht="12" customHeight="1" x14ac:dyDescent="0.2">
      <c r="A22" s="75"/>
      <c r="B22" s="138" t="s">
        <v>108</v>
      </c>
      <c r="C22" s="162"/>
      <c r="D22" s="138" t="s">
        <v>168</v>
      </c>
      <c r="E22" s="138"/>
      <c r="N22" s="164" t="s">
        <v>11</v>
      </c>
      <c r="O22" s="160" t="s">
        <v>164</v>
      </c>
      <c r="P22" s="135"/>
      <c r="Z22" s="77"/>
      <c r="AB22" s="86" t="s">
        <v>173</v>
      </c>
      <c r="AC22" s="640"/>
      <c r="AD22" s="640"/>
      <c r="AE22" s="77"/>
    </row>
    <row r="23" spans="1:31" s="17" customFormat="1" ht="12" customHeight="1" x14ac:dyDescent="0.2">
      <c r="A23" s="137" t="s">
        <v>9</v>
      </c>
      <c r="B23" s="138" t="s">
        <v>109</v>
      </c>
      <c r="C23" s="162"/>
      <c r="N23" s="164" t="s">
        <v>12</v>
      </c>
      <c r="O23" s="160" t="s">
        <v>36</v>
      </c>
      <c r="P23" s="135"/>
      <c r="Z23" s="77"/>
      <c r="AB23" s="86" t="s">
        <v>174</v>
      </c>
      <c r="AC23" s="640"/>
      <c r="AD23" s="640"/>
      <c r="AE23" s="77"/>
    </row>
    <row r="24" spans="1:31" s="17" customFormat="1" ht="12" customHeight="1" x14ac:dyDescent="0.2">
      <c r="A24" s="137" t="s">
        <v>11</v>
      </c>
      <c r="B24" s="457" t="s">
        <v>123</v>
      </c>
      <c r="C24" s="477"/>
      <c r="J24" s="7"/>
      <c r="K24" s="52"/>
      <c r="L24" s="76"/>
      <c r="M24" s="78"/>
      <c r="N24" s="164" t="s">
        <v>13</v>
      </c>
      <c r="O24" s="160" t="s">
        <v>32</v>
      </c>
      <c r="P24" s="135"/>
      <c r="R24" s="76"/>
      <c r="V24" s="76"/>
      <c r="W24" s="78"/>
      <c r="Z24" s="77"/>
      <c r="AB24" s="86"/>
      <c r="AC24" s="640"/>
      <c r="AD24" s="640"/>
      <c r="AE24" s="77"/>
    </row>
    <row r="25" spans="1:31" s="17" customFormat="1" ht="12" customHeight="1" x14ac:dyDescent="0.2">
      <c r="A25" s="143"/>
      <c r="B25" s="457"/>
      <c r="C25" s="477"/>
      <c r="D25" s="7" t="s">
        <v>116</v>
      </c>
      <c r="E25" s="7"/>
      <c r="J25" s="76"/>
      <c r="K25" s="85"/>
      <c r="L25" s="76"/>
      <c r="M25" s="78"/>
      <c r="N25" s="164" t="s">
        <v>111</v>
      </c>
      <c r="O25" s="160" t="s">
        <v>114</v>
      </c>
      <c r="P25" s="135"/>
      <c r="R25" s="76"/>
      <c r="V25" s="76"/>
      <c r="W25" s="78"/>
      <c r="Z25" s="77"/>
      <c r="AB25" s="87" t="s">
        <v>19</v>
      </c>
      <c r="AC25" s="640"/>
      <c r="AD25" s="641"/>
      <c r="AE25" s="77"/>
    </row>
    <row r="26" spans="1:31" s="17" customFormat="1" ht="12.75" customHeight="1" x14ac:dyDescent="0.2">
      <c r="A26" s="143"/>
      <c r="B26" s="457"/>
      <c r="C26" s="477"/>
      <c r="J26" s="76"/>
      <c r="K26" s="85"/>
      <c r="L26" s="76"/>
      <c r="M26" s="78"/>
      <c r="N26" s="165"/>
      <c r="O26" s="142"/>
      <c r="P26" s="135"/>
      <c r="R26" s="76"/>
      <c r="V26" s="76"/>
      <c r="W26" s="78"/>
      <c r="Z26" s="77"/>
      <c r="AB26" s="86" t="s">
        <v>175</v>
      </c>
      <c r="AC26" s="640"/>
      <c r="AD26" s="641"/>
      <c r="AE26" s="77"/>
    </row>
    <row r="27" spans="1:31" s="17" customFormat="1" ht="12" customHeight="1" x14ac:dyDescent="0.2">
      <c r="A27" s="137" t="s">
        <v>12</v>
      </c>
      <c r="B27" s="457" t="s">
        <v>124</v>
      </c>
      <c r="C27" s="477"/>
      <c r="D27" s="7" t="s">
        <v>44</v>
      </c>
      <c r="E27" s="7"/>
      <c r="J27" s="76"/>
      <c r="K27" s="85"/>
      <c r="L27" s="76"/>
      <c r="M27" s="78"/>
      <c r="N27" s="166" t="s">
        <v>46</v>
      </c>
      <c r="R27" s="76"/>
      <c r="V27" s="76"/>
      <c r="W27" s="78"/>
      <c r="Z27" s="77"/>
      <c r="AB27" s="86" t="s">
        <v>176</v>
      </c>
      <c r="AC27" s="640"/>
      <c r="AD27" s="640"/>
      <c r="AE27" s="77"/>
    </row>
    <row r="28" spans="1:31" s="17" customFormat="1" ht="12" customHeight="1" x14ac:dyDescent="0.2">
      <c r="A28" s="143"/>
      <c r="B28" s="457"/>
      <c r="C28" s="477"/>
      <c r="D28" s="144" t="s">
        <v>166</v>
      </c>
      <c r="E28" s="144"/>
      <c r="J28" s="76"/>
      <c r="K28" s="85"/>
      <c r="L28" s="76"/>
      <c r="M28" s="78"/>
      <c r="N28" s="151" t="s">
        <v>47</v>
      </c>
      <c r="V28" s="76"/>
      <c r="W28" s="78"/>
      <c r="Z28" s="77"/>
      <c r="AB28" s="143"/>
      <c r="AC28" s="640"/>
      <c r="AD28" s="640"/>
      <c r="AE28" s="77"/>
    </row>
    <row r="29" spans="1:31" s="17" customFormat="1" ht="12" customHeight="1" x14ac:dyDescent="0.2">
      <c r="A29" s="143"/>
      <c r="B29" s="457"/>
      <c r="C29" s="477"/>
      <c r="D29" s="144" t="s">
        <v>45</v>
      </c>
      <c r="E29" s="144"/>
      <c r="J29" s="76"/>
      <c r="N29" s="151" t="s">
        <v>48</v>
      </c>
      <c r="V29" s="76"/>
      <c r="W29" s="78"/>
      <c r="Z29" s="77"/>
      <c r="AB29" s="86"/>
      <c r="AC29" s="640"/>
      <c r="AD29" s="640"/>
      <c r="AE29" s="77"/>
    </row>
    <row r="30" spans="1:31" s="17" customFormat="1" ht="12" customHeight="1" x14ac:dyDescent="0.2">
      <c r="A30" s="137" t="s">
        <v>13</v>
      </c>
      <c r="B30" s="457" t="s">
        <v>117</v>
      </c>
      <c r="C30" s="477"/>
      <c r="J30" s="76"/>
      <c r="N30" s="151" t="s">
        <v>49</v>
      </c>
      <c r="V30" s="76"/>
      <c r="W30" s="78"/>
      <c r="Z30" s="77"/>
      <c r="AB30" s="86"/>
      <c r="AC30" s="642"/>
      <c r="AD30" s="642"/>
      <c r="AE30" s="77"/>
    </row>
    <row r="31" spans="1:31" s="17" customFormat="1" ht="12.75" customHeight="1" thickBot="1" x14ac:dyDescent="0.25">
      <c r="A31" s="79"/>
      <c r="B31" s="480"/>
      <c r="C31" s="481"/>
      <c r="D31" s="80"/>
      <c r="E31" s="80"/>
      <c r="F31" s="80"/>
      <c r="G31" s="80"/>
      <c r="H31" s="80"/>
      <c r="I31" s="80"/>
      <c r="J31" s="81"/>
      <c r="K31" s="80"/>
      <c r="L31" s="80"/>
      <c r="M31" s="80"/>
      <c r="N31" s="167"/>
      <c r="O31" s="80"/>
      <c r="P31" s="80"/>
      <c r="Q31" s="80"/>
      <c r="R31" s="80"/>
      <c r="S31" s="80"/>
      <c r="T31" s="80"/>
      <c r="U31" s="80"/>
      <c r="V31" s="81"/>
      <c r="W31" s="82"/>
      <c r="X31" s="80"/>
      <c r="Y31" s="80"/>
      <c r="Z31" s="83"/>
      <c r="AB31" s="79"/>
      <c r="AC31" s="80"/>
      <c r="AD31" s="80"/>
      <c r="AE31" s="83"/>
    </row>
    <row r="32" spans="1:31" s="133" customFormat="1" ht="18" customHeight="1" x14ac:dyDescent="0.2">
      <c r="A32" s="134" t="s">
        <v>301</v>
      </c>
      <c r="B32" s="145"/>
      <c r="C32" s="146"/>
      <c r="J32" s="147"/>
      <c r="V32" s="147"/>
      <c r="W32" s="148"/>
    </row>
    <row r="33" spans="1:31" s="18" customFormat="1" ht="15" customHeight="1" x14ac:dyDescent="0.2">
      <c r="A33" s="134" t="s">
        <v>122</v>
      </c>
      <c r="C33" s="19"/>
    </row>
    <row r="34" spans="1:31" s="18" customFormat="1" ht="7.5" customHeight="1" x14ac:dyDescent="0.2">
      <c r="C34" s="19"/>
    </row>
    <row r="35" spans="1:31" s="88" customFormat="1" ht="15" x14ac:dyDescent="0.25">
      <c r="B35" s="88" t="s">
        <v>53</v>
      </c>
      <c r="C35" s="89"/>
      <c r="F35" s="88" t="s">
        <v>54</v>
      </c>
      <c r="Y35" s="88" t="s">
        <v>55</v>
      </c>
    </row>
    <row r="36" spans="1:31" s="18" customFormat="1" ht="16.5" customHeight="1" x14ac:dyDescent="0.2">
      <c r="C36" s="19"/>
    </row>
    <row r="37" spans="1:31" s="18" customFormat="1" ht="18" customHeight="1" x14ac:dyDescent="0.2">
      <c r="C37" s="19"/>
    </row>
    <row r="38" spans="1:31" s="18" customFormat="1" ht="17.25" customHeight="1" x14ac:dyDescent="0.2">
      <c r="B38" s="90"/>
      <c r="C38" s="19"/>
      <c r="F38" s="90"/>
      <c r="G38" s="90"/>
      <c r="H38" s="90"/>
      <c r="I38" s="90"/>
      <c r="J38" s="90"/>
      <c r="K38" s="90"/>
      <c r="L38" s="90"/>
      <c r="M38" s="90"/>
      <c r="Y38" s="90"/>
      <c r="Z38" s="90"/>
      <c r="AA38" s="90"/>
      <c r="AB38" s="90"/>
      <c r="AC38" s="90"/>
    </row>
    <row r="39" spans="1:31" s="18" customFormat="1" ht="18" customHeight="1" x14ac:dyDescent="0.2">
      <c r="B39" s="18" t="s">
        <v>56</v>
      </c>
      <c r="C39" s="19"/>
      <c r="F39" s="18" t="s">
        <v>56</v>
      </c>
      <c r="Y39" s="18" t="s">
        <v>57</v>
      </c>
    </row>
    <row r="40" spans="1:31" s="18" customFormat="1" ht="15.75" customHeight="1" x14ac:dyDescent="0.2">
      <c r="B40" s="18" t="s">
        <v>58</v>
      </c>
      <c r="C40" s="19"/>
      <c r="F40" s="18" t="s">
        <v>59</v>
      </c>
      <c r="Y40" s="18" t="s">
        <v>58</v>
      </c>
    </row>
    <row r="41" spans="1:31" ht="8.25" customHeight="1" x14ac:dyDescent="0.2"/>
    <row r="42" spans="1:31" s="88" customFormat="1" ht="30" customHeight="1" x14ac:dyDescent="0.25">
      <c r="A42" s="95">
        <v>11</v>
      </c>
      <c r="B42" s="103"/>
      <c r="C42" s="97"/>
      <c r="D42" s="103"/>
      <c r="E42" s="97"/>
      <c r="F42" s="315"/>
      <c r="G42" s="111"/>
      <c r="H42" s="112"/>
      <c r="I42" s="112"/>
      <c r="J42" s="113"/>
      <c r="K42" s="112"/>
      <c r="L42" s="112"/>
      <c r="M42" s="112"/>
      <c r="N42" s="111"/>
      <c r="O42" s="112"/>
      <c r="P42" s="112"/>
      <c r="Q42" s="112"/>
      <c r="R42" s="113"/>
      <c r="S42" s="111"/>
      <c r="T42" s="112"/>
      <c r="U42" s="112"/>
      <c r="V42" s="112"/>
      <c r="W42" s="114"/>
      <c r="X42" s="111"/>
      <c r="Y42" s="114"/>
      <c r="Z42" s="115"/>
      <c r="AB42" s="111"/>
      <c r="AC42" s="111"/>
      <c r="AD42" s="110"/>
      <c r="AE42" s="110"/>
    </row>
    <row r="43" spans="1:31" s="88" customFormat="1" ht="30" customHeight="1" x14ac:dyDescent="0.25">
      <c r="A43" s="95">
        <f>A42+1</f>
        <v>12</v>
      </c>
      <c r="B43" s="103"/>
      <c r="C43" s="97"/>
      <c r="D43" s="103"/>
      <c r="E43" s="97"/>
      <c r="F43" s="315"/>
      <c r="G43" s="111"/>
      <c r="H43" s="112"/>
      <c r="I43" s="112"/>
      <c r="J43" s="113"/>
      <c r="K43" s="112"/>
      <c r="L43" s="112"/>
      <c r="M43" s="112"/>
      <c r="N43" s="111"/>
      <c r="O43" s="112"/>
      <c r="P43" s="112"/>
      <c r="Q43" s="112"/>
      <c r="R43" s="113"/>
      <c r="S43" s="111"/>
      <c r="T43" s="112"/>
      <c r="U43" s="112"/>
      <c r="V43" s="112"/>
      <c r="W43" s="114"/>
      <c r="X43" s="111"/>
      <c r="Y43" s="114"/>
      <c r="Z43" s="115"/>
      <c r="AB43" s="111"/>
      <c r="AC43" s="111"/>
      <c r="AD43" s="110"/>
      <c r="AE43" s="110"/>
    </row>
    <row r="44" spans="1:31" s="88" customFormat="1" ht="30" customHeight="1" x14ac:dyDescent="0.25">
      <c r="A44" s="95">
        <f t="shared" ref="A44:A51" si="1">A43+1</f>
        <v>13</v>
      </c>
      <c r="B44" s="103"/>
      <c r="C44" s="97"/>
      <c r="D44" s="103"/>
      <c r="E44" s="97"/>
      <c r="F44" s="315"/>
      <c r="G44" s="111"/>
      <c r="H44" s="112"/>
      <c r="I44" s="112"/>
      <c r="J44" s="113"/>
      <c r="K44" s="112"/>
      <c r="L44" s="112"/>
      <c r="M44" s="112"/>
      <c r="N44" s="111"/>
      <c r="O44" s="112"/>
      <c r="P44" s="112"/>
      <c r="Q44" s="112"/>
      <c r="R44" s="113"/>
      <c r="S44" s="111"/>
      <c r="T44" s="112"/>
      <c r="U44" s="112"/>
      <c r="V44" s="112"/>
      <c r="W44" s="114"/>
      <c r="X44" s="111"/>
      <c r="Y44" s="114"/>
      <c r="Z44" s="115"/>
      <c r="AB44" s="111"/>
      <c r="AC44" s="111"/>
      <c r="AD44" s="110"/>
      <c r="AE44" s="110"/>
    </row>
    <row r="45" spans="1:31" s="88" customFormat="1" ht="30" customHeight="1" x14ac:dyDescent="0.25">
      <c r="A45" s="95">
        <f t="shared" si="1"/>
        <v>14</v>
      </c>
      <c r="B45" s="103"/>
      <c r="C45" s="97"/>
      <c r="D45" s="103"/>
      <c r="E45" s="97"/>
      <c r="F45" s="315"/>
      <c r="G45" s="111"/>
      <c r="H45" s="112"/>
      <c r="I45" s="112"/>
      <c r="J45" s="113"/>
      <c r="K45" s="112"/>
      <c r="L45" s="112"/>
      <c r="M45" s="112"/>
      <c r="N45" s="111"/>
      <c r="O45" s="112"/>
      <c r="P45" s="112"/>
      <c r="Q45" s="112"/>
      <c r="R45" s="113"/>
      <c r="S45" s="111"/>
      <c r="T45" s="112"/>
      <c r="U45" s="112"/>
      <c r="V45" s="112"/>
      <c r="W45" s="114"/>
      <c r="X45" s="111"/>
      <c r="Y45" s="114"/>
      <c r="Z45" s="115"/>
      <c r="AB45" s="111"/>
      <c r="AC45" s="111"/>
      <c r="AD45" s="110"/>
      <c r="AE45" s="110"/>
    </row>
    <row r="46" spans="1:31" s="88" customFormat="1" ht="30" customHeight="1" x14ac:dyDescent="0.25">
      <c r="A46" s="95">
        <f t="shared" si="1"/>
        <v>15</v>
      </c>
      <c r="B46" s="103"/>
      <c r="C46" s="97"/>
      <c r="D46" s="103"/>
      <c r="E46" s="97"/>
      <c r="F46" s="315"/>
      <c r="G46" s="111"/>
      <c r="H46" s="112"/>
      <c r="I46" s="112"/>
      <c r="J46" s="113"/>
      <c r="K46" s="112"/>
      <c r="L46" s="112"/>
      <c r="M46" s="112"/>
      <c r="N46" s="111"/>
      <c r="O46" s="112"/>
      <c r="P46" s="112"/>
      <c r="Q46" s="112"/>
      <c r="R46" s="113"/>
      <c r="S46" s="111"/>
      <c r="T46" s="112"/>
      <c r="U46" s="112"/>
      <c r="V46" s="112"/>
      <c r="W46" s="114"/>
      <c r="X46" s="111"/>
      <c r="Y46" s="114"/>
      <c r="Z46" s="115"/>
      <c r="AB46" s="111"/>
      <c r="AC46" s="111"/>
      <c r="AD46" s="110"/>
      <c r="AE46" s="110"/>
    </row>
    <row r="47" spans="1:31" s="88" customFormat="1" ht="30" customHeight="1" x14ac:dyDescent="0.25">
      <c r="A47" s="95">
        <f t="shared" si="1"/>
        <v>16</v>
      </c>
      <c r="B47" s="103"/>
      <c r="C47" s="97"/>
      <c r="D47" s="103"/>
      <c r="E47" s="97"/>
      <c r="F47" s="315"/>
      <c r="G47" s="111"/>
      <c r="H47" s="112"/>
      <c r="I47" s="112"/>
      <c r="J47" s="113"/>
      <c r="K47" s="112"/>
      <c r="L47" s="112"/>
      <c r="M47" s="112"/>
      <c r="N47" s="111"/>
      <c r="O47" s="112"/>
      <c r="P47" s="112"/>
      <c r="Q47" s="112"/>
      <c r="R47" s="113"/>
      <c r="S47" s="111"/>
      <c r="T47" s="112"/>
      <c r="U47" s="112"/>
      <c r="V47" s="112"/>
      <c r="W47" s="114"/>
      <c r="X47" s="111"/>
      <c r="Y47" s="114"/>
      <c r="Z47" s="115"/>
      <c r="AB47" s="111"/>
      <c r="AC47" s="111"/>
      <c r="AD47" s="110"/>
      <c r="AE47" s="110"/>
    </row>
    <row r="48" spans="1:31" s="88" customFormat="1" ht="30" customHeight="1" x14ac:dyDescent="0.25">
      <c r="A48" s="95">
        <f t="shared" si="1"/>
        <v>17</v>
      </c>
      <c r="B48" s="103"/>
      <c r="C48" s="97"/>
      <c r="D48" s="103"/>
      <c r="E48" s="97"/>
      <c r="F48" s="315"/>
      <c r="G48" s="111"/>
      <c r="H48" s="112"/>
      <c r="I48" s="112"/>
      <c r="J48" s="113"/>
      <c r="K48" s="112"/>
      <c r="L48" s="112"/>
      <c r="M48" s="112"/>
      <c r="N48" s="111"/>
      <c r="O48" s="112"/>
      <c r="P48" s="112"/>
      <c r="Q48" s="112"/>
      <c r="R48" s="113"/>
      <c r="S48" s="111"/>
      <c r="T48" s="112"/>
      <c r="U48" s="112"/>
      <c r="V48" s="112"/>
      <c r="W48" s="114"/>
      <c r="X48" s="111"/>
      <c r="Y48" s="114"/>
      <c r="Z48" s="115"/>
      <c r="AB48" s="111"/>
      <c r="AC48" s="111"/>
      <c r="AD48" s="110"/>
      <c r="AE48" s="110"/>
    </row>
    <row r="49" spans="1:31" s="88" customFormat="1" ht="30" customHeight="1" x14ac:dyDescent="0.25">
      <c r="A49" s="95">
        <f t="shared" si="1"/>
        <v>18</v>
      </c>
      <c r="B49" s="103"/>
      <c r="C49" s="97"/>
      <c r="D49" s="103"/>
      <c r="E49" s="97"/>
      <c r="F49" s="315"/>
      <c r="G49" s="111"/>
      <c r="H49" s="112"/>
      <c r="I49" s="112"/>
      <c r="J49" s="113"/>
      <c r="K49" s="112"/>
      <c r="L49" s="112"/>
      <c r="M49" s="112"/>
      <c r="N49" s="111"/>
      <c r="O49" s="112"/>
      <c r="P49" s="112"/>
      <c r="Q49" s="112"/>
      <c r="R49" s="113"/>
      <c r="S49" s="111"/>
      <c r="T49" s="112"/>
      <c r="U49" s="112"/>
      <c r="V49" s="112"/>
      <c r="W49" s="114"/>
      <c r="X49" s="111"/>
      <c r="Y49" s="114"/>
      <c r="Z49" s="115"/>
      <c r="AB49" s="111"/>
      <c r="AC49" s="111"/>
      <c r="AD49" s="110"/>
      <c r="AE49" s="110"/>
    </row>
    <row r="50" spans="1:31" s="88" customFormat="1" ht="30" customHeight="1" x14ac:dyDescent="0.25">
      <c r="A50" s="95">
        <f t="shared" si="1"/>
        <v>19</v>
      </c>
      <c r="B50" s="103"/>
      <c r="C50" s="97"/>
      <c r="D50" s="103"/>
      <c r="E50" s="97"/>
      <c r="F50" s="315"/>
      <c r="G50" s="111"/>
      <c r="H50" s="112"/>
      <c r="I50" s="112"/>
      <c r="J50" s="113"/>
      <c r="K50" s="112"/>
      <c r="L50" s="112"/>
      <c r="M50" s="112"/>
      <c r="N50" s="111"/>
      <c r="O50" s="112"/>
      <c r="P50" s="112"/>
      <c r="Q50" s="112"/>
      <c r="R50" s="113"/>
      <c r="S50" s="111"/>
      <c r="T50" s="112"/>
      <c r="U50" s="112"/>
      <c r="V50" s="112"/>
      <c r="W50" s="114"/>
      <c r="X50" s="111"/>
      <c r="Y50" s="114"/>
      <c r="Z50" s="115"/>
      <c r="AB50" s="111"/>
      <c r="AC50" s="111"/>
      <c r="AD50" s="110"/>
      <c r="AE50" s="110"/>
    </row>
    <row r="51" spans="1:31" s="88" customFormat="1" ht="30" customHeight="1" thickBot="1" x14ac:dyDescent="0.3">
      <c r="A51" s="95">
        <f t="shared" si="1"/>
        <v>20</v>
      </c>
      <c r="B51" s="103"/>
      <c r="C51" s="97"/>
      <c r="D51" s="103"/>
      <c r="E51" s="97"/>
      <c r="F51" s="315"/>
      <c r="G51" s="111"/>
      <c r="H51" s="112"/>
      <c r="I51" s="112"/>
      <c r="J51" s="113"/>
      <c r="K51" s="112"/>
      <c r="L51" s="112"/>
      <c r="M51" s="112"/>
      <c r="N51" s="111"/>
      <c r="O51" s="112"/>
      <c r="P51" s="112"/>
      <c r="Q51" s="112"/>
      <c r="R51" s="113"/>
      <c r="S51" s="111"/>
      <c r="T51" s="112"/>
      <c r="U51" s="112"/>
      <c r="V51" s="112"/>
      <c r="W51" s="114"/>
      <c r="X51" s="111"/>
      <c r="Y51" s="114"/>
      <c r="Z51" s="115"/>
      <c r="AB51" s="111"/>
      <c r="AC51" s="111"/>
      <c r="AD51" s="110"/>
      <c r="AE51" s="110"/>
    </row>
    <row r="52" spans="1:31" s="5" customFormat="1" ht="18.75" customHeight="1" x14ac:dyDescent="0.2">
      <c r="A52" s="74" t="s">
        <v>106</v>
      </c>
      <c r="B52" s="2"/>
      <c r="C52" s="161"/>
      <c r="D52" s="2"/>
      <c r="E52" s="2"/>
      <c r="F52" s="2"/>
      <c r="G52" s="2"/>
      <c r="H52" s="2"/>
      <c r="I52" s="2"/>
      <c r="J52" s="84"/>
      <c r="K52" s="3"/>
      <c r="L52" s="3"/>
      <c r="M52" s="2"/>
      <c r="N52" s="163" t="s">
        <v>110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4"/>
      <c r="AB52" s="636" t="s">
        <v>50</v>
      </c>
      <c r="AC52" s="637"/>
      <c r="AD52" s="637"/>
      <c r="AE52" s="638"/>
    </row>
    <row r="53" spans="1:31" s="17" customFormat="1" ht="12" customHeight="1" x14ac:dyDescent="0.2">
      <c r="A53" s="137" t="s">
        <v>8</v>
      </c>
      <c r="B53" s="138" t="s">
        <v>91</v>
      </c>
      <c r="C53" s="162"/>
      <c r="D53" s="138" t="s">
        <v>133</v>
      </c>
      <c r="E53" s="138"/>
      <c r="J53" s="76"/>
      <c r="K53" s="85"/>
      <c r="L53" s="76"/>
      <c r="N53" s="164" t="s">
        <v>8</v>
      </c>
      <c r="O53" s="160" t="s">
        <v>112</v>
      </c>
      <c r="P53" s="135"/>
      <c r="Z53" s="77"/>
      <c r="AB53" s="463"/>
      <c r="AC53" s="639"/>
      <c r="AD53" s="639"/>
      <c r="AE53" s="77"/>
    </row>
    <row r="54" spans="1:31" s="17" customFormat="1" ht="12" customHeight="1" x14ac:dyDescent="0.2">
      <c r="A54" s="75"/>
      <c r="B54" s="138" t="s">
        <v>107</v>
      </c>
      <c r="C54" s="162"/>
      <c r="D54" s="138" t="s">
        <v>165</v>
      </c>
      <c r="E54" s="138"/>
      <c r="J54" s="76"/>
      <c r="K54" s="85"/>
      <c r="L54" s="76"/>
      <c r="N54" s="164" t="s">
        <v>9</v>
      </c>
      <c r="O54" s="160" t="s">
        <v>113</v>
      </c>
      <c r="P54" s="135"/>
      <c r="Z54" s="77"/>
      <c r="AB54" s="87" t="s">
        <v>10</v>
      </c>
      <c r="AC54" s="640"/>
      <c r="AD54" s="640"/>
      <c r="AE54" s="77"/>
    </row>
    <row r="55" spans="1:31" s="17" customFormat="1" ht="12" customHeight="1" x14ac:dyDescent="0.2">
      <c r="A55" s="75"/>
      <c r="B55" s="138" t="s">
        <v>108</v>
      </c>
      <c r="C55" s="162"/>
      <c r="D55" s="138" t="s">
        <v>168</v>
      </c>
      <c r="E55" s="138"/>
      <c r="N55" s="164" t="s">
        <v>11</v>
      </c>
      <c r="O55" s="160" t="s">
        <v>164</v>
      </c>
      <c r="P55" s="135"/>
      <c r="Z55" s="77"/>
      <c r="AB55" s="86" t="s">
        <v>173</v>
      </c>
      <c r="AC55" s="640"/>
      <c r="AD55" s="640"/>
      <c r="AE55" s="77"/>
    </row>
    <row r="56" spans="1:31" s="17" customFormat="1" ht="12" customHeight="1" x14ac:dyDescent="0.2">
      <c r="A56" s="137" t="s">
        <v>9</v>
      </c>
      <c r="B56" s="138" t="s">
        <v>109</v>
      </c>
      <c r="C56" s="162"/>
      <c r="N56" s="164" t="s">
        <v>12</v>
      </c>
      <c r="O56" s="160" t="s">
        <v>36</v>
      </c>
      <c r="P56" s="135"/>
      <c r="Z56" s="77"/>
      <c r="AB56" s="86" t="s">
        <v>174</v>
      </c>
      <c r="AC56" s="640"/>
      <c r="AD56" s="640"/>
      <c r="AE56" s="77"/>
    </row>
    <row r="57" spans="1:31" s="17" customFormat="1" ht="12" customHeight="1" x14ac:dyDescent="0.2">
      <c r="A57" s="137" t="s">
        <v>11</v>
      </c>
      <c r="B57" s="457" t="s">
        <v>123</v>
      </c>
      <c r="C57" s="477"/>
      <c r="J57" s="7"/>
      <c r="K57" s="52"/>
      <c r="L57" s="76"/>
      <c r="M57" s="78"/>
      <c r="N57" s="164" t="s">
        <v>13</v>
      </c>
      <c r="O57" s="160" t="s">
        <v>32</v>
      </c>
      <c r="P57" s="135"/>
      <c r="R57" s="76"/>
      <c r="V57" s="76"/>
      <c r="W57" s="78"/>
      <c r="Z57" s="77"/>
      <c r="AB57" s="86"/>
      <c r="AC57" s="640"/>
      <c r="AD57" s="640"/>
      <c r="AE57" s="77"/>
    </row>
    <row r="58" spans="1:31" s="17" customFormat="1" ht="12" customHeight="1" x14ac:dyDescent="0.2">
      <c r="A58" s="143"/>
      <c r="B58" s="457"/>
      <c r="C58" s="477"/>
      <c r="D58" s="7" t="s">
        <v>116</v>
      </c>
      <c r="E58" s="7"/>
      <c r="J58" s="76"/>
      <c r="K58" s="85"/>
      <c r="L58" s="76"/>
      <c r="M58" s="78"/>
      <c r="N58" s="164" t="s">
        <v>111</v>
      </c>
      <c r="O58" s="160" t="s">
        <v>114</v>
      </c>
      <c r="P58" s="135"/>
      <c r="R58" s="76"/>
      <c r="V58" s="76"/>
      <c r="W58" s="78"/>
      <c r="Z58" s="77"/>
      <c r="AB58" s="87" t="s">
        <v>19</v>
      </c>
      <c r="AC58" s="640"/>
      <c r="AD58" s="641"/>
      <c r="AE58" s="77"/>
    </row>
    <row r="59" spans="1:31" s="17" customFormat="1" ht="12.75" customHeight="1" x14ac:dyDescent="0.2">
      <c r="A59" s="143"/>
      <c r="B59" s="457"/>
      <c r="C59" s="477"/>
      <c r="J59" s="76"/>
      <c r="K59" s="85"/>
      <c r="L59" s="76"/>
      <c r="M59" s="78"/>
      <c r="N59" s="165"/>
      <c r="O59" s="142"/>
      <c r="P59" s="135"/>
      <c r="R59" s="76"/>
      <c r="V59" s="76"/>
      <c r="W59" s="78"/>
      <c r="Z59" s="77"/>
      <c r="AB59" s="86" t="s">
        <v>175</v>
      </c>
      <c r="AC59" s="640"/>
      <c r="AD59" s="641"/>
      <c r="AE59" s="77"/>
    </row>
    <row r="60" spans="1:31" s="17" customFormat="1" ht="12" customHeight="1" x14ac:dyDescent="0.2">
      <c r="A60" s="137" t="s">
        <v>12</v>
      </c>
      <c r="B60" s="457" t="s">
        <v>124</v>
      </c>
      <c r="C60" s="477"/>
      <c r="D60" s="7" t="s">
        <v>44</v>
      </c>
      <c r="E60" s="7"/>
      <c r="J60" s="76"/>
      <c r="K60" s="85"/>
      <c r="L60" s="76"/>
      <c r="M60" s="78"/>
      <c r="N60" s="166" t="s">
        <v>46</v>
      </c>
      <c r="R60" s="76"/>
      <c r="V60" s="76"/>
      <c r="W60" s="78"/>
      <c r="Z60" s="77"/>
      <c r="AB60" s="86" t="s">
        <v>176</v>
      </c>
      <c r="AC60" s="640"/>
      <c r="AD60" s="640"/>
      <c r="AE60" s="77"/>
    </row>
    <row r="61" spans="1:31" s="17" customFormat="1" ht="12" customHeight="1" x14ac:dyDescent="0.2">
      <c r="A61" s="143"/>
      <c r="B61" s="457"/>
      <c r="C61" s="477"/>
      <c r="D61" s="144" t="s">
        <v>166</v>
      </c>
      <c r="E61" s="144"/>
      <c r="J61" s="76"/>
      <c r="K61" s="85"/>
      <c r="L61" s="76"/>
      <c r="M61" s="78"/>
      <c r="N61" s="151" t="s">
        <v>47</v>
      </c>
      <c r="V61" s="76"/>
      <c r="W61" s="78"/>
      <c r="Z61" s="77"/>
      <c r="AB61" s="143"/>
      <c r="AC61" s="640"/>
      <c r="AD61" s="640"/>
      <c r="AE61" s="77"/>
    </row>
    <row r="62" spans="1:31" s="17" customFormat="1" ht="12" customHeight="1" x14ac:dyDescent="0.2">
      <c r="A62" s="143"/>
      <c r="B62" s="457"/>
      <c r="C62" s="477"/>
      <c r="D62" s="144" t="s">
        <v>45</v>
      </c>
      <c r="E62" s="144"/>
      <c r="J62" s="76"/>
      <c r="N62" s="151" t="s">
        <v>48</v>
      </c>
      <c r="V62" s="76"/>
      <c r="W62" s="78"/>
      <c r="Z62" s="77"/>
      <c r="AB62" s="86"/>
      <c r="AC62" s="640"/>
      <c r="AD62" s="640"/>
      <c r="AE62" s="77"/>
    </row>
    <row r="63" spans="1:31" s="17" customFormat="1" ht="12" customHeight="1" x14ac:dyDescent="0.2">
      <c r="A63" s="137" t="s">
        <v>13</v>
      </c>
      <c r="B63" s="457" t="s">
        <v>117</v>
      </c>
      <c r="C63" s="477"/>
      <c r="J63" s="76"/>
      <c r="N63" s="151" t="s">
        <v>49</v>
      </c>
      <c r="V63" s="76"/>
      <c r="W63" s="78"/>
      <c r="Z63" s="77"/>
      <c r="AB63" s="86"/>
      <c r="AC63" s="642"/>
      <c r="AD63" s="642"/>
      <c r="AE63" s="77"/>
    </row>
    <row r="64" spans="1:31" s="17" customFormat="1" ht="12.75" customHeight="1" thickBot="1" x14ac:dyDescent="0.25">
      <c r="A64" s="79"/>
      <c r="B64" s="480"/>
      <c r="C64" s="481"/>
      <c r="D64" s="80"/>
      <c r="E64" s="80"/>
      <c r="F64" s="80"/>
      <c r="G64" s="80"/>
      <c r="H64" s="80"/>
      <c r="I64" s="80"/>
      <c r="J64" s="81"/>
      <c r="K64" s="80"/>
      <c r="L64" s="80"/>
      <c r="M64" s="80"/>
      <c r="N64" s="167"/>
      <c r="O64" s="80"/>
      <c r="P64" s="80"/>
      <c r="Q64" s="80"/>
      <c r="R64" s="80"/>
      <c r="S64" s="80"/>
      <c r="T64" s="80"/>
      <c r="U64" s="80"/>
      <c r="V64" s="81"/>
      <c r="W64" s="82"/>
      <c r="X64" s="80"/>
      <c r="Y64" s="80"/>
      <c r="Z64" s="83"/>
      <c r="AB64" s="79"/>
      <c r="AC64" s="80"/>
      <c r="AD64" s="80"/>
      <c r="AE64" s="83"/>
    </row>
    <row r="65" spans="1:31" s="133" customFormat="1" ht="18" customHeight="1" x14ac:dyDescent="0.2">
      <c r="A65" s="134" t="s">
        <v>119</v>
      </c>
      <c r="B65" s="145"/>
      <c r="C65" s="146"/>
      <c r="J65" s="147"/>
      <c r="V65" s="147"/>
      <c r="W65" s="148"/>
    </row>
    <row r="66" spans="1:31" s="18" customFormat="1" ht="15" customHeight="1" x14ac:dyDescent="0.2">
      <c r="A66" s="134" t="s">
        <v>122</v>
      </c>
      <c r="C66" s="19"/>
    </row>
    <row r="67" spans="1:31" s="18" customFormat="1" ht="7.5" customHeight="1" x14ac:dyDescent="0.2">
      <c r="C67" s="19"/>
    </row>
    <row r="68" spans="1:31" s="88" customFormat="1" ht="15" x14ac:dyDescent="0.25">
      <c r="B68" s="88" t="s">
        <v>53</v>
      </c>
      <c r="C68" s="89"/>
      <c r="F68" s="88" t="s">
        <v>54</v>
      </c>
      <c r="Y68" s="88" t="s">
        <v>55</v>
      </c>
    </row>
    <row r="69" spans="1:31" s="18" customFormat="1" ht="16.5" customHeight="1" x14ac:dyDescent="0.2">
      <c r="C69" s="19"/>
    </row>
    <row r="70" spans="1:31" s="18" customFormat="1" ht="18" customHeight="1" x14ac:dyDescent="0.2">
      <c r="C70" s="19"/>
    </row>
    <row r="71" spans="1:31" s="18" customFormat="1" ht="17.25" customHeight="1" x14ac:dyDescent="0.2">
      <c r="B71" s="90"/>
      <c r="C71" s="19"/>
      <c r="F71" s="90"/>
      <c r="G71" s="90"/>
      <c r="H71" s="90"/>
      <c r="I71" s="90"/>
      <c r="J71" s="90"/>
      <c r="K71" s="90"/>
      <c r="L71" s="90"/>
      <c r="M71" s="90"/>
      <c r="Y71" s="90"/>
      <c r="Z71" s="90"/>
      <c r="AA71" s="90"/>
      <c r="AB71" s="90"/>
      <c r="AC71" s="90"/>
    </row>
    <row r="72" spans="1:31" s="18" customFormat="1" ht="18" customHeight="1" x14ac:dyDescent="0.2">
      <c r="B72" s="18" t="s">
        <v>56</v>
      </c>
      <c r="C72" s="19"/>
      <c r="F72" s="18" t="s">
        <v>56</v>
      </c>
      <c r="Y72" s="18" t="s">
        <v>57</v>
      </c>
    </row>
    <row r="73" spans="1:31" s="18" customFormat="1" ht="15.75" customHeight="1" x14ac:dyDescent="0.2">
      <c r="B73" s="18" t="s">
        <v>58</v>
      </c>
      <c r="C73" s="19"/>
      <c r="F73" s="18" t="s">
        <v>59</v>
      </c>
      <c r="Y73" s="18" t="s">
        <v>58</v>
      </c>
    </row>
    <row r="74" spans="1:31" ht="8.25" customHeight="1" thickBot="1" x14ac:dyDescent="0.25"/>
    <row r="75" spans="1:31" s="88" customFormat="1" ht="30" customHeight="1" x14ac:dyDescent="0.25">
      <c r="A75" s="294">
        <v>21</v>
      </c>
      <c r="B75" s="295"/>
      <c r="C75" s="93"/>
      <c r="D75" s="295"/>
      <c r="E75" s="93"/>
      <c r="F75" s="319"/>
      <c r="G75" s="104"/>
      <c r="H75" s="105"/>
      <c r="I75" s="105"/>
      <c r="J75" s="106"/>
      <c r="K75" s="105"/>
      <c r="L75" s="105"/>
      <c r="M75" s="105"/>
      <c r="N75" s="104"/>
      <c r="O75" s="105"/>
      <c r="P75" s="105"/>
      <c r="Q75" s="105"/>
      <c r="R75" s="106"/>
      <c r="S75" s="104"/>
      <c r="T75" s="105"/>
      <c r="U75" s="105"/>
      <c r="V75" s="105"/>
      <c r="W75" s="107"/>
      <c r="X75" s="104"/>
      <c r="Y75" s="107"/>
      <c r="Z75" s="108"/>
      <c r="AB75" s="111"/>
      <c r="AC75" s="111"/>
      <c r="AD75" s="110"/>
      <c r="AE75" s="110"/>
    </row>
    <row r="76" spans="1:31" s="88" customFormat="1" ht="30" customHeight="1" x14ac:dyDescent="0.25">
      <c r="A76" s="95">
        <f>A75+1</f>
        <v>22</v>
      </c>
      <c r="B76" s="103"/>
      <c r="C76" s="97"/>
      <c r="D76" s="103"/>
      <c r="E76" s="97"/>
      <c r="F76" s="315"/>
      <c r="G76" s="111"/>
      <c r="H76" s="112"/>
      <c r="I76" s="112"/>
      <c r="J76" s="113"/>
      <c r="K76" s="112"/>
      <c r="L76" s="112"/>
      <c r="M76" s="112"/>
      <c r="N76" s="111"/>
      <c r="O76" s="112"/>
      <c r="P76" s="112"/>
      <c r="Q76" s="112"/>
      <c r="R76" s="113"/>
      <c r="S76" s="111"/>
      <c r="T76" s="112"/>
      <c r="U76" s="112"/>
      <c r="V76" s="112"/>
      <c r="W76" s="114"/>
      <c r="X76" s="111"/>
      <c r="Y76" s="114"/>
      <c r="Z76" s="115"/>
      <c r="AB76" s="111"/>
      <c r="AC76" s="111"/>
      <c r="AD76" s="110"/>
      <c r="AE76" s="110"/>
    </row>
    <row r="77" spans="1:31" s="88" customFormat="1" ht="30" customHeight="1" x14ac:dyDescent="0.25">
      <c r="A77" s="95">
        <f t="shared" ref="A77:A84" si="2">A76+1</f>
        <v>23</v>
      </c>
      <c r="B77" s="103"/>
      <c r="C77" s="97"/>
      <c r="D77" s="103"/>
      <c r="E77" s="97"/>
      <c r="F77" s="315"/>
      <c r="G77" s="111"/>
      <c r="H77" s="112"/>
      <c r="I77" s="112"/>
      <c r="J77" s="113"/>
      <c r="K77" s="112"/>
      <c r="L77" s="112"/>
      <c r="M77" s="112"/>
      <c r="N77" s="111"/>
      <c r="O77" s="112"/>
      <c r="P77" s="112"/>
      <c r="Q77" s="112"/>
      <c r="R77" s="113"/>
      <c r="S77" s="111"/>
      <c r="T77" s="112"/>
      <c r="U77" s="112"/>
      <c r="V77" s="112"/>
      <c r="W77" s="114"/>
      <c r="X77" s="111"/>
      <c r="Y77" s="114"/>
      <c r="Z77" s="115"/>
      <c r="AB77" s="111"/>
      <c r="AC77" s="111"/>
      <c r="AD77" s="110"/>
      <c r="AE77" s="110"/>
    </row>
    <row r="78" spans="1:31" s="88" customFormat="1" ht="30" customHeight="1" x14ac:dyDescent="0.25">
      <c r="A78" s="95">
        <f t="shared" si="2"/>
        <v>24</v>
      </c>
      <c r="B78" s="103"/>
      <c r="C78" s="97"/>
      <c r="D78" s="103"/>
      <c r="E78" s="97"/>
      <c r="F78" s="315"/>
      <c r="G78" s="111"/>
      <c r="H78" s="112"/>
      <c r="I78" s="112"/>
      <c r="J78" s="113"/>
      <c r="K78" s="112"/>
      <c r="L78" s="112"/>
      <c r="M78" s="112"/>
      <c r="N78" s="111"/>
      <c r="O78" s="112"/>
      <c r="P78" s="112"/>
      <c r="Q78" s="112"/>
      <c r="R78" s="113"/>
      <c r="S78" s="111"/>
      <c r="T78" s="112"/>
      <c r="U78" s="112"/>
      <c r="V78" s="112"/>
      <c r="W78" s="114"/>
      <c r="X78" s="111"/>
      <c r="Y78" s="114"/>
      <c r="Z78" s="115"/>
      <c r="AB78" s="111"/>
      <c r="AC78" s="111"/>
      <c r="AD78" s="110"/>
      <c r="AE78" s="110"/>
    </row>
    <row r="79" spans="1:31" s="88" customFormat="1" ht="30" customHeight="1" x14ac:dyDescent="0.25">
      <c r="A79" s="95">
        <f t="shared" si="2"/>
        <v>25</v>
      </c>
      <c r="B79" s="103"/>
      <c r="C79" s="97"/>
      <c r="D79" s="103"/>
      <c r="E79" s="97"/>
      <c r="F79" s="315"/>
      <c r="G79" s="111"/>
      <c r="H79" s="112"/>
      <c r="I79" s="112"/>
      <c r="J79" s="113"/>
      <c r="K79" s="112"/>
      <c r="L79" s="112"/>
      <c r="M79" s="112"/>
      <c r="N79" s="111"/>
      <c r="O79" s="112"/>
      <c r="P79" s="112"/>
      <c r="Q79" s="112"/>
      <c r="R79" s="113"/>
      <c r="S79" s="111"/>
      <c r="T79" s="112"/>
      <c r="U79" s="112"/>
      <c r="V79" s="112"/>
      <c r="W79" s="114"/>
      <c r="X79" s="111"/>
      <c r="Y79" s="114"/>
      <c r="Z79" s="115"/>
      <c r="AB79" s="111"/>
      <c r="AC79" s="111"/>
      <c r="AD79" s="110"/>
      <c r="AE79" s="110"/>
    </row>
    <row r="80" spans="1:31" s="88" customFormat="1" ht="30" customHeight="1" x14ac:dyDescent="0.25">
      <c r="A80" s="95">
        <f t="shared" si="2"/>
        <v>26</v>
      </c>
      <c r="B80" s="103"/>
      <c r="C80" s="97"/>
      <c r="D80" s="103"/>
      <c r="E80" s="97"/>
      <c r="F80" s="315"/>
      <c r="G80" s="111"/>
      <c r="H80" s="112"/>
      <c r="I80" s="112"/>
      <c r="J80" s="113"/>
      <c r="K80" s="112"/>
      <c r="L80" s="112"/>
      <c r="M80" s="112"/>
      <c r="N80" s="111"/>
      <c r="O80" s="112"/>
      <c r="P80" s="112"/>
      <c r="Q80" s="112"/>
      <c r="R80" s="113"/>
      <c r="S80" s="111"/>
      <c r="T80" s="112"/>
      <c r="U80" s="112"/>
      <c r="V80" s="112"/>
      <c r="W80" s="114"/>
      <c r="X80" s="111"/>
      <c r="Y80" s="114"/>
      <c r="Z80" s="115"/>
      <c r="AB80" s="111"/>
      <c r="AC80" s="111"/>
      <c r="AD80" s="110"/>
      <c r="AE80" s="110"/>
    </row>
    <row r="81" spans="1:31" s="88" customFormat="1" ht="30" customHeight="1" x14ac:dyDescent="0.25">
      <c r="A81" s="95">
        <f t="shared" si="2"/>
        <v>27</v>
      </c>
      <c r="B81" s="103"/>
      <c r="C81" s="97"/>
      <c r="D81" s="103"/>
      <c r="E81" s="97"/>
      <c r="F81" s="315"/>
      <c r="G81" s="111"/>
      <c r="H81" s="112"/>
      <c r="I81" s="112"/>
      <c r="J81" s="113"/>
      <c r="K81" s="112"/>
      <c r="L81" s="112"/>
      <c r="M81" s="112"/>
      <c r="N81" s="111"/>
      <c r="O81" s="112"/>
      <c r="P81" s="112"/>
      <c r="Q81" s="112"/>
      <c r="R81" s="113"/>
      <c r="S81" s="111"/>
      <c r="T81" s="112"/>
      <c r="U81" s="112"/>
      <c r="V81" s="112"/>
      <c r="W81" s="114"/>
      <c r="X81" s="111"/>
      <c r="Y81" s="114"/>
      <c r="Z81" s="115"/>
      <c r="AB81" s="111"/>
      <c r="AC81" s="111"/>
      <c r="AD81" s="110"/>
      <c r="AE81" s="110"/>
    </row>
    <row r="82" spans="1:31" s="88" customFormat="1" ht="30" customHeight="1" x14ac:dyDescent="0.25">
      <c r="A82" s="95">
        <f t="shared" si="2"/>
        <v>28</v>
      </c>
      <c r="B82" s="103"/>
      <c r="C82" s="97"/>
      <c r="D82" s="103"/>
      <c r="E82" s="103"/>
      <c r="F82" s="316"/>
      <c r="G82" s="111"/>
      <c r="H82" s="112"/>
      <c r="I82" s="112"/>
      <c r="J82" s="113"/>
      <c r="K82" s="112"/>
      <c r="L82" s="112"/>
      <c r="M82" s="112"/>
      <c r="N82" s="111"/>
      <c r="O82" s="112"/>
      <c r="P82" s="112"/>
      <c r="Q82" s="112"/>
      <c r="R82" s="113"/>
      <c r="S82" s="111"/>
      <c r="T82" s="112"/>
      <c r="U82" s="112"/>
      <c r="V82" s="112"/>
      <c r="W82" s="114"/>
      <c r="X82" s="111"/>
      <c r="Y82" s="114"/>
      <c r="Z82" s="115"/>
      <c r="AB82" s="111"/>
      <c r="AC82" s="111"/>
      <c r="AD82" s="110"/>
      <c r="AE82" s="110"/>
    </row>
    <row r="83" spans="1:31" s="88" customFormat="1" ht="30" customHeight="1" x14ac:dyDescent="0.25">
      <c r="A83" s="95">
        <f t="shared" si="2"/>
        <v>29</v>
      </c>
      <c r="B83" s="103"/>
      <c r="C83" s="97"/>
      <c r="D83" s="103"/>
      <c r="E83" s="103"/>
      <c r="F83" s="316"/>
      <c r="G83" s="111"/>
      <c r="H83" s="112"/>
      <c r="I83" s="112"/>
      <c r="J83" s="113"/>
      <c r="K83" s="112"/>
      <c r="L83" s="112"/>
      <c r="M83" s="112"/>
      <c r="N83" s="111"/>
      <c r="O83" s="112"/>
      <c r="P83" s="112"/>
      <c r="Q83" s="112"/>
      <c r="R83" s="113"/>
      <c r="S83" s="111"/>
      <c r="T83" s="112"/>
      <c r="U83" s="112"/>
      <c r="V83" s="112"/>
      <c r="W83" s="114"/>
      <c r="X83" s="111"/>
      <c r="Y83" s="114"/>
      <c r="Z83" s="115"/>
      <c r="AB83" s="111"/>
      <c r="AC83" s="111"/>
      <c r="AD83" s="110"/>
      <c r="AE83" s="110"/>
    </row>
    <row r="84" spans="1:31" s="88" customFormat="1" ht="30" customHeight="1" thickBot="1" x14ac:dyDescent="0.3">
      <c r="A84" s="95">
        <f t="shared" si="2"/>
        <v>30</v>
      </c>
      <c r="B84" s="103"/>
      <c r="C84" s="97"/>
      <c r="D84" s="103"/>
      <c r="E84" s="103"/>
      <c r="F84" s="110"/>
      <c r="G84" s="111"/>
      <c r="H84" s="112"/>
      <c r="I84" s="112"/>
      <c r="J84" s="113"/>
      <c r="K84" s="112"/>
      <c r="L84" s="112"/>
      <c r="M84" s="112"/>
      <c r="N84" s="111"/>
      <c r="O84" s="112"/>
      <c r="P84" s="112"/>
      <c r="Q84" s="112"/>
      <c r="R84" s="113"/>
      <c r="S84" s="111"/>
      <c r="T84" s="112"/>
      <c r="U84" s="112"/>
      <c r="V84" s="112"/>
      <c r="W84" s="114"/>
      <c r="X84" s="111"/>
      <c r="Y84" s="114"/>
      <c r="Z84" s="115"/>
      <c r="AB84" s="111"/>
      <c r="AC84" s="111"/>
      <c r="AD84" s="110"/>
      <c r="AE84" s="110"/>
    </row>
    <row r="85" spans="1:31" s="5" customFormat="1" ht="18.75" customHeight="1" x14ac:dyDescent="0.2">
      <c r="A85" s="74" t="s">
        <v>106</v>
      </c>
      <c r="B85" s="2"/>
      <c r="C85" s="161"/>
      <c r="D85" s="2"/>
      <c r="E85" s="2"/>
      <c r="F85" s="2"/>
      <c r="G85" s="2"/>
      <c r="H85" s="2"/>
      <c r="I85" s="2"/>
      <c r="J85" s="84"/>
      <c r="K85" s="3"/>
      <c r="L85" s="3"/>
      <c r="M85" s="2"/>
      <c r="N85" s="163" t="s">
        <v>110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4"/>
      <c r="AB85" s="636" t="s">
        <v>50</v>
      </c>
      <c r="AC85" s="637"/>
      <c r="AD85" s="637"/>
      <c r="AE85" s="638"/>
    </row>
    <row r="86" spans="1:31" s="17" customFormat="1" ht="12" customHeight="1" x14ac:dyDescent="0.2">
      <c r="A86" s="137" t="s">
        <v>8</v>
      </c>
      <c r="B86" s="138" t="s">
        <v>91</v>
      </c>
      <c r="C86" s="162"/>
      <c r="D86" s="138" t="s">
        <v>133</v>
      </c>
      <c r="E86" s="138"/>
      <c r="J86" s="76"/>
      <c r="K86" s="85"/>
      <c r="L86" s="76"/>
      <c r="N86" s="164" t="s">
        <v>8</v>
      </c>
      <c r="O86" s="160" t="s">
        <v>112</v>
      </c>
      <c r="P86" s="135"/>
      <c r="Z86" s="77"/>
      <c r="AB86" s="463"/>
      <c r="AC86" s="639"/>
      <c r="AD86" s="639"/>
      <c r="AE86" s="77"/>
    </row>
    <row r="87" spans="1:31" s="17" customFormat="1" ht="12" customHeight="1" x14ac:dyDescent="0.2">
      <c r="A87" s="75"/>
      <c r="B87" s="138" t="s">
        <v>107</v>
      </c>
      <c r="C87" s="162"/>
      <c r="D87" s="138" t="s">
        <v>165</v>
      </c>
      <c r="E87" s="138"/>
      <c r="J87" s="76"/>
      <c r="K87" s="85"/>
      <c r="L87" s="76"/>
      <c r="N87" s="164" t="s">
        <v>9</v>
      </c>
      <c r="O87" s="160" t="s">
        <v>113</v>
      </c>
      <c r="P87" s="135"/>
      <c r="Z87" s="77"/>
      <c r="AB87" s="87" t="s">
        <v>10</v>
      </c>
      <c r="AC87" s="640"/>
      <c r="AD87" s="640"/>
      <c r="AE87" s="77"/>
    </row>
    <row r="88" spans="1:31" s="17" customFormat="1" ht="12" customHeight="1" x14ac:dyDescent="0.2">
      <c r="A88" s="75"/>
      <c r="B88" s="138" t="s">
        <v>108</v>
      </c>
      <c r="C88" s="162"/>
      <c r="D88" s="138" t="s">
        <v>168</v>
      </c>
      <c r="E88" s="138"/>
      <c r="N88" s="164" t="s">
        <v>11</v>
      </c>
      <c r="O88" s="160" t="s">
        <v>164</v>
      </c>
      <c r="P88" s="135"/>
      <c r="Z88" s="77"/>
      <c r="AB88" s="86" t="s">
        <v>173</v>
      </c>
      <c r="AC88" s="640"/>
      <c r="AD88" s="640"/>
      <c r="AE88" s="77"/>
    </row>
    <row r="89" spans="1:31" s="17" customFormat="1" ht="12" customHeight="1" x14ac:dyDescent="0.2">
      <c r="A89" s="137" t="s">
        <v>9</v>
      </c>
      <c r="B89" s="138" t="s">
        <v>109</v>
      </c>
      <c r="C89" s="162"/>
      <c r="N89" s="164" t="s">
        <v>12</v>
      </c>
      <c r="O89" s="160" t="s">
        <v>36</v>
      </c>
      <c r="P89" s="135"/>
      <c r="Z89" s="77"/>
      <c r="AB89" s="86" t="s">
        <v>174</v>
      </c>
      <c r="AC89" s="640"/>
      <c r="AD89" s="640"/>
      <c r="AE89" s="77"/>
    </row>
    <row r="90" spans="1:31" s="17" customFormat="1" ht="12" customHeight="1" x14ac:dyDescent="0.2">
      <c r="A90" s="137" t="s">
        <v>11</v>
      </c>
      <c r="B90" s="457" t="s">
        <v>123</v>
      </c>
      <c r="C90" s="477"/>
      <c r="J90" s="7"/>
      <c r="K90" s="52"/>
      <c r="L90" s="76"/>
      <c r="M90" s="78"/>
      <c r="N90" s="164" t="s">
        <v>13</v>
      </c>
      <c r="O90" s="160" t="s">
        <v>32</v>
      </c>
      <c r="P90" s="135"/>
      <c r="R90" s="76"/>
      <c r="V90" s="76"/>
      <c r="W90" s="78"/>
      <c r="Z90" s="77"/>
      <c r="AB90" s="86"/>
      <c r="AC90" s="640"/>
      <c r="AD90" s="640"/>
      <c r="AE90" s="77"/>
    </row>
    <row r="91" spans="1:31" s="17" customFormat="1" ht="12" customHeight="1" x14ac:dyDescent="0.2">
      <c r="A91" s="143"/>
      <c r="B91" s="457"/>
      <c r="C91" s="477"/>
      <c r="D91" s="7" t="s">
        <v>116</v>
      </c>
      <c r="E91" s="7"/>
      <c r="J91" s="76"/>
      <c r="K91" s="85"/>
      <c r="L91" s="76"/>
      <c r="M91" s="78"/>
      <c r="N91" s="164" t="s">
        <v>111</v>
      </c>
      <c r="O91" s="160" t="s">
        <v>114</v>
      </c>
      <c r="P91" s="135"/>
      <c r="R91" s="76"/>
      <c r="V91" s="76"/>
      <c r="W91" s="78"/>
      <c r="Z91" s="77"/>
      <c r="AB91" s="87" t="s">
        <v>19</v>
      </c>
      <c r="AC91" s="640"/>
      <c r="AD91" s="641"/>
      <c r="AE91" s="77"/>
    </row>
    <row r="92" spans="1:31" s="17" customFormat="1" ht="12.75" customHeight="1" x14ac:dyDescent="0.2">
      <c r="A92" s="143"/>
      <c r="B92" s="457"/>
      <c r="C92" s="477"/>
      <c r="J92" s="76"/>
      <c r="K92" s="85"/>
      <c r="L92" s="76"/>
      <c r="M92" s="78"/>
      <c r="N92" s="165"/>
      <c r="O92" s="142"/>
      <c r="P92" s="135"/>
      <c r="R92" s="76"/>
      <c r="V92" s="76"/>
      <c r="W92" s="78"/>
      <c r="Z92" s="77"/>
      <c r="AB92" s="86" t="s">
        <v>175</v>
      </c>
      <c r="AC92" s="640"/>
      <c r="AD92" s="641"/>
      <c r="AE92" s="77"/>
    </row>
    <row r="93" spans="1:31" s="17" customFormat="1" ht="12" customHeight="1" x14ac:dyDescent="0.2">
      <c r="A93" s="137" t="s">
        <v>12</v>
      </c>
      <c r="B93" s="457" t="s">
        <v>124</v>
      </c>
      <c r="C93" s="477"/>
      <c r="D93" s="7" t="s">
        <v>44</v>
      </c>
      <c r="E93" s="7"/>
      <c r="J93" s="76"/>
      <c r="K93" s="85"/>
      <c r="L93" s="76"/>
      <c r="M93" s="78"/>
      <c r="N93" s="166" t="s">
        <v>46</v>
      </c>
      <c r="R93" s="76"/>
      <c r="V93" s="76"/>
      <c r="W93" s="78"/>
      <c r="Z93" s="77"/>
      <c r="AB93" s="86" t="s">
        <v>176</v>
      </c>
      <c r="AC93" s="640"/>
      <c r="AD93" s="640"/>
      <c r="AE93" s="77"/>
    </row>
    <row r="94" spans="1:31" s="17" customFormat="1" ht="12" customHeight="1" x14ac:dyDescent="0.2">
      <c r="A94" s="143"/>
      <c r="B94" s="457"/>
      <c r="C94" s="477"/>
      <c r="D94" s="144" t="s">
        <v>166</v>
      </c>
      <c r="E94" s="144"/>
      <c r="J94" s="76"/>
      <c r="K94" s="85"/>
      <c r="L94" s="76"/>
      <c r="M94" s="78"/>
      <c r="N94" s="151" t="s">
        <v>47</v>
      </c>
      <c r="V94" s="76"/>
      <c r="W94" s="78"/>
      <c r="Z94" s="77"/>
      <c r="AB94" s="143"/>
      <c r="AC94" s="640"/>
      <c r="AD94" s="640"/>
      <c r="AE94" s="77"/>
    </row>
    <row r="95" spans="1:31" s="17" customFormat="1" ht="12" customHeight="1" x14ac:dyDescent="0.2">
      <c r="A95" s="143"/>
      <c r="B95" s="457"/>
      <c r="C95" s="477"/>
      <c r="D95" s="144" t="s">
        <v>45</v>
      </c>
      <c r="E95" s="144"/>
      <c r="J95" s="76"/>
      <c r="N95" s="151" t="s">
        <v>48</v>
      </c>
      <c r="V95" s="76"/>
      <c r="W95" s="78"/>
      <c r="Z95" s="77"/>
      <c r="AB95" s="86"/>
      <c r="AC95" s="640"/>
      <c r="AD95" s="640"/>
      <c r="AE95" s="77"/>
    </row>
    <row r="96" spans="1:31" s="17" customFormat="1" ht="12" customHeight="1" x14ac:dyDescent="0.2">
      <c r="A96" s="137" t="s">
        <v>13</v>
      </c>
      <c r="B96" s="457" t="s">
        <v>117</v>
      </c>
      <c r="C96" s="477"/>
      <c r="J96" s="76"/>
      <c r="N96" s="151" t="s">
        <v>49</v>
      </c>
      <c r="V96" s="76"/>
      <c r="W96" s="78"/>
      <c r="Z96" s="77"/>
      <c r="AB96" s="86"/>
      <c r="AC96" s="642"/>
      <c r="AD96" s="642"/>
      <c r="AE96" s="77"/>
    </row>
    <row r="97" spans="1:31" s="17" customFormat="1" ht="12.75" customHeight="1" thickBot="1" x14ac:dyDescent="0.25">
      <c r="A97" s="79"/>
      <c r="B97" s="480"/>
      <c r="C97" s="481"/>
      <c r="D97" s="80"/>
      <c r="E97" s="80"/>
      <c r="F97" s="80"/>
      <c r="G97" s="80"/>
      <c r="H97" s="80"/>
      <c r="I97" s="80"/>
      <c r="J97" s="81"/>
      <c r="K97" s="80"/>
      <c r="L97" s="80"/>
      <c r="M97" s="80"/>
      <c r="N97" s="167"/>
      <c r="O97" s="80"/>
      <c r="P97" s="80"/>
      <c r="Q97" s="80"/>
      <c r="R97" s="80"/>
      <c r="S97" s="80"/>
      <c r="T97" s="80"/>
      <c r="U97" s="80"/>
      <c r="V97" s="81"/>
      <c r="W97" s="82"/>
      <c r="X97" s="80"/>
      <c r="Y97" s="80"/>
      <c r="Z97" s="83"/>
      <c r="AB97" s="79"/>
      <c r="AC97" s="80"/>
      <c r="AD97" s="80"/>
      <c r="AE97" s="83"/>
    </row>
    <row r="98" spans="1:31" s="133" customFormat="1" ht="18" customHeight="1" x14ac:dyDescent="0.2">
      <c r="A98" s="134" t="s">
        <v>119</v>
      </c>
      <c r="B98" s="145"/>
      <c r="C98" s="146"/>
      <c r="J98" s="147"/>
      <c r="V98" s="147"/>
      <c r="W98" s="148"/>
    </row>
    <row r="99" spans="1:31" s="18" customFormat="1" ht="15" customHeight="1" x14ac:dyDescent="0.2">
      <c r="A99" s="134" t="s">
        <v>122</v>
      </c>
      <c r="C99" s="19"/>
    </row>
    <row r="100" spans="1:31" s="18" customFormat="1" ht="7.5" customHeight="1" x14ac:dyDescent="0.2">
      <c r="C100" s="19"/>
    </row>
    <row r="101" spans="1:31" s="88" customFormat="1" ht="15" x14ac:dyDescent="0.25">
      <c r="B101" s="88" t="s">
        <v>53</v>
      </c>
      <c r="C101" s="89"/>
      <c r="F101" s="88" t="s">
        <v>54</v>
      </c>
      <c r="Y101" s="88" t="s">
        <v>55</v>
      </c>
    </row>
    <row r="102" spans="1:31" s="18" customFormat="1" ht="16.5" customHeight="1" x14ac:dyDescent="0.2">
      <c r="C102" s="19"/>
    </row>
    <row r="103" spans="1:31" s="18" customFormat="1" ht="18" customHeight="1" x14ac:dyDescent="0.2">
      <c r="C103" s="19"/>
    </row>
    <row r="104" spans="1:31" s="18" customFormat="1" ht="17.25" customHeight="1" x14ac:dyDescent="0.2">
      <c r="B104" s="90"/>
      <c r="C104" s="19"/>
      <c r="F104" s="90"/>
      <c r="G104" s="90"/>
      <c r="H104" s="90"/>
      <c r="I104" s="90"/>
      <c r="J104" s="90"/>
      <c r="K104" s="90"/>
      <c r="L104" s="90"/>
      <c r="M104" s="90"/>
      <c r="Y104" s="90"/>
      <c r="Z104" s="90"/>
      <c r="AA104" s="90"/>
      <c r="AB104" s="90"/>
      <c r="AC104" s="90"/>
    </row>
    <row r="105" spans="1:31" s="18" customFormat="1" ht="18" customHeight="1" x14ac:dyDescent="0.2">
      <c r="B105" s="18" t="s">
        <v>56</v>
      </c>
      <c r="C105" s="19"/>
      <c r="F105" s="18" t="s">
        <v>56</v>
      </c>
      <c r="Y105" s="18" t="s">
        <v>57</v>
      </c>
    </row>
    <row r="106" spans="1:31" s="18" customFormat="1" ht="15.75" customHeight="1" x14ac:dyDescent="0.2">
      <c r="B106" s="18" t="s">
        <v>58</v>
      </c>
      <c r="C106" s="19"/>
      <c r="F106" s="18" t="s">
        <v>59</v>
      </c>
      <c r="Y106" s="18" t="s">
        <v>58</v>
      </c>
    </row>
    <row r="107" spans="1:31" ht="13.5" thickBot="1" x14ac:dyDescent="0.25"/>
    <row r="108" spans="1:31" s="88" customFormat="1" ht="30" customHeight="1" x14ac:dyDescent="0.25">
      <c r="A108" s="294">
        <v>31</v>
      </c>
      <c r="B108" s="295"/>
      <c r="C108" s="93"/>
      <c r="D108" s="295"/>
      <c r="E108" s="93"/>
      <c r="F108" s="319"/>
      <c r="G108" s="104"/>
      <c r="H108" s="105"/>
      <c r="I108" s="105"/>
      <c r="J108" s="106"/>
      <c r="K108" s="105"/>
      <c r="L108" s="105"/>
      <c r="M108" s="105"/>
      <c r="N108" s="104"/>
      <c r="O108" s="105"/>
      <c r="P108" s="105"/>
      <c r="Q108" s="105"/>
      <c r="R108" s="106"/>
      <c r="S108" s="104"/>
      <c r="T108" s="105"/>
      <c r="U108" s="105"/>
      <c r="V108" s="105"/>
      <c r="W108" s="107"/>
      <c r="X108" s="104"/>
      <c r="Y108" s="107"/>
      <c r="Z108" s="108"/>
      <c r="AB108" s="111"/>
      <c r="AC108" s="111"/>
      <c r="AD108" s="110"/>
      <c r="AE108" s="110"/>
    </row>
    <row r="109" spans="1:31" s="88" customFormat="1" ht="30" customHeight="1" x14ac:dyDescent="0.25">
      <c r="A109" s="95">
        <f>A108+1</f>
        <v>32</v>
      </c>
      <c r="B109" s="103"/>
      <c r="C109" s="97"/>
      <c r="D109" s="103"/>
      <c r="E109" s="97"/>
      <c r="F109" s="315"/>
      <c r="G109" s="111"/>
      <c r="H109" s="112"/>
      <c r="I109" s="112"/>
      <c r="J109" s="113"/>
      <c r="K109" s="112"/>
      <c r="L109" s="112"/>
      <c r="M109" s="112"/>
      <c r="N109" s="111"/>
      <c r="O109" s="112"/>
      <c r="P109" s="112"/>
      <c r="Q109" s="112"/>
      <c r="R109" s="113"/>
      <c r="S109" s="111"/>
      <c r="T109" s="112"/>
      <c r="U109" s="112"/>
      <c r="V109" s="112"/>
      <c r="W109" s="114"/>
      <c r="X109" s="111"/>
      <c r="Y109" s="114"/>
      <c r="Z109" s="115"/>
      <c r="AB109" s="111"/>
      <c r="AC109" s="111"/>
      <c r="AD109" s="110"/>
      <c r="AE109" s="110"/>
    </row>
    <row r="110" spans="1:31" s="88" customFormat="1" ht="30" customHeight="1" x14ac:dyDescent="0.25">
      <c r="A110" s="95">
        <f t="shared" ref="A110:A117" si="3">A109+1</f>
        <v>33</v>
      </c>
      <c r="B110" s="103"/>
      <c r="C110" s="97"/>
      <c r="D110" s="103"/>
      <c r="E110" s="97"/>
      <c r="F110" s="315"/>
      <c r="G110" s="111"/>
      <c r="H110" s="112"/>
      <c r="I110" s="112"/>
      <c r="J110" s="113"/>
      <c r="K110" s="112"/>
      <c r="L110" s="112"/>
      <c r="M110" s="112"/>
      <c r="N110" s="111"/>
      <c r="O110" s="112"/>
      <c r="P110" s="112"/>
      <c r="Q110" s="112"/>
      <c r="R110" s="113"/>
      <c r="S110" s="111"/>
      <c r="T110" s="112"/>
      <c r="U110" s="112"/>
      <c r="V110" s="112"/>
      <c r="W110" s="114"/>
      <c r="X110" s="111"/>
      <c r="Y110" s="114"/>
      <c r="Z110" s="115"/>
      <c r="AB110" s="111"/>
      <c r="AC110" s="111"/>
      <c r="AD110" s="110"/>
      <c r="AE110" s="110"/>
    </row>
    <row r="111" spans="1:31" s="88" customFormat="1" ht="30" customHeight="1" x14ac:dyDescent="0.25">
      <c r="A111" s="95">
        <f t="shared" si="3"/>
        <v>34</v>
      </c>
      <c r="B111" s="103"/>
      <c r="C111" s="97"/>
      <c r="D111" s="103"/>
      <c r="E111" s="97"/>
      <c r="F111" s="315"/>
      <c r="G111" s="111"/>
      <c r="H111" s="112"/>
      <c r="I111" s="112"/>
      <c r="J111" s="113"/>
      <c r="K111" s="112"/>
      <c r="L111" s="112"/>
      <c r="M111" s="112"/>
      <c r="N111" s="111"/>
      <c r="O111" s="112"/>
      <c r="P111" s="112"/>
      <c r="Q111" s="112"/>
      <c r="R111" s="113"/>
      <c r="S111" s="111"/>
      <c r="T111" s="112"/>
      <c r="U111" s="112"/>
      <c r="V111" s="112"/>
      <c r="W111" s="114"/>
      <c r="X111" s="111"/>
      <c r="Y111" s="114"/>
      <c r="Z111" s="115"/>
      <c r="AB111" s="111"/>
      <c r="AC111" s="111"/>
      <c r="AD111" s="110"/>
      <c r="AE111" s="110"/>
    </row>
    <row r="112" spans="1:31" s="88" customFormat="1" ht="30" customHeight="1" x14ac:dyDescent="0.25">
      <c r="A112" s="95">
        <f t="shared" si="3"/>
        <v>35</v>
      </c>
      <c r="B112" s="103"/>
      <c r="C112" s="97"/>
      <c r="D112" s="103"/>
      <c r="E112" s="97"/>
      <c r="F112" s="315"/>
      <c r="G112" s="111"/>
      <c r="H112" s="112"/>
      <c r="I112" s="112"/>
      <c r="J112" s="113"/>
      <c r="K112" s="112"/>
      <c r="L112" s="112"/>
      <c r="M112" s="112"/>
      <c r="N112" s="111"/>
      <c r="O112" s="112"/>
      <c r="P112" s="112"/>
      <c r="Q112" s="112"/>
      <c r="R112" s="113"/>
      <c r="S112" s="111"/>
      <c r="T112" s="112"/>
      <c r="U112" s="112"/>
      <c r="V112" s="112"/>
      <c r="W112" s="114"/>
      <c r="X112" s="111"/>
      <c r="Y112" s="114"/>
      <c r="Z112" s="115"/>
      <c r="AB112" s="111"/>
      <c r="AC112" s="111"/>
      <c r="AD112" s="110"/>
      <c r="AE112" s="110"/>
    </row>
    <row r="113" spans="1:31" s="88" customFormat="1" ht="30" customHeight="1" x14ac:dyDescent="0.25">
      <c r="A113" s="95">
        <f t="shared" si="3"/>
        <v>36</v>
      </c>
      <c r="B113" s="103"/>
      <c r="C113" s="97"/>
      <c r="D113" s="103"/>
      <c r="E113" s="97"/>
      <c r="F113" s="315"/>
      <c r="G113" s="111"/>
      <c r="H113" s="112"/>
      <c r="I113" s="112"/>
      <c r="J113" s="113"/>
      <c r="K113" s="112"/>
      <c r="L113" s="112"/>
      <c r="M113" s="112"/>
      <c r="N113" s="111"/>
      <c r="O113" s="112"/>
      <c r="P113" s="112"/>
      <c r="Q113" s="112"/>
      <c r="R113" s="113"/>
      <c r="S113" s="111"/>
      <c r="T113" s="112"/>
      <c r="U113" s="112"/>
      <c r="V113" s="112"/>
      <c r="W113" s="114"/>
      <c r="X113" s="111"/>
      <c r="Y113" s="114"/>
      <c r="Z113" s="115"/>
      <c r="AB113" s="111"/>
      <c r="AC113" s="111"/>
      <c r="AD113" s="110"/>
      <c r="AE113" s="110"/>
    </row>
    <row r="114" spans="1:31" s="88" customFormat="1" ht="30" customHeight="1" x14ac:dyDescent="0.25">
      <c r="A114" s="95">
        <f t="shared" si="3"/>
        <v>37</v>
      </c>
      <c r="B114" s="103"/>
      <c r="C114" s="97"/>
      <c r="D114" s="103"/>
      <c r="E114" s="97"/>
      <c r="F114" s="315"/>
      <c r="G114" s="111"/>
      <c r="H114" s="112"/>
      <c r="I114" s="112"/>
      <c r="J114" s="113"/>
      <c r="K114" s="112"/>
      <c r="L114" s="112"/>
      <c r="M114" s="112"/>
      <c r="N114" s="111"/>
      <c r="O114" s="112"/>
      <c r="P114" s="112"/>
      <c r="Q114" s="112"/>
      <c r="R114" s="113"/>
      <c r="S114" s="111"/>
      <c r="T114" s="112"/>
      <c r="U114" s="112"/>
      <c r="V114" s="112"/>
      <c r="W114" s="114"/>
      <c r="X114" s="111"/>
      <c r="Y114" s="114"/>
      <c r="Z114" s="115"/>
      <c r="AB114" s="111"/>
      <c r="AC114" s="111"/>
      <c r="AD114" s="110"/>
      <c r="AE114" s="110"/>
    </row>
    <row r="115" spans="1:31" s="88" customFormat="1" ht="30" customHeight="1" x14ac:dyDescent="0.25">
      <c r="A115" s="95">
        <f t="shared" si="3"/>
        <v>38</v>
      </c>
      <c r="B115" s="103"/>
      <c r="C115" s="97"/>
      <c r="D115" s="103"/>
      <c r="E115" s="103"/>
      <c r="F115" s="316"/>
      <c r="G115" s="111"/>
      <c r="H115" s="112"/>
      <c r="I115" s="112"/>
      <c r="J115" s="113"/>
      <c r="K115" s="112"/>
      <c r="L115" s="112"/>
      <c r="M115" s="112"/>
      <c r="N115" s="111"/>
      <c r="O115" s="112"/>
      <c r="P115" s="112"/>
      <c r="Q115" s="112"/>
      <c r="R115" s="113"/>
      <c r="S115" s="111"/>
      <c r="T115" s="112"/>
      <c r="U115" s="112"/>
      <c r="V115" s="112"/>
      <c r="W115" s="114"/>
      <c r="X115" s="111"/>
      <c r="Y115" s="114"/>
      <c r="Z115" s="115"/>
      <c r="AB115" s="111"/>
      <c r="AC115" s="111"/>
      <c r="AD115" s="110"/>
      <c r="AE115" s="110"/>
    </row>
    <row r="116" spans="1:31" s="88" customFormat="1" ht="30" customHeight="1" x14ac:dyDescent="0.25">
      <c r="A116" s="95">
        <f t="shared" si="3"/>
        <v>39</v>
      </c>
      <c r="B116" s="103"/>
      <c r="C116" s="97"/>
      <c r="D116" s="103"/>
      <c r="E116" s="103"/>
      <c r="F116" s="316"/>
      <c r="G116" s="111"/>
      <c r="H116" s="112"/>
      <c r="I116" s="112"/>
      <c r="J116" s="113"/>
      <c r="K116" s="112"/>
      <c r="L116" s="112"/>
      <c r="M116" s="112"/>
      <c r="N116" s="111"/>
      <c r="O116" s="112"/>
      <c r="P116" s="112"/>
      <c r="Q116" s="112"/>
      <c r="R116" s="113"/>
      <c r="S116" s="111"/>
      <c r="T116" s="112"/>
      <c r="U116" s="112"/>
      <c r="V116" s="112"/>
      <c r="W116" s="114"/>
      <c r="X116" s="111"/>
      <c r="Y116" s="114"/>
      <c r="Z116" s="115"/>
      <c r="AB116" s="111"/>
      <c r="AC116" s="111"/>
      <c r="AD116" s="110"/>
      <c r="AE116" s="110"/>
    </row>
    <row r="117" spans="1:31" s="88" customFormat="1" ht="30" customHeight="1" thickBot="1" x14ac:dyDescent="0.3">
      <c r="A117" s="95">
        <f t="shared" si="3"/>
        <v>40</v>
      </c>
      <c r="B117" s="103"/>
      <c r="C117" s="97"/>
      <c r="D117" s="103"/>
      <c r="E117" s="103"/>
      <c r="F117" s="110"/>
      <c r="G117" s="111"/>
      <c r="H117" s="112"/>
      <c r="I117" s="112"/>
      <c r="J117" s="113"/>
      <c r="K117" s="112"/>
      <c r="L117" s="112"/>
      <c r="M117" s="112"/>
      <c r="N117" s="111"/>
      <c r="O117" s="112"/>
      <c r="P117" s="112"/>
      <c r="Q117" s="112"/>
      <c r="R117" s="113"/>
      <c r="S117" s="111"/>
      <c r="T117" s="112"/>
      <c r="U117" s="112"/>
      <c r="V117" s="112"/>
      <c r="W117" s="114"/>
      <c r="X117" s="111"/>
      <c r="Y117" s="114"/>
      <c r="Z117" s="115"/>
      <c r="AB117" s="111"/>
      <c r="AC117" s="111"/>
      <c r="AD117" s="110"/>
      <c r="AE117" s="110"/>
    </row>
    <row r="118" spans="1:31" s="5" customFormat="1" ht="18.75" customHeight="1" x14ac:dyDescent="0.2">
      <c r="A118" s="74" t="s">
        <v>106</v>
      </c>
      <c r="B118" s="2"/>
      <c r="C118" s="161"/>
      <c r="D118" s="2"/>
      <c r="E118" s="2"/>
      <c r="F118" s="2"/>
      <c r="G118" s="2"/>
      <c r="H118" s="2"/>
      <c r="I118" s="2"/>
      <c r="J118" s="84"/>
      <c r="K118" s="3"/>
      <c r="L118" s="3"/>
      <c r="M118" s="2"/>
      <c r="N118" s="163" t="s">
        <v>110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4"/>
      <c r="AB118" s="636" t="s">
        <v>50</v>
      </c>
      <c r="AC118" s="637"/>
      <c r="AD118" s="637"/>
      <c r="AE118" s="638"/>
    </row>
    <row r="119" spans="1:31" s="17" customFormat="1" ht="12" customHeight="1" x14ac:dyDescent="0.2">
      <c r="A119" s="137" t="s">
        <v>8</v>
      </c>
      <c r="B119" s="138" t="s">
        <v>91</v>
      </c>
      <c r="C119" s="162"/>
      <c r="D119" s="138" t="s">
        <v>133</v>
      </c>
      <c r="E119" s="138"/>
      <c r="J119" s="76"/>
      <c r="K119" s="85"/>
      <c r="L119" s="76"/>
      <c r="N119" s="164" t="s">
        <v>8</v>
      </c>
      <c r="O119" s="160" t="s">
        <v>112</v>
      </c>
      <c r="P119" s="135"/>
      <c r="Z119" s="77"/>
      <c r="AB119" s="463"/>
      <c r="AC119" s="639"/>
      <c r="AD119" s="639"/>
      <c r="AE119" s="77"/>
    </row>
    <row r="120" spans="1:31" s="17" customFormat="1" ht="12" customHeight="1" x14ac:dyDescent="0.2">
      <c r="A120" s="75"/>
      <c r="B120" s="138" t="s">
        <v>107</v>
      </c>
      <c r="C120" s="162"/>
      <c r="D120" s="138" t="s">
        <v>165</v>
      </c>
      <c r="E120" s="138"/>
      <c r="J120" s="76"/>
      <c r="K120" s="85"/>
      <c r="L120" s="76"/>
      <c r="N120" s="164" t="s">
        <v>9</v>
      </c>
      <c r="O120" s="160" t="s">
        <v>113</v>
      </c>
      <c r="P120" s="135"/>
      <c r="Z120" s="77"/>
      <c r="AB120" s="87" t="s">
        <v>10</v>
      </c>
      <c r="AC120" s="640"/>
      <c r="AD120" s="640"/>
      <c r="AE120" s="77"/>
    </row>
    <row r="121" spans="1:31" s="17" customFormat="1" ht="12" customHeight="1" x14ac:dyDescent="0.2">
      <c r="A121" s="75"/>
      <c r="B121" s="138" t="s">
        <v>108</v>
      </c>
      <c r="C121" s="162"/>
      <c r="D121" s="138" t="s">
        <v>168</v>
      </c>
      <c r="E121" s="138"/>
      <c r="N121" s="164" t="s">
        <v>11</v>
      </c>
      <c r="O121" s="160" t="s">
        <v>164</v>
      </c>
      <c r="P121" s="135"/>
      <c r="Z121" s="77"/>
      <c r="AB121" s="86" t="s">
        <v>173</v>
      </c>
      <c r="AC121" s="640"/>
      <c r="AD121" s="640"/>
      <c r="AE121" s="77"/>
    </row>
    <row r="122" spans="1:31" s="17" customFormat="1" ht="12" customHeight="1" x14ac:dyDescent="0.2">
      <c r="A122" s="137" t="s">
        <v>9</v>
      </c>
      <c r="B122" s="138" t="s">
        <v>109</v>
      </c>
      <c r="C122" s="162"/>
      <c r="N122" s="164" t="s">
        <v>12</v>
      </c>
      <c r="O122" s="160" t="s">
        <v>36</v>
      </c>
      <c r="P122" s="135"/>
      <c r="Z122" s="77"/>
      <c r="AB122" s="86" t="s">
        <v>174</v>
      </c>
      <c r="AC122" s="640"/>
      <c r="AD122" s="640"/>
      <c r="AE122" s="77"/>
    </row>
    <row r="123" spans="1:31" s="17" customFormat="1" ht="12" customHeight="1" x14ac:dyDescent="0.2">
      <c r="A123" s="137" t="s">
        <v>11</v>
      </c>
      <c r="B123" s="457" t="s">
        <v>123</v>
      </c>
      <c r="C123" s="477"/>
      <c r="J123" s="7"/>
      <c r="K123" s="52"/>
      <c r="L123" s="76"/>
      <c r="M123" s="78"/>
      <c r="N123" s="164" t="s">
        <v>13</v>
      </c>
      <c r="O123" s="160" t="s">
        <v>32</v>
      </c>
      <c r="P123" s="135"/>
      <c r="R123" s="76"/>
      <c r="V123" s="76"/>
      <c r="W123" s="78"/>
      <c r="Z123" s="77"/>
      <c r="AB123" s="86"/>
      <c r="AC123" s="640"/>
      <c r="AD123" s="640"/>
      <c r="AE123" s="77"/>
    </row>
    <row r="124" spans="1:31" s="17" customFormat="1" ht="12" customHeight="1" x14ac:dyDescent="0.2">
      <c r="A124" s="143"/>
      <c r="B124" s="457"/>
      <c r="C124" s="477"/>
      <c r="D124" s="7" t="s">
        <v>116</v>
      </c>
      <c r="E124" s="7"/>
      <c r="J124" s="76"/>
      <c r="K124" s="85"/>
      <c r="L124" s="76"/>
      <c r="M124" s="78"/>
      <c r="N124" s="164" t="s">
        <v>111</v>
      </c>
      <c r="O124" s="160" t="s">
        <v>114</v>
      </c>
      <c r="P124" s="135"/>
      <c r="R124" s="76"/>
      <c r="V124" s="76"/>
      <c r="W124" s="78"/>
      <c r="Z124" s="77"/>
      <c r="AB124" s="87" t="s">
        <v>19</v>
      </c>
      <c r="AC124" s="640"/>
      <c r="AD124" s="641"/>
      <c r="AE124" s="77"/>
    </row>
    <row r="125" spans="1:31" s="17" customFormat="1" ht="12.75" customHeight="1" x14ac:dyDescent="0.2">
      <c r="A125" s="143"/>
      <c r="B125" s="457"/>
      <c r="C125" s="477"/>
      <c r="J125" s="76"/>
      <c r="K125" s="85"/>
      <c r="L125" s="76"/>
      <c r="M125" s="78"/>
      <c r="N125" s="165"/>
      <c r="O125" s="142"/>
      <c r="P125" s="135"/>
      <c r="R125" s="76"/>
      <c r="V125" s="76"/>
      <c r="W125" s="78"/>
      <c r="Z125" s="77"/>
      <c r="AB125" s="86" t="s">
        <v>175</v>
      </c>
      <c r="AC125" s="640"/>
      <c r="AD125" s="641"/>
      <c r="AE125" s="77"/>
    </row>
    <row r="126" spans="1:31" s="17" customFormat="1" ht="12" customHeight="1" x14ac:dyDescent="0.2">
      <c r="A126" s="137" t="s">
        <v>12</v>
      </c>
      <c r="B126" s="457" t="s">
        <v>124</v>
      </c>
      <c r="C126" s="477"/>
      <c r="D126" s="7" t="s">
        <v>44</v>
      </c>
      <c r="E126" s="7"/>
      <c r="J126" s="76"/>
      <c r="K126" s="85"/>
      <c r="L126" s="76"/>
      <c r="M126" s="78"/>
      <c r="N126" s="166" t="s">
        <v>46</v>
      </c>
      <c r="R126" s="76"/>
      <c r="V126" s="76"/>
      <c r="W126" s="78"/>
      <c r="Z126" s="77"/>
      <c r="AB126" s="86" t="s">
        <v>176</v>
      </c>
      <c r="AC126" s="640"/>
      <c r="AD126" s="640"/>
      <c r="AE126" s="77"/>
    </row>
    <row r="127" spans="1:31" s="17" customFormat="1" ht="12" customHeight="1" x14ac:dyDescent="0.2">
      <c r="A127" s="143"/>
      <c r="B127" s="457"/>
      <c r="C127" s="477"/>
      <c r="D127" s="144" t="s">
        <v>166</v>
      </c>
      <c r="E127" s="144"/>
      <c r="J127" s="76"/>
      <c r="K127" s="85"/>
      <c r="L127" s="76"/>
      <c r="M127" s="78"/>
      <c r="N127" s="151" t="s">
        <v>47</v>
      </c>
      <c r="V127" s="76"/>
      <c r="W127" s="78"/>
      <c r="Z127" s="77"/>
      <c r="AB127" s="143"/>
      <c r="AC127" s="640"/>
      <c r="AD127" s="640"/>
      <c r="AE127" s="77"/>
    </row>
    <row r="128" spans="1:31" s="17" customFormat="1" ht="12" customHeight="1" x14ac:dyDescent="0.2">
      <c r="A128" s="143"/>
      <c r="B128" s="457"/>
      <c r="C128" s="477"/>
      <c r="D128" s="144" t="s">
        <v>45</v>
      </c>
      <c r="E128" s="144"/>
      <c r="J128" s="76"/>
      <c r="N128" s="151" t="s">
        <v>48</v>
      </c>
      <c r="V128" s="76"/>
      <c r="W128" s="78"/>
      <c r="Z128" s="77"/>
      <c r="AB128" s="86"/>
      <c r="AC128" s="640"/>
      <c r="AD128" s="640"/>
      <c r="AE128" s="77"/>
    </row>
    <row r="129" spans="1:31" s="17" customFormat="1" ht="12" customHeight="1" x14ac:dyDescent="0.2">
      <c r="A129" s="137" t="s">
        <v>13</v>
      </c>
      <c r="B129" s="457" t="s">
        <v>117</v>
      </c>
      <c r="C129" s="477"/>
      <c r="J129" s="76"/>
      <c r="N129" s="151" t="s">
        <v>49</v>
      </c>
      <c r="V129" s="76"/>
      <c r="W129" s="78"/>
      <c r="Z129" s="77"/>
      <c r="AB129" s="86"/>
      <c r="AC129" s="642"/>
      <c r="AD129" s="642"/>
      <c r="AE129" s="77"/>
    </row>
    <row r="130" spans="1:31" s="17" customFormat="1" ht="12.75" customHeight="1" thickBot="1" x14ac:dyDescent="0.25">
      <c r="A130" s="79"/>
      <c r="B130" s="480"/>
      <c r="C130" s="481"/>
      <c r="D130" s="80"/>
      <c r="E130" s="80"/>
      <c r="F130" s="80"/>
      <c r="G130" s="80"/>
      <c r="H130" s="80"/>
      <c r="I130" s="80"/>
      <c r="J130" s="81"/>
      <c r="K130" s="80"/>
      <c r="L130" s="80"/>
      <c r="M130" s="80"/>
      <c r="N130" s="167"/>
      <c r="O130" s="80"/>
      <c r="P130" s="80"/>
      <c r="Q130" s="80"/>
      <c r="R130" s="80"/>
      <c r="S130" s="80"/>
      <c r="T130" s="80"/>
      <c r="U130" s="80"/>
      <c r="V130" s="81"/>
      <c r="W130" s="82"/>
      <c r="X130" s="80"/>
      <c r="Y130" s="80"/>
      <c r="Z130" s="83"/>
      <c r="AB130" s="79"/>
      <c r="AC130" s="80"/>
      <c r="AD130" s="80"/>
      <c r="AE130" s="83"/>
    </row>
    <row r="131" spans="1:31" s="133" customFormat="1" ht="18" customHeight="1" x14ac:dyDescent="0.2">
      <c r="A131" s="134" t="s">
        <v>119</v>
      </c>
      <c r="B131" s="145"/>
      <c r="C131" s="146"/>
      <c r="J131" s="147"/>
      <c r="V131" s="147"/>
      <c r="W131" s="148"/>
    </row>
    <row r="132" spans="1:31" s="18" customFormat="1" ht="15" customHeight="1" x14ac:dyDescent="0.2">
      <c r="A132" s="134" t="s">
        <v>122</v>
      </c>
      <c r="C132" s="19"/>
    </row>
    <row r="133" spans="1:31" s="18" customFormat="1" ht="7.5" customHeight="1" x14ac:dyDescent="0.2">
      <c r="C133" s="19"/>
    </row>
    <row r="134" spans="1:31" s="88" customFormat="1" ht="15" x14ac:dyDescent="0.25">
      <c r="B134" s="88" t="s">
        <v>53</v>
      </c>
      <c r="C134" s="89"/>
      <c r="F134" s="88" t="s">
        <v>54</v>
      </c>
      <c r="Y134" s="88" t="s">
        <v>55</v>
      </c>
    </row>
    <row r="135" spans="1:31" s="18" customFormat="1" ht="16.5" customHeight="1" x14ac:dyDescent="0.2">
      <c r="C135" s="19"/>
    </row>
    <row r="136" spans="1:31" s="18" customFormat="1" ht="18" customHeight="1" x14ac:dyDescent="0.2">
      <c r="C136" s="19"/>
    </row>
    <row r="137" spans="1:31" s="18" customFormat="1" ht="17.25" customHeight="1" x14ac:dyDescent="0.2">
      <c r="B137" s="90"/>
      <c r="C137" s="19"/>
      <c r="F137" s="90"/>
      <c r="G137" s="90"/>
      <c r="H137" s="90"/>
      <c r="I137" s="90"/>
      <c r="J137" s="90"/>
      <c r="K137" s="90"/>
      <c r="L137" s="90"/>
      <c r="M137" s="90"/>
      <c r="Y137" s="90"/>
      <c r="Z137" s="90"/>
      <c r="AA137" s="90"/>
      <c r="AB137" s="90"/>
      <c r="AC137" s="90"/>
    </row>
    <row r="138" spans="1:31" s="18" customFormat="1" ht="18" customHeight="1" x14ac:dyDescent="0.2">
      <c r="B138" s="18" t="s">
        <v>56</v>
      </c>
      <c r="C138" s="19"/>
      <c r="F138" s="18" t="s">
        <v>56</v>
      </c>
      <c r="Y138" s="18" t="s">
        <v>57</v>
      </c>
    </row>
    <row r="139" spans="1:31" s="18" customFormat="1" ht="15.75" customHeight="1" x14ac:dyDescent="0.2">
      <c r="B139" s="18" t="s">
        <v>58</v>
      </c>
      <c r="C139" s="19"/>
      <c r="F139" s="18" t="s">
        <v>59</v>
      </c>
      <c r="Y139" s="18" t="s">
        <v>58</v>
      </c>
    </row>
    <row r="140" spans="1:31" ht="8.25" customHeight="1" thickBot="1" x14ac:dyDescent="0.25"/>
    <row r="141" spans="1:31" s="88" customFormat="1" ht="30" customHeight="1" x14ac:dyDescent="0.25">
      <c r="A141" s="294">
        <v>41</v>
      </c>
      <c r="B141" s="295"/>
      <c r="C141" s="93"/>
      <c r="D141" s="295"/>
      <c r="E141" s="93"/>
      <c r="F141" s="319"/>
      <c r="G141" s="104"/>
      <c r="H141" s="105"/>
      <c r="I141" s="105"/>
      <c r="J141" s="106"/>
      <c r="K141" s="105"/>
      <c r="L141" s="105"/>
      <c r="M141" s="105"/>
      <c r="N141" s="104"/>
      <c r="O141" s="105"/>
      <c r="P141" s="105"/>
      <c r="Q141" s="105"/>
      <c r="R141" s="106"/>
      <c r="S141" s="104"/>
      <c r="T141" s="105"/>
      <c r="U141" s="105"/>
      <c r="V141" s="105"/>
      <c r="W141" s="107"/>
      <c r="X141" s="104"/>
      <c r="Y141" s="107"/>
      <c r="Z141" s="108"/>
      <c r="AB141" s="111"/>
      <c r="AC141" s="111"/>
      <c r="AD141" s="110"/>
      <c r="AE141" s="110"/>
    </row>
    <row r="142" spans="1:31" s="88" customFormat="1" ht="30" customHeight="1" x14ac:dyDescent="0.25">
      <c r="A142" s="95">
        <f>A141+1</f>
        <v>42</v>
      </c>
      <c r="B142" s="103"/>
      <c r="C142" s="97"/>
      <c r="D142" s="103"/>
      <c r="E142" s="97"/>
      <c r="F142" s="315"/>
      <c r="G142" s="111"/>
      <c r="H142" s="112"/>
      <c r="I142" s="112"/>
      <c r="J142" s="113"/>
      <c r="K142" s="112"/>
      <c r="L142" s="112"/>
      <c r="M142" s="112"/>
      <c r="N142" s="111"/>
      <c r="O142" s="112"/>
      <c r="P142" s="112"/>
      <c r="Q142" s="112"/>
      <c r="R142" s="113"/>
      <c r="S142" s="111"/>
      <c r="T142" s="112"/>
      <c r="U142" s="112"/>
      <c r="V142" s="112"/>
      <c r="W142" s="114"/>
      <c r="X142" s="111"/>
      <c r="Y142" s="114"/>
      <c r="Z142" s="115"/>
      <c r="AB142" s="111"/>
      <c r="AC142" s="111"/>
      <c r="AD142" s="110"/>
      <c r="AE142" s="110"/>
    </row>
    <row r="143" spans="1:31" s="88" customFormat="1" ht="30" customHeight="1" x14ac:dyDescent="0.25">
      <c r="A143" s="95">
        <f t="shared" ref="A143:A150" si="4">A142+1</f>
        <v>43</v>
      </c>
      <c r="B143" s="103"/>
      <c r="C143" s="97"/>
      <c r="D143" s="103"/>
      <c r="E143" s="97"/>
      <c r="F143" s="315"/>
      <c r="G143" s="111"/>
      <c r="H143" s="112"/>
      <c r="I143" s="112"/>
      <c r="J143" s="113"/>
      <c r="K143" s="112"/>
      <c r="L143" s="112"/>
      <c r="M143" s="112"/>
      <c r="N143" s="111"/>
      <c r="O143" s="112"/>
      <c r="P143" s="112"/>
      <c r="Q143" s="112"/>
      <c r="R143" s="113"/>
      <c r="S143" s="111"/>
      <c r="T143" s="112"/>
      <c r="U143" s="112"/>
      <c r="V143" s="112"/>
      <c r="W143" s="114"/>
      <c r="X143" s="111"/>
      <c r="Y143" s="114"/>
      <c r="Z143" s="115"/>
      <c r="AB143" s="111"/>
      <c r="AC143" s="111"/>
      <c r="AD143" s="110"/>
      <c r="AE143" s="110"/>
    </row>
    <row r="144" spans="1:31" s="88" customFormat="1" ht="30" customHeight="1" x14ac:dyDescent="0.25">
      <c r="A144" s="95">
        <f t="shared" si="4"/>
        <v>44</v>
      </c>
      <c r="B144" s="103"/>
      <c r="C144" s="97"/>
      <c r="D144" s="103"/>
      <c r="E144" s="97"/>
      <c r="F144" s="315"/>
      <c r="G144" s="111"/>
      <c r="H144" s="112"/>
      <c r="I144" s="112"/>
      <c r="J144" s="113"/>
      <c r="K144" s="112"/>
      <c r="L144" s="112"/>
      <c r="M144" s="112"/>
      <c r="N144" s="111"/>
      <c r="O144" s="112"/>
      <c r="P144" s="112"/>
      <c r="Q144" s="112"/>
      <c r="R144" s="113"/>
      <c r="S144" s="111"/>
      <c r="T144" s="112"/>
      <c r="U144" s="112"/>
      <c r="V144" s="112"/>
      <c r="W144" s="114"/>
      <c r="X144" s="111"/>
      <c r="Y144" s="114"/>
      <c r="Z144" s="115"/>
      <c r="AB144" s="111"/>
      <c r="AC144" s="111"/>
      <c r="AD144" s="110"/>
      <c r="AE144" s="110"/>
    </row>
    <row r="145" spans="1:31" s="88" customFormat="1" ht="30" customHeight="1" x14ac:dyDescent="0.25">
      <c r="A145" s="95">
        <f t="shared" si="4"/>
        <v>45</v>
      </c>
      <c r="B145" s="103"/>
      <c r="C145" s="97"/>
      <c r="D145" s="103"/>
      <c r="E145" s="97"/>
      <c r="F145" s="315"/>
      <c r="G145" s="111"/>
      <c r="H145" s="112"/>
      <c r="I145" s="112"/>
      <c r="J145" s="113"/>
      <c r="K145" s="112"/>
      <c r="L145" s="112"/>
      <c r="M145" s="112"/>
      <c r="N145" s="111"/>
      <c r="O145" s="112"/>
      <c r="P145" s="112"/>
      <c r="Q145" s="112"/>
      <c r="R145" s="113"/>
      <c r="S145" s="111"/>
      <c r="T145" s="112"/>
      <c r="U145" s="112"/>
      <c r="V145" s="112"/>
      <c r="W145" s="114"/>
      <c r="X145" s="111"/>
      <c r="Y145" s="114"/>
      <c r="Z145" s="115"/>
      <c r="AB145" s="111"/>
      <c r="AC145" s="111"/>
      <c r="AD145" s="110"/>
      <c r="AE145" s="110"/>
    </row>
    <row r="146" spans="1:31" s="88" customFormat="1" ht="30" customHeight="1" x14ac:dyDescent="0.25">
      <c r="A146" s="95">
        <f t="shared" si="4"/>
        <v>46</v>
      </c>
      <c r="B146" s="103"/>
      <c r="C146" s="97"/>
      <c r="D146" s="103"/>
      <c r="E146" s="97"/>
      <c r="F146" s="315"/>
      <c r="G146" s="111"/>
      <c r="H146" s="112"/>
      <c r="I146" s="112"/>
      <c r="J146" s="113"/>
      <c r="K146" s="112"/>
      <c r="L146" s="112"/>
      <c r="M146" s="112"/>
      <c r="N146" s="111"/>
      <c r="O146" s="112"/>
      <c r="P146" s="112"/>
      <c r="Q146" s="112"/>
      <c r="R146" s="113"/>
      <c r="S146" s="111"/>
      <c r="T146" s="112"/>
      <c r="U146" s="112"/>
      <c r="V146" s="112"/>
      <c r="W146" s="114"/>
      <c r="X146" s="111"/>
      <c r="Y146" s="114"/>
      <c r="Z146" s="115"/>
      <c r="AB146" s="111"/>
      <c r="AC146" s="111"/>
      <c r="AD146" s="110"/>
      <c r="AE146" s="110"/>
    </row>
    <row r="147" spans="1:31" s="88" customFormat="1" ht="30" customHeight="1" x14ac:dyDescent="0.25">
      <c r="A147" s="95">
        <f t="shared" si="4"/>
        <v>47</v>
      </c>
      <c r="B147" s="103"/>
      <c r="C147" s="97"/>
      <c r="D147" s="103"/>
      <c r="E147" s="97"/>
      <c r="F147" s="315"/>
      <c r="G147" s="111"/>
      <c r="H147" s="112"/>
      <c r="I147" s="112"/>
      <c r="J147" s="113"/>
      <c r="K147" s="112"/>
      <c r="L147" s="112"/>
      <c r="M147" s="112"/>
      <c r="N147" s="111"/>
      <c r="O147" s="112"/>
      <c r="P147" s="112"/>
      <c r="Q147" s="112"/>
      <c r="R147" s="113"/>
      <c r="S147" s="111"/>
      <c r="T147" s="112"/>
      <c r="U147" s="112"/>
      <c r="V147" s="112"/>
      <c r="W147" s="114"/>
      <c r="X147" s="111"/>
      <c r="Y147" s="114"/>
      <c r="Z147" s="115"/>
      <c r="AB147" s="111"/>
      <c r="AC147" s="111"/>
      <c r="AD147" s="110"/>
      <c r="AE147" s="110"/>
    </row>
    <row r="148" spans="1:31" s="88" customFormat="1" ht="30" customHeight="1" x14ac:dyDescent="0.25">
      <c r="A148" s="95">
        <f t="shared" si="4"/>
        <v>48</v>
      </c>
      <c r="B148" s="103"/>
      <c r="C148" s="97"/>
      <c r="D148" s="103"/>
      <c r="E148" s="103"/>
      <c r="F148" s="316"/>
      <c r="G148" s="111"/>
      <c r="H148" s="112"/>
      <c r="I148" s="112"/>
      <c r="J148" s="113"/>
      <c r="K148" s="112"/>
      <c r="L148" s="112"/>
      <c r="M148" s="112"/>
      <c r="N148" s="111"/>
      <c r="O148" s="112"/>
      <c r="P148" s="112"/>
      <c r="Q148" s="112"/>
      <c r="R148" s="113"/>
      <c r="S148" s="111"/>
      <c r="T148" s="112"/>
      <c r="U148" s="112"/>
      <c r="V148" s="112"/>
      <c r="W148" s="114"/>
      <c r="X148" s="111"/>
      <c r="Y148" s="114"/>
      <c r="Z148" s="115"/>
      <c r="AB148" s="111"/>
      <c r="AC148" s="111"/>
      <c r="AD148" s="110"/>
      <c r="AE148" s="110"/>
    </row>
    <row r="149" spans="1:31" s="88" customFormat="1" ht="30" customHeight="1" x14ac:dyDescent="0.25">
      <c r="A149" s="95">
        <f t="shared" si="4"/>
        <v>49</v>
      </c>
      <c r="B149" s="103"/>
      <c r="C149" s="97"/>
      <c r="D149" s="103"/>
      <c r="E149" s="103"/>
      <c r="F149" s="316"/>
      <c r="G149" s="111"/>
      <c r="H149" s="112"/>
      <c r="I149" s="112"/>
      <c r="J149" s="113"/>
      <c r="K149" s="112"/>
      <c r="L149" s="112"/>
      <c r="M149" s="112"/>
      <c r="N149" s="111"/>
      <c r="O149" s="112"/>
      <c r="P149" s="112"/>
      <c r="Q149" s="112"/>
      <c r="R149" s="113"/>
      <c r="S149" s="111"/>
      <c r="T149" s="112"/>
      <c r="U149" s="112"/>
      <c r="V149" s="112"/>
      <c r="W149" s="114"/>
      <c r="X149" s="111"/>
      <c r="Y149" s="114"/>
      <c r="Z149" s="115"/>
      <c r="AB149" s="111"/>
      <c r="AC149" s="111"/>
      <c r="AD149" s="110"/>
      <c r="AE149" s="110"/>
    </row>
    <row r="150" spans="1:31" s="88" customFormat="1" ht="30" customHeight="1" thickBot="1" x14ac:dyDescent="0.3">
      <c r="A150" s="95">
        <f t="shared" si="4"/>
        <v>50</v>
      </c>
      <c r="B150" s="103"/>
      <c r="C150" s="97"/>
      <c r="D150" s="103"/>
      <c r="E150" s="103"/>
      <c r="F150" s="110"/>
      <c r="G150" s="111"/>
      <c r="H150" s="112"/>
      <c r="I150" s="112"/>
      <c r="J150" s="113"/>
      <c r="K150" s="112"/>
      <c r="L150" s="112"/>
      <c r="M150" s="112"/>
      <c r="N150" s="111"/>
      <c r="O150" s="112"/>
      <c r="P150" s="112"/>
      <c r="Q150" s="112"/>
      <c r="R150" s="113"/>
      <c r="S150" s="111"/>
      <c r="T150" s="112"/>
      <c r="U150" s="112"/>
      <c r="V150" s="112"/>
      <c r="W150" s="114"/>
      <c r="X150" s="111"/>
      <c r="Y150" s="114"/>
      <c r="Z150" s="115"/>
      <c r="AB150" s="111"/>
      <c r="AC150" s="111"/>
      <c r="AD150" s="110"/>
      <c r="AE150" s="110"/>
    </row>
    <row r="151" spans="1:31" s="5" customFormat="1" ht="18.75" customHeight="1" x14ac:dyDescent="0.2">
      <c r="A151" s="74" t="s">
        <v>106</v>
      </c>
      <c r="B151" s="2"/>
      <c r="C151" s="161"/>
      <c r="D151" s="2"/>
      <c r="E151" s="2"/>
      <c r="F151" s="2"/>
      <c r="G151" s="2"/>
      <c r="H151" s="2"/>
      <c r="I151" s="2"/>
      <c r="J151" s="84"/>
      <c r="K151" s="3"/>
      <c r="L151" s="3"/>
      <c r="M151" s="2"/>
      <c r="N151" s="163" t="s">
        <v>110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4"/>
      <c r="AB151" s="636" t="s">
        <v>50</v>
      </c>
      <c r="AC151" s="637"/>
      <c r="AD151" s="637"/>
      <c r="AE151" s="638"/>
    </row>
    <row r="152" spans="1:31" s="17" customFormat="1" ht="12" customHeight="1" x14ac:dyDescent="0.2">
      <c r="A152" s="137" t="s">
        <v>8</v>
      </c>
      <c r="B152" s="138" t="s">
        <v>91</v>
      </c>
      <c r="C152" s="162"/>
      <c r="D152" s="138" t="s">
        <v>133</v>
      </c>
      <c r="E152" s="138"/>
      <c r="J152" s="76"/>
      <c r="K152" s="85"/>
      <c r="L152" s="76"/>
      <c r="N152" s="164" t="s">
        <v>8</v>
      </c>
      <c r="O152" s="160" t="s">
        <v>112</v>
      </c>
      <c r="P152" s="135"/>
      <c r="Z152" s="77"/>
      <c r="AB152" s="463"/>
      <c r="AC152" s="639"/>
      <c r="AD152" s="639"/>
      <c r="AE152" s="77"/>
    </row>
    <row r="153" spans="1:31" s="17" customFormat="1" ht="12" customHeight="1" x14ac:dyDescent="0.2">
      <c r="A153" s="75"/>
      <c r="B153" s="138" t="s">
        <v>107</v>
      </c>
      <c r="C153" s="162"/>
      <c r="D153" s="138" t="s">
        <v>165</v>
      </c>
      <c r="E153" s="138"/>
      <c r="J153" s="76"/>
      <c r="K153" s="85"/>
      <c r="L153" s="76"/>
      <c r="N153" s="164" t="s">
        <v>9</v>
      </c>
      <c r="O153" s="160" t="s">
        <v>113</v>
      </c>
      <c r="P153" s="135"/>
      <c r="Z153" s="77"/>
      <c r="AB153" s="87" t="s">
        <v>10</v>
      </c>
      <c r="AC153" s="640"/>
      <c r="AD153" s="640"/>
      <c r="AE153" s="77"/>
    </row>
    <row r="154" spans="1:31" s="17" customFormat="1" ht="12" customHeight="1" x14ac:dyDescent="0.2">
      <c r="A154" s="75"/>
      <c r="B154" s="138" t="s">
        <v>108</v>
      </c>
      <c r="C154" s="162"/>
      <c r="D154" s="138" t="s">
        <v>168</v>
      </c>
      <c r="E154" s="138"/>
      <c r="N154" s="164" t="s">
        <v>11</v>
      </c>
      <c r="O154" s="160" t="s">
        <v>164</v>
      </c>
      <c r="P154" s="135"/>
      <c r="Z154" s="77"/>
      <c r="AB154" s="86" t="s">
        <v>173</v>
      </c>
      <c r="AC154" s="640"/>
      <c r="AD154" s="640"/>
      <c r="AE154" s="77"/>
    </row>
    <row r="155" spans="1:31" s="17" customFormat="1" ht="12" customHeight="1" x14ac:dyDescent="0.2">
      <c r="A155" s="137" t="s">
        <v>9</v>
      </c>
      <c r="B155" s="138" t="s">
        <v>109</v>
      </c>
      <c r="C155" s="162"/>
      <c r="N155" s="164" t="s">
        <v>12</v>
      </c>
      <c r="O155" s="160" t="s">
        <v>36</v>
      </c>
      <c r="P155" s="135"/>
      <c r="Z155" s="77"/>
      <c r="AB155" s="86" t="s">
        <v>174</v>
      </c>
      <c r="AC155" s="640"/>
      <c r="AD155" s="640"/>
      <c r="AE155" s="77"/>
    </row>
    <row r="156" spans="1:31" s="17" customFormat="1" ht="12" customHeight="1" x14ac:dyDescent="0.2">
      <c r="A156" s="137" t="s">
        <v>11</v>
      </c>
      <c r="B156" s="457" t="s">
        <v>123</v>
      </c>
      <c r="C156" s="477"/>
      <c r="J156" s="7"/>
      <c r="K156" s="52"/>
      <c r="L156" s="76"/>
      <c r="M156" s="78"/>
      <c r="N156" s="164" t="s">
        <v>13</v>
      </c>
      <c r="O156" s="160" t="s">
        <v>32</v>
      </c>
      <c r="P156" s="135"/>
      <c r="R156" s="76"/>
      <c r="V156" s="76"/>
      <c r="W156" s="78"/>
      <c r="Z156" s="77"/>
      <c r="AB156" s="86"/>
      <c r="AC156" s="640"/>
      <c r="AD156" s="640"/>
      <c r="AE156" s="77"/>
    </row>
    <row r="157" spans="1:31" s="17" customFormat="1" ht="12" customHeight="1" x14ac:dyDescent="0.2">
      <c r="A157" s="143"/>
      <c r="B157" s="457"/>
      <c r="C157" s="477"/>
      <c r="D157" s="7" t="s">
        <v>116</v>
      </c>
      <c r="E157" s="7"/>
      <c r="J157" s="76"/>
      <c r="K157" s="85"/>
      <c r="L157" s="76"/>
      <c r="M157" s="78"/>
      <c r="N157" s="164" t="s">
        <v>111</v>
      </c>
      <c r="O157" s="160" t="s">
        <v>114</v>
      </c>
      <c r="P157" s="135"/>
      <c r="R157" s="76"/>
      <c r="V157" s="76"/>
      <c r="W157" s="78"/>
      <c r="Z157" s="77"/>
      <c r="AB157" s="87" t="s">
        <v>19</v>
      </c>
      <c r="AC157" s="640"/>
      <c r="AD157" s="641"/>
      <c r="AE157" s="77"/>
    </row>
    <row r="158" spans="1:31" s="17" customFormat="1" ht="12.75" customHeight="1" x14ac:dyDescent="0.2">
      <c r="A158" s="143"/>
      <c r="B158" s="457"/>
      <c r="C158" s="477"/>
      <c r="J158" s="76"/>
      <c r="K158" s="85"/>
      <c r="L158" s="76"/>
      <c r="M158" s="78"/>
      <c r="N158" s="165"/>
      <c r="O158" s="142"/>
      <c r="P158" s="135"/>
      <c r="R158" s="76"/>
      <c r="V158" s="76"/>
      <c r="W158" s="78"/>
      <c r="Z158" s="77"/>
      <c r="AB158" s="86" t="s">
        <v>175</v>
      </c>
      <c r="AC158" s="640"/>
      <c r="AD158" s="641"/>
      <c r="AE158" s="77"/>
    </row>
    <row r="159" spans="1:31" s="17" customFormat="1" ht="12" customHeight="1" x14ac:dyDescent="0.2">
      <c r="A159" s="137" t="s">
        <v>12</v>
      </c>
      <c r="B159" s="457" t="s">
        <v>124</v>
      </c>
      <c r="C159" s="477"/>
      <c r="D159" s="7" t="s">
        <v>44</v>
      </c>
      <c r="E159" s="7"/>
      <c r="J159" s="76"/>
      <c r="K159" s="85"/>
      <c r="L159" s="76"/>
      <c r="M159" s="78"/>
      <c r="N159" s="166" t="s">
        <v>46</v>
      </c>
      <c r="R159" s="76"/>
      <c r="V159" s="76"/>
      <c r="W159" s="78"/>
      <c r="Z159" s="77"/>
      <c r="AB159" s="86" t="s">
        <v>176</v>
      </c>
      <c r="AC159" s="640"/>
      <c r="AD159" s="640"/>
      <c r="AE159" s="77"/>
    </row>
    <row r="160" spans="1:31" s="17" customFormat="1" ht="12" customHeight="1" x14ac:dyDescent="0.2">
      <c r="A160" s="143"/>
      <c r="B160" s="457"/>
      <c r="C160" s="477"/>
      <c r="D160" s="144" t="s">
        <v>166</v>
      </c>
      <c r="E160" s="144"/>
      <c r="J160" s="76"/>
      <c r="K160" s="85"/>
      <c r="L160" s="76"/>
      <c r="M160" s="78"/>
      <c r="N160" s="151" t="s">
        <v>47</v>
      </c>
      <c r="V160" s="76"/>
      <c r="W160" s="78"/>
      <c r="Z160" s="77"/>
      <c r="AB160" s="143"/>
      <c r="AC160" s="640"/>
      <c r="AD160" s="640"/>
      <c r="AE160" s="77"/>
    </row>
    <row r="161" spans="1:31" s="17" customFormat="1" ht="12" customHeight="1" x14ac:dyDescent="0.2">
      <c r="A161" s="143"/>
      <c r="B161" s="457"/>
      <c r="C161" s="477"/>
      <c r="D161" s="144" t="s">
        <v>45</v>
      </c>
      <c r="E161" s="144"/>
      <c r="J161" s="76"/>
      <c r="N161" s="151" t="s">
        <v>48</v>
      </c>
      <c r="V161" s="76"/>
      <c r="W161" s="78"/>
      <c r="Z161" s="77"/>
      <c r="AB161" s="86"/>
      <c r="AC161" s="640"/>
      <c r="AD161" s="640"/>
      <c r="AE161" s="77"/>
    </row>
    <row r="162" spans="1:31" s="17" customFormat="1" ht="12" customHeight="1" x14ac:dyDescent="0.2">
      <c r="A162" s="137" t="s">
        <v>13</v>
      </c>
      <c r="B162" s="457" t="s">
        <v>117</v>
      </c>
      <c r="C162" s="477"/>
      <c r="J162" s="76"/>
      <c r="N162" s="151" t="s">
        <v>49</v>
      </c>
      <c r="V162" s="76"/>
      <c r="W162" s="78"/>
      <c r="Z162" s="77"/>
      <c r="AB162" s="86"/>
      <c r="AC162" s="642"/>
      <c r="AD162" s="642"/>
      <c r="AE162" s="77"/>
    </row>
    <row r="163" spans="1:31" s="17" customFormat="1" ht="12.75" customHeight="1" thickBot="1" x14ac:dyDescent="0.25">
      <c r="A163" s="79"/>
      <c r="B163" s="480"/>
      <c r="C163" s="481"/>
      <c r="D163" s="80"/>
      <c r="E163" s="80"/>
      <c r="F163" s="80"/>
      <c r="G163" s="80"/>
      <c r="H163" s="80"/>
      <c r="I163" s="80"/>
      <c r="J163" s="81"/>
      <c r="K163" s="80"/>
      <c r="L163" s="80"/>
      <c r="M163" s="80"/>
      <c r="N163" s="167"/>
      <c r="O163" s="80"/>
      <c r="P163" s="80"/>
      <c r="Q163" s="80"/>
      <c r="R163" s="80"/>
      <c r="S163" s="80"/>
      <c r="T163" s="80"/>
      <c r="U163" s="80"/>
      <c r="V163" s="81"/>
      <c r="W163" s="82"/>
      <c r="X163" s="80"/>
      <c r="Y163" s="80"/>
      <c r="Z163" s="83"/>
      <c r="AB163" s="79"/>
      <c r="AC163" s="80"/>
      <c r="AD163" s="80"/>
      <c r="AE163" s="83"/>
    </row>
    <row r="164" spans="1:31" s="133" customFormat="1" ht="18" customHeight="1" x14ac:dyDescent="0.2">
      <c r="A164" s="134" t="s">
        <v>119</v>
      </c>
      <c r="B164" s="145"/>
      <c r="C164" s="146"/>
      <c r="J164" s="147"/>
      <c r="V164" s="147"/>
      <c r="W164" s="148"/>
    </row>
    <row r="165" spans="1:31" s="18" customFormat="1" ht="15" customHeight="1" x14ac:dyDescent="0.2">
      <c r="A165" s="134" t="s">
        <v>122</v>
      </c>
      <c r="C165" s="19"/>
    </row>
    <row r="166" spans="1:31" s="18" customFormat="1" ht="7.5" customHeight="1" x14ac:dyDescent="0.2">
      <c r="C166" s="19"/>
    </row>
    <row r="167" spans="1:31" s="88" customFormat="1" ht="15" x14ac:dyDescent="0.25">
      <c r="B167" s="88" t="s">
        <v>53</v>
      </c>
      <c r="C167" s="89"/>
      <c r="F167" s="88" t="s">
        <v>54</v>
      </c>
      <c r="Y167" s="88" t="s">
        <v>55</v>
      </c>
    </row>
    <row r="168" spans="1:31" s="18" customFormat="1" ht="16.5" customHeight="1" x14ac:dyDescent="0.2">
      <c r="C168" s="19"/>
    </row>
    <row r="169" spans="1:31" s="18" customFormat="1" ht="18" customHeight="1" x14ac:dyDescent="0.2">
      <c r="C169" s="19"/>
    </row>
    <row r="170" spans="1:31" s="18" customFormat="1" ht="17.25" customHeight="1" x14ac:dyDescent="0.2">
      <c r="B170" s="90"/>
      <c r="C170" s="19"/>
      <c r="F170" s="90"/>
      <c r="G170" s="90"/>
      <c r="H170" s="90"/>
      <c r="I170" s="90"/>
      <c r="J170" s="90"/>
      <c r="K170" s="90"/>
      <c r="L170" s="90"/>
      <c r="M170" s="90"/>
      <c r="Y170" s="90"/>
      <c r="Z170" s="90"/>
      <c r="AA170" s="90"/>
      <c r="AB170" s="90"/>
      <c r="AC170" s="90"/>
    </row>
    <row r="171" spans="1:31" s="18" customFormat="1" ht="18" customHeight="1" x14ac:dyDescent="0.2">
      <c r="B171" s="18" t="s">
        <v>56</v>
      </c>
      <c r="C171" s="19"/>
      <c r="F171" s="18" t="s">
        <v>56</v>
      </c>
      <c r="Y171" s="18" t="s">
        <v>57</v>
      </c>
    </row>
    <row r="172" spans="1:31" s="18" customFormat="1" ht="15.75" customHeight="1" x14ac:dyDescent="0.2">
      <c r="B172" s="18" t="s">
        <v>58</v>
      </c>
      <c r="C172" s="19"/>
      <c r="F172" s="18" t="s">
        <v>59</v>
      </c>
      <c r="Y172" s="18" t="s">
        <v>58</v>
      </c>
    </row>
    <row r="174" spans="1:31" s="6" customFormat="1" ht="21" customHeight="1" x14ac:dyDescent="0.25">
      <c r="A174" s="393" t="s">
        <v>264</v>
      </c>
      <c r="C174" s="48"/>
    </row>
  </sheetData>
  <mergeCells count="48">
    <mergeCell ref="AE4:AE7"/>
    <mergeCell ref="B162:C163"/>
    <mergeCell ref="B126:C128"/>
    <mergeCell ref="B129:C130"/>
    <mergeCell ref="AB151:AD152"/>
    <mergeCell ref="B156:C158"/>
    <mergeCell ref="B159:C161"/>
    <mergeCell ref="B90:C92"/>
    <mergeCell ref="B93:C95"/>
    <mergeCell ref="B96:C97"/>
    <mergeCell ref="AB118:AD119"/>
    <mergeCell ref="B123:C125"/>
    <mergeCell ref="AB52:AD53"/>
    <mergeCell ref="B57:C59"/>
    <mergeCell ref="B60:C62"/>
    <mergeCell ref="B63:C64"/>
    <mergeCell ref="AB85:AD86"/>
    <mergeCell ref="B30:C31"/>
    <mergeCell ref="J6:J7"/>
    <mergeCell ref="K6:K7"/>
    <mergeCell ref="L6:L7"/>
    <mergeCell ref="G6:G7"/>
    <mergeCell ref="H6:H7"/>
    <mergeCell ref="I6:I7"/>
    <mergeCell ref="E4:E8"/>
    <mergeCell ref="G4:M4"/>
    <mergeCell ref="B4:B8"/>
    <mergeCell ref="C4:C8"/>
    <mergeCell ref="D4:D8"/>
    <mergeCell ref="F4:F8"/>
    <mergeCell ref="B24:C26"/>
    <mergeCell ref="M6:M7"/>
    <mergeCell ref="N6:R6"/>
    <mergeCell ref="S6:W6"/>
    <mergeCell ref="B27:C29"/>
    <mergeCell ref="A1:AD1"/>
    <mergeCell ref="AB19:AD20"/>
    <mergeCell ref="A2:AD2"/>
    <mergeCell ref="X4:Y5"/>
    <mergeCell ref="Z4:Z7"/>
    <mergeCell ref="AB4:AC4"/>
    <mergeCell ref="AD4:AD7"/>
    <mergeCell ref="G5:M5"/>
    <mergeCell ref="N5:W5"/>
    <mergeCell ref="AB5:AC5"/>
    <mergeCell ref="X6:Y6"/>
    <mergeCell ref="N4:W4"/>
    <mergeCell ref="A4:A8"/>
  </mergeCells>
  <pageMargins left="0.33" right="0.22" top="0.22" bottom="0.18" header="0.17" footer="0.18"/>
  <pageSetup paperSize="9" scale="60" orientation="landscape" r:id="rId1"/>
  <rowBreaks count="4" manualBreakCount="4">
    <brk id="41" max="30" man="1"/>
    <brk id="74" max="30" man="1"/>
    <brk id="107" max="30" man="1"/>
    <brk id="140" max="3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6DD07-205D-4D63-9740-FF4A666BAC55}">
  <sheetPr>
    <tabColor rgb="FF92D050"/>
  </sheetPr>
  <dimension ref="A1:AE154"/>
  <sheetViews>
    <sheetView showGridLines="0" view="pageBreakPreview" zoomScaleNormal="100" zoomScaleSheetLayoutView="100" workbookViewId="0">
      <selection activeCell="A2" sqref="A2:Z2"/>
    </sheetView>
  </sheetViews>
  <sheetFormatPr defaultColWidth="3.7109375" defaultRowHeight="11.25" x14ac:dyDescent="0.2"/>
  <cols>
    <col min="1" max="1" width="4.7109375" style="264" customWidth="1"/>
    <col min="2" max="2" width="31.42578125" style="264" customWidth="1"/>
    <col min="3" max="8" width="5" style="264" customWidth="1"/>
    <col min="9" max="9" width="6" style="264" customWidth="1"/>
    <col min="10" max="11" width="6.28515625" style="264" customWidth="1"/>
    <col min="12" max="12" width="7.140625" style="264" customWidth="1"/>
    <col min="13" max="13" width="9.140625" style="264" customWidth="1"/>
    <col min="14" max="14" width="5.7109375" style="264" customWidth="1"/>
    <col min="15" max="15" width="6.140625" style="264" customWidth="1"/>
    <col min="16" max="16" width="1.7109375" style="264" customWidth="1"/>
    <col min="17" max="25" width="3.7109375" style="264"/>
    <col min="26" max="26" width="34.140625" style="264" customWidth="1"/>
    <col min="27" max="246" width="3.7109375" style="264"/>
    <col min="247" max="247" width="24.5703125" style="264" customWidth="1"/>
    <col min="248" max="253" width="3.7109375" style="264"/>
    <col min="254" max="254" width="4.28515625" style="264" customWidth="1"/>
    <col min="255" max="258" width="3.7109375" style="264"/>
    <col min="259" max="259" width="4.28515625" style="264" customWidth="1"/>
    <col min="260" max="260" width="4.7109375" style="264" customWidth="1"/>
    <col min="261" max="261" width="1.7109375" style="264" customWidth="1"/>
    <col min="262" max="502" width="3.7109375" style="264"/>
    <col min="503" max="503" width="24.5703125" style="264" customWidth="1"/>
    <col min="504" max="509" width="3.7109375" style="264"/>
    <col min="510" max="510" width="4.28515625" style="264" customWidth="1"/>
    <col min="511" max="514" width="3.7109375" style="264"/>
    <col min="515" max="515" width="4.28515625" style="264" customWidth="1"/>
    <col min="516" max="516" width="4.7109375" style="264" customWidth="1"/>
    <col min="517" max="517" width="1.7109375" style="264" customWidth="1"/>
    <col min="518" max="758" width="3.7109375" style="264"/>
    <col min="759" max="759" width="24.5703125" style="264" customWidth="1"/>
    <col min="760" max="765" width="3.7109375" style="264"/>
    <col min="766" max="766" width="4.28515625" style="264" customWidth="1"/>
    <col min="767" max="770" width="3.7109375" style="264"/>
    <col min="771" max="771" width="4.28515625" style="264" customWidth="1"/>
    <col min="772" max="772" width="4.7109375" style="264" customWidth="1"/>
    <col min="773" max="773" width="1.7109375" style="264" customWidth="1"/>
    <col min="774" max="1014" width="3.7109375" style="264"/>
    <col min="1015" max="1015" width="24.5703125" style="264" customWidth="1"/>
    <col min="1016" max="1021" width="3.7109375" style="264"/>
    <col min="1022" max="1022" width="4.28515625" style="264" customWidth="1"/>
    <col min="1023" max="1026" width="3.7109375" style="264"/>
    <col min="1027" max="1027" width="4.28515625" style="264" customWidth="1"/>
    <col min="1028" max="1028" width="4.7109375" style="264" customWidth="1"/>
    <col min="1029" max="1029" width="1.7109375" style="264" customWidth="1"/>
    <col min="1030" max="1270" width="3.7109375" style="264"/>
    <col min="1271" max="1271" width="24.5703125" style="264" customWidth="1"/>
    <col min="1272" max="1277" width="3.7109375" style="264"/>
    <col min="1278" max="1278" width="4.28515625" style="264" customWidth="1"/>
    <col min="1279" max="1282" width="3.7109375" style="264"/>
    <col min="1283" max="1283" width="4.28515625" style="264" customWidth="1"/>
    <col min="1284" max="1284" width="4.7109375" style="264" customWidth="1"/>
    <col min="1285" max="1285" width="1.7109375" style="264" customWidth="1"/>
    <col min="1286" max="1526" width="3.7109375" style="264"/>
    <col min="1527" max="1527" width="24.5703125" style="264" customWidth="1"/>
    <col min="1528" max="1533" width="3.7109375" style="264"/>
    <col min="1534" max="1534" width="4.28515625" style="264" customWidth="1"/>
    <col min="1535" max="1538" width="3.7109375" style="264"/>
    <col min="1539" max="1539" width="4.28515625" style="264" customWidth="1"/>
    <col min="1540" max="1540" width="4.7109375" style="264" customWidth="1"/>
    <col min="1541" max="1541" width="1.7109375" style="264" customWidth="1"/>
    <col min="1542" max="1782" width="3.7109375" style="264"/>
    <col min="1783" max="1783" width="24.5703125" style="264" customWidth="1"/>
    <col min="1784" max="1789" width="3.7109375" style="264"/>
    <col min="1790" max="1790" width="4.28515625" style="264" customWidth="1"/>
    <col min="1791" max="1794" width="3.7109375" style="264"/>
    <col min="1795" max="1795" width="4.28515625" style="264" customWidth="1"/>
    <col min="1796" max="1796" width="4.7109375" style="264" customWidth="1"/>
    <col min="1797" max="1797" width="1.7109375" style="264" customWidth="1"/>
    <col min="1798" max="2038" width="3.7109375" style="264"/>
    <col min="2039" max="2039" width="24.5703125" style="264" customWidth="1"/>
    <col min="2040" max="2045" width="3.7109375" style="264"/>
    <col min="2046" max="2046" width="4.28515625" style="264" customWidth="1"/>
    <col min="2047" max="2050" width="3.7109375" style="264"/>
    <col min="2051" max="2051" width="4.28515625" style="264" customWidth="1"/>
    <col min="2052" max="2052" width="4.7109375" style="264" customWidth="1"/>
    <col min="2053" max="2053" width="1.7109375" style="264" customWidth="1"/>
    <col min="2054" max="2294" width="3.7109375" style="264"/>
    <col min="2295" max="2295" width="24.5703125" style="264" customWidth="1"/>
    <col min="2296" max="2301" width="3.7109375" style="264"/>
    <col min="2302" max="2302" width="4.28515625" style="264" customWidth="1"/>
    <col min="2303" max="2306" width="3.7109375" style="264"/>
    <col min="2307" max="2307" width="4.28515625" style="264" customWidth="1"/>
    <col min="2308" max="2308" width="4.7109375" style="264" customWidth="1"/>
    <col min="2309" max="2309" width="1.7109375" style="264" customWidth="1"/>
    <col min="2310" max="2550" width="3.7109375" style="264"/>
    <col min="2551" max="2551" width="24.5703125" style="264" customWidth="1"/>
    <col min="2552" max="2557" width="3.7109375" style="264"/>
    <col min="2558" max="2558" width="4.28515625" style="264" customWidth="1"/>
    <col min="2559" max="2562" width="3.7109375" style="264"/>
    <col min="2563" max="2563" width="4.28515625" style="264" customWidth="1"/>
    <col min="2564" max="2564" width="4.7109375" style="264" customWidth="1"/>
    <col min="2565" max="2565" width="1.7109375" style="264" customWidth="1"/>
    <col min="2566" max="2806" width="3.7109375" style="264"/>
    <col min="2807" max="2807" width="24.5703125" style="264" customWidth="1"/>
    <col min="2808" max="2813" width="3.7109375" style="264"/>
    <col min="2814" max="2814" width="4.28515625" style="264" customWidth="1"/>
    <col min="2815" max="2818" width="3.7109375" style="264"/>
    <col min="2819" max="2819" width="4.28515625" style="264" customWidth="1"/>
    <col min="2820" max="2820" width="4.7109375" style="264" customWidth="1"/>
    <col min="2821" max="2821" width="1.7109375" style="264" customWidth="1"/>
    <col min="2822" max="3062" width="3.7109375" style="264"/>
    <col min="3063" max="3063" width="24.5703125" style="264" customWidth="1"/>
    <col min="3064" max="3069" width="3.7109375" style="264"/>
    <col min="3070" max="3070" width="4.28515625" style="264" customWidth="1"/>
    <col min="3071" max="3074" width="3.7109375" style="264"/>
    <col min="3075" max="3075" width="4.28515625" style="264" customWidth="1"/>
    <col min="3076" max="3076" width="4.7109375" style="264" customWidth="1"/>
    <col min="3077" max="3077" width="1.7109375" style="264" customWidth="1"/>
    <col min="3078" max="3318" width="3.7109375" style="264"/>
    <col min="3319" max="3319" width="24.5703125" style="264" customWidth="1"/>
    <col min="3320" max="3325" width="3.7109375" style="264"/>
    <col min="3326" max="3326" width="4.28515625" style="264" customWidth="1"/>
    <col min="3327" max="3330" width="3.7109375" style="264"/>
    <col min="3331" max="3331" width="4.28515625" style="264" customWidth="1"/>
    <col min="3332" max="3332" width="4.7109375" style="264" customWidth="1"/>
    <col min="3333" max="3333" width="1.7109375" style="264" customWidth="1"/>
    <col min="3334" max="3574" width="3.7109375" style="264"/>
    <col min="3575" max="3575" width="24.5703125" style="264" customWidth="1"/>
    <col min="3576" max="3581" width="3.7109375" style="264"/>
    <col min="3582" max="3582" width="4.28515625" style="264" customWidth="1"/>
    <col min="3583" max="3586" width="3.7109375" style="264"/>
    <col min="3587" max="3587" width="4.28515625" style="264" customWidth="1"/>
    <col min="3588" max="3588" width="4.7109375" style="264" customWidth="1"/>
    <col min="3589" max="3589" width="1.7109375" style="264" customWidth="1"/>
    <col min="3590" max="3830" width="3.7109375" style="264"/>
    <col min="3831" max="3831" width="24.5703125" style="264" customWidth="1"/>
    <col min="3832" max="3837" width="3.7109375" style="264"/>
    <col min="3838" max="3838" width="4.28515625" style="264" customWidth="1"/>
    <col min="3839" max="3842" width="3.7109375" style="264"/>
    <col min="3843" max="3843" width="4.28515625" style="264" customWidth="1"/>
    <col min="3844" max="3844" width="4.7109375" style="264" customWidth="1"/>
    <col min="3845" max="3845" width="1.7109375" style="264" customWidth="1"/>
    <col min="3846" max="4086" width="3.7109375" style="264"/>
    <col min="4087" max="4087" width="24.5703125" style="264" customWidth="1"/>
    <col min="4088" max="4093" width="3.7109375" style="264"/>
    <col min="4094" max="4094" width="4.28515625" style="264" customWidth="1"/>
    <col min="4095" max="4098" width="3.7109375" style="264"/>
    <col min="4099" max="4099" width="4.28515625" style="264" customWidth="1"/>
    <col min="4100" max="4100" width="4.7109375" style="264" customWidth="1"/>
    <col min="4101" max="4101" width="1.7109375" style="264" customWidth="1"/>
    <col min="4102" max="4342" width="3.7109375" style="264"/>
    <col min="4343" max="4343" width="24.5703125" style="264" customWidth="1"/>
    <col min="4344" max="4349" width="3.7109375" style="264"/>
    <col min="4350" max="4350" width="4.28515625" style="264" customWidth="1"/>
    <col min="4351" max="4354" width="3.7109375" style="264"/>
    <col min="4355" max="4355" width="4.28515625" style="264" customWidth="1"/>
    <col min="4356" max="4356" width="4.7109375" style="264" customWidth="1"/>
    <col min="4357" max="4357" width="1.7109375" style="264" customWidth="1"/>
    <col min="4358" max="4598" width="3.7109375" style="264"/>
    <col min="4599" max="4599" width="24.5703125" style="264" customWidth="1"/>
    <col min="4600" max="4605" width="3.7109375" style="264"/>
    <col min="4606" max="4606" width="4.28515625" style="264" customWidth="1"/>
    <col min="4607" max="4610" width="3.7109375" style="264"/>
    <col min="4611" max="4611" width="4.28515625" style="264" customWidth="1"/>
    <col min="4612" max="4612" width="4.7109375" style="264" customWidth="1"/>
    <col min="4613" max="4613" width="1.7109375" style="264" customWidth="1"/>
    <col min="4614" max="4854" width="3.7109375" style="264"/>
    <col min="4855" max="4855" width="24.5703125" style="264" customWidth="1"/>
    <col min="4856" max="4861" width="3.7109375" style="264"/>
    <col min="4862" max="4862" width="4.28515625" style="264" customWidth="1"/>
    <col min="4863" max="4866" width="3.7109375" style="264"/>
    <col min="4867" max="4867" width="4.28515625" style="264" customWidth="1"/>
    <col min="4868" max="4868" width="4.7109375" style="264" customWidth="1"/>
    <col min="4869" max="4869" width="1.7109375" style="264" customWidth="1"/>
    <col min="4870" max="5110" width="3.7109375" style="264"/>
    <col min="5111" max="5111" width="24.5703125" style="264" customWidth="1"/>
    <col min="5112" max="5117" width="3.7109375" style="264"/>
    <col min="5118" max="5118" width="4.28515625" style="264" customWidth="1"/>
    <col min="5119" max="5122" width="3.7109375" style="264"/>
    <col min="5123" max="5123" width="4.28515625" style="264" customWidth="1"/>
    <col min="5124" max="5124" width="4.7109375" style="264" customWidth="1"/>
    <col min="5125" max="5125" width="1.7109375" style="264" customWidth="1"/>
    <col min="5126" max="5366" width="3.7109375" style="264"/>
    <col min="5367" max="5367" width="24.5703125" style="264" customWidth="1"/>
    <col min="5368" max="5373" width="3.7109375" style="264"/>
    <col min="5374" max="5374" width="4.28515625" style="264" customWidth="1"/>
    <col min="5375" max="5378" width="3.7109375" style="264"/>
    <col min="5379" max="5379" width="4.28515625" style="264" customWidth="1"/>
    <col min="5380" max="5380" width="4.7109375" style="264" customWidth="1"/>
    <col min="5381" max="5381" width="1.7109375" style="264" customWidth="1"/>
    <col min="5382" max="5622" width="3.7109375" style="264"/>
    <col min="5623" max="5623" width="24.5703125" style="264" customWidth="1"/>
    <col min="5624" max="5629" width="3.7109375" style="264"/>
    <col min="5630" max="5630" width="4.28515625" style="264" customWidth="1"/>
    <col min="5631" max="5634" width="3.7109375" style="264"/>
    <col min="5635" max="5635" width="4.28515625" style="264" customWidth="1"/>
    <col min="5636" max="5636" width="4.7109375" style="264" customWidth="1"/>
    <col min="5637" max="5637" width="1.7109375" style="264" customWidth="1"/>
    <col min="5638" max="5878" width="3.7109375" style="264"/>
    <col min="5879" max="5879" width="24.5703125" style="264" customWidth="1"/>
    <col min="5880" max="5885" width="3.7109375" style="264"/>
    <col min="5886" max="5886" width="4.28515625" style="264" customWidth="1"/>
    <col min="5887" max="5890" width="3.7109375" style="264"/>
    <col min="5891" max="5891" width="4.28515625" style="264" customWidth="1"/>
    <col min="5892" max="5892" width="4.7109375" style="264" customWidth="1"/>
    <col min="5893" max="5893" width="1.7109375" style="264" customWidth="1"/>
    <col min="5894" max="6134" width="3.7109375" style="264"/>
    <col min="6135" max="6135" width="24.5703125" style="264" customWidth="1"/>
    <col min="6136" max="6141" width="3.7109375" style="264"/>
    <col min="6142" max="6142" width="4.28515625" style="264" customWidth="1"/>
    <col min="6143" max="6146" width="3.7109375" style="264"/>
    <col min="6147" max="6147" width="4.28515625" style="264" customWidth="1"/>
    <col min="6148" max="6148" width="4.7109375" style="264" customWidth="1"/>
    <col min="6149" max="6149" width="1.7109375" style="264" customWidth="1"/>
    <col min="6150" max="6390" width="3.7109375" style="264"/>
    <col min="6391" max="6391" width="24.5703125" style="264" customWidth="1"/>
    <col min="6392" max="6397" width="3.7109375" style="264"/>
    <col min="6398" max="6398" width="4.28515625" style="264" customWidth="1"/>
    <col min="6399" max="6402" width="3.7109375" style="264"/>
    <col min="6403" max="6403" width="4.28515625" style="264" customWidth="1"/>
    <col min="6404" max="6404" width="4.7109375" style="264" customWidth="1"/>
    <col min="6405" max="6405" width="1.7109375" style="264" customWidth="1"/>
    <col min="6406" max="6646" width="3.7109375" style="264"/>
    <col min="6647" max="6647" width="24.5703125" style="264" customWidth="1"/>
    <col min="6648" max="6653" width="3.7109375" style="264"/>
    <col min="6654" max="6654" width="4.28515625" style="264" customWidth="1"/>
    <col min="6655" max="6658" width="3.7109375" style="264"/>
    <col min="6659" max="6659" width="4.28515625" style="264" customWidth="1"/>
    <col min="6660" max="6660" width="4.7109375" style="264" customWidth="1"/>
    <col min="6661" max="6661" width="1.7109375" style="264" customWidth="1"/>
    <col min="6662" max="6902" width="3.7109375" style="264"/>
    <col min="6903" max="6903" width="24.5703125" style="264" customWidth="1"/>
    <col min="6904" max="6909" width="3.7109375" style="264"/>
    <col min="6910" max="6910" width="4.28515625" style="264" customWidth="1"/>
    <col min="6911" max="6914" width="3.7109375" style="264"/>
    <col min="6915" max="6915" width="4.28515625" style="264" customWidth="1"/>
    <col min="6916" max="6916" width="4.7109375" style="264" customWidth="1"/>
    <col min="6917" max="6917" width="1.7109375" style="264" customWidth="1"/>
    <col min="6918" max="7158" width="3.7109375" style="264"/>
    <col min="7159" max="7159" width="24.5703125" style="264" customWidth="1"/>
    <col min="7160" max="7165" width="3.7109375" style="264"/>
    <col min="7166" max="7166" width="4.28515625" style="264" customWidth="1"/>
    <col min="7167" max="7170" width="3.7109375" style="264"/>
    <col min="7171" max="7171" width="4.28515625" style="264" customWidth="1"/>
    <col min="7172" max="7172" width="4.7109375" style="264" customWidth="1"/>
    <col min="7173" max="7173" width="1.7109375" style="264" customWidth="1"/>
    <col min="7174" max="7414" width="3.7109375" style="264"/>
    <col min="7415" max="7415" width="24.5703125" style="264" customWidth="1"/>
    <col min="7416" max="7421" width="3.7109375" style="264"/>
    <col min="7422" max="7422" width="4.28515625" style="264" customWidth="1"/>
    <col min="7423" max="7426" width="3.7109375" style="264"/>
    <col min="7427" max="7427" width="4.28515625" style="264" customWidth="1"/>
    <col min="7428" max="7428" width="4.7109375" style="264" customWidth="1"/>
    <col min="7429" max="7429" width="1.7109375" style="264" customWidth="1"/>
    <col min="7430" max="7670" width="3.7109375" style="264"/>
    <col min="7671" max="7671" width="24.5703125" style="264" customWidth="1"/>
    <col min="7672" max="7677" width="3.7109375" style="264"/>
    <col min="7678" max="7678" width="4.28515625" style="264" customWidth="1"/>
    <col min="7679" max="7682" width="3.7109375" style="264"/>
    <col min="7683" max="7683" width="4.28515625" style="264" customWidth="1"/>
    <col min="7684" max="7684" width="4.7109375" style="264" customWidth="1"/>
    <col min="7685" max="7685" width="1.7109375" style="264" customWidth="1"/>
    <col min="7686" max="7926" width="3.7109375" style="264"/>
    <col min="7927" max="7927" width="24.5703125" style="264" customWidth="1"/>
    <col min="7928" max="7933" width="3.7109375" style="264"/>
    <col min="7934" max="7934" width="4.28515625" style="264" customWidth="1"/>
    <col min="7935" max="7938" width="3.7109375" style="264"/>
    <col min="7939" max="7939" width="4.28515625" style="264" customWidth="1"/>
    <col min="7940" max="7940" width="4.7109375" style="264" customWidth="1"/>
    <col min="7941" max="7941" width="1.7109375" style="264" customWidth="1"/>
    <col min="7942" max="8182" width="3.7109375" style="264"/>
    <col min="8183" max="8183" width="24.5703125" style="264" customWidth="1"/>
    <col min="8184" max="8189" width="3.7109375" style="264"/>
    <col min="8190" max="8190" width="4.28515625" style="264" customWidth="1"/>
    <col min="8191" max="8194" width="3.7109375" style="264"/>
    <col min="8195" max="8195" width="4.28515625" style="264" customWidth="1"/>
    <col min="8196" max="8196" width="4.7109375" style="264" customWidth="1"/>
    <col min="8197" max="8197" width="1.7109375" style="264" customWidth="1"/>
    <col min="8198" max="8438" width="3.7109375" style="264"/>
    <col min="8439" max="8439" width="24.5703125" style="264" customWidth="1"/>
    <col min="8440" max="8445" width="3.7109375" style="264"/>
    <col min="8446" max="8446" width="4.28515625" style="264" customWidth="1"/>
    <col min="8447" max="8450" width="3.7109375" style="264"/>
    <col min="8451" max="8451" width="4.28515625" style="264" customWidth="1"/>
    <col min="8452" max="8452" width="4.7109375" style="264" customWidth="1"/>
    <col min="8453" max="8453" width="1.7109375" style="264" customWidth="1"/>
    <col min="8454" max="8694" width="3.7109375" style="264"/>
    <col min="8695" max="8695" width="24.5703125" style="264" customWidth="1"/>
    <col min="8696" max="8701" width="3.7109375" style="264"/>
    <col min="8702" max="8702" width="4.28515625" style="264" customWidth="1"/>
    <col min="8703" max="8706" width="3.7109375" style="264"/>
    <col min="8707" max="8707" width="4.28515625" style="264" customWidth="1"/>
    <col min="8708" max="8708" width="4.7109375" style="264" customWidth="1"/>
    <col min="8709" max="8709" width="1.7109375" style="264" customWidth="1"/>
    <col min="8710" max="8950" width="3.7109375" style="264"/>
    <col min="8951" max="8951" width="24.5703125" style="264" customWidth="1"/>
    <col min="8952" max="8957" width="3.7109375" style="264"/>
    <col min="8958" max="8958" width="4.28515625" style="264" customWidth="1"/>
    <col min="8959" max="8962" width="3.7109375" style="264"/>
    <col min="8963" max="8963" width="4.28515625" style="264" customWidth="1"/>
    <col min="8964" max="8964" width="4.7109375" style="264" customWidth="1"/>
    <col min="8965" max="8965" width="1.7109375" style="264" customWidth="1"/>
    <col min="8966" max="9206" width="3.7109375" style="264"/>
    <col min="9207" max="9207" width="24.5703125" style="264" customWidth="1"/>
    <col min="9208" max="9213" width="3.7109375" style="264"/>
    <col min="9214" max="9214" width="4.28515625" style="264" customWidth="1"/>
    <col min="9215" max="9218" width="3.7109375" style="264"/>
    <col min="9219" max="9219" width="4.28515625" style="264" customWidth="1"/>
    <col min="9220" max="9220" width="4.7109375" style="264" customWidth="1"/>
    <col min="9221" max="9221" width="1.7109375" style="264" customWidth="1"/>
    <col min="9222" max="9462" width="3.7109375" style="264"/>
    <col min="9463" max="9463" width="24.5703125" style="264" customWidth="1"/>
    <col min="9464" max="9469" width="3.7109375" style="264"/>
    <col min="9470" max="9470" width="4.28515625" style="264" customWidth="1"/>
    <col min="9471" max="9474" width="3.7109375" style="264"/>
    <col min="9475" max="9475" width="4.28515625" style="264" customWidth="1"/>
    <col min="9476" max="9476" width="4.7109375" style="264" customWidth="1"/>
    <col min="9477" max="9477" width="1.7109375" style="264" customWidth="1"/>
    <col min="9478" max="9718" width="3.7109375" style="264"/>
    <col min="9719" max="9719" width="24.5703125" style="264" customWidth="1"/>
    <col min="9720" max="9725" width="3.7109375" style="264"/>
    <col min="9726" max="9726" width="4.28515625" style="264" customWidth="1"/>
    <col min="9727" max="9730" width="3.7109375" style="264"/>
    <col min="9731" max="9731" width="4.28515625" style="264" customWidth="1"/>
    <col min="9732" max="9732" width="4.7109375" style="264" customWidth="1"/>
    <col min="9733" max="9733" width="1.7109375" style="264" customWidth="1"/>
    <col min="9734" max="9974" width="3.7109375" style="264"/>
    <col min="9975" max="9975" width="24.5703125" style="264" customWidth="1"/>
    <col min="9976" max="9981" width="3.7109375" style="264"/>
    <col min="9982" max="9982" width="4.28515625" style="264" customWidth="1"/>
    <col min="9983" max="9986" width="3.7109375" style="264"/>
    <col min="9987" max="9987" width="4.28515625" style="264" customWidth="1"/>
    <col min="9988" max="9988" width="4.7109375" style="264" customWidth="1"/>
    <col min="9989" max="9989" width="1.7109375" style="264" customWidth="1"/>
    <col min="9990" max="10230" width="3.7109375" style="264"/>
    <col min="10231" max="10231" width="24.5703125" style="264" customWidth="1"/>
    <col min="10232" max="10237" width="3.7109375" style="264"/>
    <col min="10238" max="10238" width="4.28515625" style="264" customWidth="1"/>
    <col min="10239" max="10242" width="3.7109375" style="264"/>
    <col min="10243" max="10243" width="4.28515625" style="264" customWidth="1"/>
    <col min="10244" max="10244" width="4.7109375" style="264" customWidth="1"/>
    <col min="10245" max="10245" width="1.7109375" style="264" customWidth="1"/>
    <col min="10246" max="10486" width="3.7109375" style="264"/>
    <col min="10487" max="10487" width="24.5703125" style="264" customWidth="1"/>
    <col min="10488" max="10493" width="3.7109375" style="264"/>
    <col min="10494" max="10494" width="4.28515625" style="264" customWidth="1"/>
    <col min="10495" max="10498" width="3.7109375" style="264"/>
    <col min="10499" max="10499" width="4.28515625" style="264" customWidth="1"/>
    <col min="10500" max="10500" width="4.7109375" style="264" customWidth="1"/>
    <col min="10501" max="10501" width="1.7109375" style="264" customWidth="1"/>
    <col min="10502" max="10742" width="3.7109375" style="264"/>
    <col min="10743" max="10743" width="24.5703125" style="264" customWidth="1"/>
    <col min="10744" max="10749" width="3.7109375" style="264"/>
    <col min="10750" max="10750" width="4.28515625" style="264" customWidth="1"/>
    <col min="10751" max="10754" width="3.7109375" style="264"/>
    <col min="10755" max="10755" width="4.28515625" style="264" customWidth="1"/>
    <col min="10756" max="10756" width="4.7109375" style="264" customWidth="1"/>
    <col min="10757" max="10757" width="1.7109375" style="264" customWidth="1"/>
    <col min="10758" max="10998" width="3.7109375" style="264"/>
    <col min="10999" max="10999" width="24.5703125" style="264" customWidth="1"/>
    <col min="11000" max="11005" width="3.7109375" style="264"/>
    <col min="11006" max="11006" width="4.28515625" style="264" customWidth="1"/>
    <col min="11007" max="11010" width="3.7109375" style="264"/>
    <col min="11011" max="11011" width="4.28515625" style="264" customWidth="1"/>
    <col min="11012" max="11012" width="4.7109375" style="264" customWidth="1"/>
    <col min="11013" max="11013" width="1.7109375" style="264" customWidth="1"/>
    <col min="11014" max="11254" width="3.7109375" style="264"/>
    <col min="11255" max="11255" width="24.5703125" style="264" customWidth="1"/>
    <col min="11256" max="11261" width="3.7109375" style="264"/>
    <col min="11262" max="11262" width="4.28515625" style="264" customWidth="1"/>
    <col min="11263" max="11266" width="3.7109375" style="264"/>
    <col min="11267" max="11267" width="4.28515625" style="264" customWidth="1"/>
    <col min="11268" max="11268" width="4.7109375" style="264" customWidth="1"/>
    <col min="11269" max="11269" width="1.7109375" style="264" customWidth="1"/>
    <col min="11270" max="11510" width="3.7109375" style="264"/>
    <col min="11511" max="11511" width="24.5703125" style="264" customWidth="1"/>
    <col min="11512" max="11517" width="3.7109375" style="264"/>
    <col min="11518" max="11518" width="4.28515625" style="264" customWidth="1"/>
    <col min="11519" max="11522" width="3.7109375" style="264"/>
    <col min="11523" max="11523" width="4.28515625" style="264" customWidth="1"/>
    <col min="11524" max="11524" width="4.7109375" style="264" customWidth="1"/>
    <col min="11525" max="11525" width="1.7109375" style="264" customWidth="1"/>
    <col min="11526" max="11766" width="3.7109375" style="264"/>
    <col min="11767" max="11767" width="24.5703125" style="264" customWidth="1"/>
    <col min="11768" max="11773" width="3.7109375" style="264"/>
    <col min="11774" max="11774" width="4.28515625" style="264" customWidth="1"/>
    <col min="11775" max="11778" width="3.7109375" style="264"/>
    <col min="11779" max="11779" width="4.28515625" style="264" customWidth="1"/>
    <col min="11780" max="11780" width="4.7109375" style="264" customWidth="1"/>
    <col min="11781" max="11781" width="1.7109375" style="264" customWidth="1"/>
    <col min="11782" max="12022" width="3.7109375" style="264"/>
    <col min="12023" max="12023" width="24.5703125" style="264" customWidth="1"/>
    <col min="12024" max="12029" width="3.7109375" style="264"/>
    <col min="12030" max="12030" width="4.28515625" style="264" customWidth="1"/>
    <col min="12031" max="12034" width="3.7109375" style="264"/>
    <col min="12035" max="12035" width="4.28515625" style="264" customWidth="1"/>
    <col min="12036" max="12036" width="4.7109375" style="264" customWidth="1"/>
    <col min="12037" max="12037" width="1.7109375" style="264" customWidth="1"/>
    <col min="12038" max="12278" width="3.7109375" style="264"/>
    <col min="12279" max="12279" width="24.5703125" style="264" customWidth="1"/>
    <col min="12280" max="12285" width="3.7109375" style="264"/>
    <col min="12286" max="12286" width="4.28515625" style="264" customWidth="1"/>
    <col min="12287" max="12290" width="3.7109375" style="264"/>
    <col min="12291" max="12291" width="4.28515625" style="264" customWidth="1"/>
    <col min="12292" max="12292" width="4.7109375" style="264" customWidth="1"/>
    <col min="12293" max="12293" width="1.7109375" style="264" customWidth="1"/>
    <col min="12294" max="12534" width="3.7109375" style="264"/>
    <col min="12535" max="12535" width="24.5703125" style="264" customWidth="1"/>
    <col min="12536" max="12541" width="3.7109375" style="264"/>
    <col min="12542" max="12542" width="4.28515625" style="264" customWidth="1"/>
    <col min="12543" max="12546" width="3.7109375" style="264"/>
    <col min="12547" max="12547" width="4.28515625" style="264" customWidth="1"/>
    <col min="12548" max="12548" width="4.7109375" style="264" customWidth="1"/>
    <col min="12549" max="12549" width="1.7109375" style="264" customWidth="1"/>
    <col min="12550" max="12790" width="3.7109375" style="264"/>
    <col min="12791" max="12791" width="24.5703125" style="264" customWidth="1"/>
    <col min="12792" max="12797" width="3.7109375" style="264"/>
    <col min="12798" max="12798" width="4.28515625" style="264" customWidth="1"/>
    <col min="12799" max="12802" width="3.7109375" style="264"/>
    <col min="12803" max="12803" width="4.28515625" style="264" customWidth="1"/>
    <col min="12804" max="12804" width="4.7109375" style="264" customWidth="1"/>
    <col min="12805" max="12805" width="1.7109375" style="264" customWidth="1"/>
    <col min="12806" max="13046" width="3.7109375" style="264"/>
    <col min="13047" max="13047" width="24.5703125" style="264" customWidth="1"/>
    <col min="13048" max="13053" width="3.7109375" style="264"/>
    <col min="13054" max="13054" width="4.28515625" style="264" customWidth="1"/>
    <col min="13055" max="13058" width="3.7109375" style="264"/>
    <col min="13059" max="13059" width="4.28515625" style="264" customWidth="1"/>
    <col min="13060" max="13060" width="4.7109375" style="264" customWidth="1"/>
    <col min="13061" max="13061" width="1.7109375" style="264" customWidth="1"/>
    <col min="13062" max="13302" width="3.7109375" style="264"/>
    <col min="13303" max="13303" width="24.5703125" style="264" customWidth="1"/>
    <col min="13304" max="13309" width="3.7109375" style="264"/>
    <col min="13310" max="13310" width="4.28515625" style="264" customWidth="1"/>
    <col min="13311" max="13314" width="3.7109375" style="264"/>
    <col min="13315" max="13315" width="4.28515625" style="264" customWidth="1"/>
    <col min="13316" max="13316" width="4.7109375" style="264" customWidth="1"/>
    <col min="13317" max="13317" width="1.7109375" style="264" customWidth="1"/>
    <col min="13318" max="13558" width="3.7109375" style="264"/>
    <col min="13559" max="13559" width="24.5703125" style="264" customWidth="1"/>
    <col min="13560" max="13565" width="3.7109375" style="264"/>
    <col min="13566" max="13566" width="4.28515625" style="264" customWidth="1"/>
    <col min="13567" max="13570" width="3.7109375" style="264"/>
    <col min="13571" max="13571" width="4.28515625" style="264" customWidth="1"/>
    <col min="13572" max="13572" width="4.7109375" style="264" customWidth="1"/>
    <col min="13573" max="13573" width="1.7109375" style="264" customWidth="1"/>
    <col min="13574" max="13814" width="3.7109375" style="264"/>
    <col min="13815" max="13815" width="24.5703125" style="264" customWidth="1"/>
    <col min="13816" max="13821" width="3.7109375" style="264"/>
    <col min="13822" max="13822" width="4.28515625" style="264" customWidth="1"/>
    <col min="13823" max="13826" width="3.7109375" style="264"/>
    <col min="13827" max="13827" width="4.28515625" style="264" customWidth="1"/>
    <col min="13828" max="13828" width="4.7109375" style="264" customWidth="1"/>
    <col min="13829" max="13829" width="1.7109375" style="264" customWidth="1"/>
    <col min="13830" max="14070" width="3.7109375" style="264"/>
    <col min="14071" max="14071" width="24.5703125" style="264" customWidth="1"/>
    <col min="14072" max="14077" width="3.7109375" style="264"/>
    <col min="14078" max="14078" width="4.28515625" style="264" customWidth="1"/>
    <col min="14079" max="14082" width="3.7109375" style="264"/>
    <col min="14083" max="14083" width="4.28515625" style="264" customWidth="1"/>
    <col min="14084" max="14084" width="4.7109375" style="264" customWidth="1"/>
    <col min="14085" max="14085" width="1.7109375" style="264" customWidth="1"/>
    <col min="14086" max="14326" width="3.7109375" style="264"/>
    <col min="14327" max="14327" width="24.5703125" style="264" customWidth="1"/>
    <col min="14328" max="14333" width="3.7109375" style="264"/>
    <col min="14334" max="14334" width="4.28515625" style="264" customWidth="1"/>
    <col min="14335" max="14338" width="3.7109375" style="264"/>
    <col min="14339" max="14339" width="4.28515625" style="264" customWidth="1"/>
    <col min="14340" max="14340" width="4.7109375" style="264" customWidth="1"/>
    <col min="14341" max="14341" width="1.7109375" style="264" customWidth="1"/>
    <col min="14342" max="14582" width="3.7109375" style="264"/>
    <col min="14583" max="14583" width="24.5703125" style="264" customWidth="1"/>
    <col min="14584" max="14589" width="3.7109375" style="264"/>
    <col min="14590" max="14590" width="4.28515625" style="264" customWidth="1"/>
    <col min="14591" max="14594" width="3.7109375" style="264"/>
    <col min="14595" max="14595" width="4.28515625" style="264" customWidth="1"/>
    <col min="14596" max="14596" width="4.7109375" style="264" customWidth="1"/>
    <col min="14597" max="14597" width="1.7109375" style="264" customWidth="1"/>
    <col min="14598" max="14838" width="3.7109375" style="264"/>
    <col min="14839" max="14839" width="24.5703125" style="264" customWidth="1"/>
    <col min="14840" max="14845" width="3.7109375" style="264"/>
    <col min="14846" max="14846" width="4.28515625" style="264" customWidth="1"/>
    <col min="14847" max="14850" width="3.7109375" style="264"/>
    <col min="14851" max="14851" width="4.28515625" style="264" customWidth="1"/>
    <col min="14852" max="14852" width="4.7109375" style="264" customWidth="1"/>
    <col min="14853" max="14853" width="1.7109375" style="264" customWidth="1"/>
    <col min="14854" max="15094" width="3.7109375" style="264"/>
    <col min="15095" max="15095" width="24.5703125" style="264" customWidth="1"/>
    <col min="15096" max="15101" width="3.7109375" style="264"/>
    <col min="15102" max="15102" width="4.28515625" style="264" customWidth="1"/>
    <col min="15103" max="15106" width="3.7109375" style="264"/>
    <col min="15107" max="15107" width="4.28515625" style="264" customWidth="1"/>
    <col min="15108" max="15108" width="4.7109375" style="264" customWidth="1"/>
    <col min="15109" max="15109" width="1.7109375" style="264" customWidth="1"/>
    <col min="15110" max="15350" width="3.7109375" style="264"/>
    <col min="15351" max="15351" width="24.5703125" style="264" customWidth="1"/>
    <col min="15352" max="15357" width="3.7109375" style="264"/>
    <col min="15358" max="15358" width="4.28515625" style="264" customWidth="1"/>
    <col min="15359" max="15362" width="3.7109375" style="264"/>
    <col min="15363" max="15363" width="4.28515625" style="264" customWidth="1"/>
    <col min="15364" max="15364" width="4.7109375" style="264" customWidth="1"/>
    <col min="15365" max="15365" width="1.7109375" style="264" customWidth="1"/>
    <col min="15366" max="15606" width="3.7109375" style="264"/>
    <col min="15607" max="15607" width="24.5703125" style="264" customWidth="1"/>
    <col min="15608" max="15613" width="3.7109375" style="264"/>
    <col min="15614" max="15614" width="4.28515625" style="264" customWidth="1"/>
    <col min="15615" max="15618" width="3.7109375" style="264"/>
    <col min="15619" max="15619" width="4.28515625" style="264" customWidth="1"/>
    <col min="15620" max="15620" width="4.7109375" style="264" customWidth="1"/>
    <col min="15621" max="15621" width="1.7109375" style="264" customWidth="1"/>
    <col min="15622" max="15862" width="3.7109375" style="264"/>
    <col min="15863" max="15863" width="24.5703125" style="264" customWidth="1"/>
    <col min="15864" max="15869" width="3.7109375" style="264"/>
    <col min="15870" max="15870" width="4.28515625" style="264" customWidth="1"/>
    <col min="15871" max="15874" width="3.7109375" style="264"/>
    <col min="15875" max="15875" width="4.28515625" style="264" customWidth="1"/>
    <col min="15876" max="15876" width="4.7109375" style="264" customWidth="1"/>
    <col min="15877" max="15877" width="1.7109375" style="264" customWidth="1"/>
    <col min="15878" max="16118" width="3.7109375" style="264"/>
    <col min="16119" max="16119" width="24.5703125" style="264" customWidth="1"/>
    <col min="16120" max="16125" width="3.7109375" style="264"/>
    <col min="16126" max="16126" width="4.28515625" style="264" customWidth="1"/>
    <col min="16127" max="16130" width="3.7109375" style="264"/>
    <col min="16131" max="16131" width="4.28515625" style="264" customWidth="1"/>
    <col min="16132" max="16132" width="4.7109375" style="264" customWidth="1"/>
    <col min="16133" max="16133" width="1.7109375" style="264" customWidth="1"/>
    <col min="16134" max="16384" width="3.7109375" style="264"/>
  </cols>
  <sheetData>
    <row r="1" spans="1:31" s="102" customFormat="1" ht="22.5" customHeight="1" x14ac:dyDescent="0.2">
      <c r="A1" s="438" t="s">
        <v>18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S1" s="438"/>
      <c r="T1" s="438"/>
      <c r="U1" s="438"/>
      <c r="V1" s="438"/>
      <c r="W1" s="438"/>
      <c r="X1" s="438"/>
      <c r="Y1" s="438"/>
      <c r="Z1" s="438"/>
      <c r="AA1" s="149"/>
      <c r="AB1" s="149"/>
    </row>
    <row r="2" spans="1:31" customFormat="1" ht="22.5" customHeight="1" x14ac:dyDescent="0.2">
      <c r="A2" s="438" t="s">
        <v>242</v>
      </c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438"/>
      <c r="X2" s="438"/>
      <c r="Y2" s="438"/>
      <c r="Z2" s="438"/>
      <c r="AA2" s="149"/>
      <c r="AB2" s="149"/>
      <c r="AC2" s="17"/>
      <c r="AD2" s="17"/>
      <c r="AE2" s="17"/>
    </row>
    <row r="3" spans="1:31" s="41" customFormat="1" ht="21.75" customHeight="1" thickBot="1" x14ac:dyDescent="0.25">
      <c r="A3" s="391" t="s">
        <v>253</v>
      </c>
      <c r="C3" s="40"/>
      <c r="Q3" s="392"/>
      <c r="R3" s="391"/>
    </row>
    <row r="4" spans="1:31" ht="18.75" customHeight="1" x14ac:dyDescent="0.2">
      <c r="A4" s="521" t="s">
        <v>263</v>
      </c>
      <c r="B4" s="533" t="s">
        <v>1</v>
      </c>
      <c r="C4" s="536" t="s">
        <v>169</v>
      </c>
      <c r="D4" s="537"/>
      <c r="E4" s="537"/>
      <c r="F4" s="537"/>
      <c r="G4" s="537"/>
      <c r="H4" s="537"/>
      <c r="I4" s="538"/>
      <c r="J4" s="536" t="s">
        <v>170</v>
      </c>
      <c r="K4" s="537"/>
      <c r="L4" s="537"/>
      <c r="M4" s="537"/>
      <c r="N4" s="539"/>
      <c r="O4" s="540" t="s">
        <v>236</v>
      </c>
      <c r="Q4" s="542" t="s">
        <v>147</v>
      </c>
      <c r="R4" s="543"/>
      <c r="S4" s="543"/>
      <c r="T4" s="543"/>
      <c r="U4" s="543"/>
      <c r="V4" s="543"/>
      <c r="W4" s="543"/>
      <c r="X4" s="543"/>
      <c r="Y4" s="543"/>
      <c r="Z4" s="544"/>
    </row>
    <row r="5" spans="1:31" ht="49.5" customHeight="1" x14ac:dyDescent="0.2">
      <c r="A5" s="522"/>
      <c r="B5" s="534"/>
      <c r="C5" s="545" t="s">
        <v>239</v>
      </c>
      <c r="D5" s="546"/>
      <c r="E5" s="546"/>
      <c r="F5" s="546"/>
      <c r="G5" s="546"/>
      <c r="H5" s="547"/>
      <c r="I5" s="511" t="s">
        <v>3</v>
      </c>
      <c r="J5" s="549" t="s">
        <v>141</v>
      </c>
      <c r="K5" s="509" t="s">
        <v>142</v>
      </c>
      <c r="L5" s="509" t="s">
        <v>143</v>
      </c>
      <c r="M5" s="510" t="s">
        <v>144</v>
      </c>
      <c r="N5" s="511" t="s">
        <v>3</v>
      </c>
      <c r="O5" s="541"/>
      <c r="Q5" s="512"/>
      <c r="R5" s="513"/>
      <c r="S5" s="513"/>
      <c r="T5" s="513"/>
      <c r="U5" s="513"/>
      <c r="V5" s="513"/>
      <c r="W5" s="513"/>
      <c r="X5" s="513"/>
      <c r="Y5" s="513"/>
      <c r="Z5" s="514"/>
    </row>
    <row r="6" spans="1:31" ht="31.5" customHeight="1" x14ac:dyDescent="0.2">
      <c r="A6" s="522"/>
      <c r="B6" s="534"/>
      <c r="C6" s="548"/>
      <c r="D6" s="546"/>
      <c r="E6" s="546"/>
      <c r="F6" s="546"/>
      <c r="G6" s="546"/>
      <c r="H6" s="547"/>
      <c r="I6" s="511"/>
      <c r="J6" s="549"/>
      <c r="K6" s="509"/>
      <c r="L6" s="509"/>
      <c r="M6" s="510"/>
      <c r="N6" s="511"/>
      <c r="O6" s="541"/>
      <c r="Q6" s="515"/>
      <c r="R6" s="516"/>
      <c r="S6" s="516"/>
      <c r="T6" s="516"/>
      <c r="U6" s="516"/>
      <c r="V6" s="516"/>
      <c r="W6" s="516"/>
      <c r="X6" s="516"/>
      <c r="Y6" s="516"/>
      <c r="Z6" s="517"/>
    </row>
    <row r="7" spans="1:31" ht="15" customHeight="1" thickBot="1" x14ac:dyDescent="0.25">
      <c r="A7" s="522"/>
      <c r="B7" s="534"/>
      <c r="C7" s="281">
        <v>1</v>
      </c>
      <c r="D7" s="266">
        <v>2</v>
      </c>
      <c r="E7" s="266">
        <v>3</v>
      </c>
      <c r="F7" s="266">
        <v>4</v>
      </c>
      <c r="G7" s="266">
        <v>5</v>
      </c>
      <c r="H7" s="267">
        <v>6</v>
      </c>
      <c r="I7" s="511"/>
      <c r="J7" s="281">
        <v>1</v>
      </c>
      <c r="K7" s="266">
        <v>2</v>
      </c>
      <c r="L7" s="266">
        <v>3</v>
      </c>
      <c r="M7" s="267">
        <v>4</v>
      </c>
      <c r="N7" s="511"/>
      <c r="O7" s="541"/>
      <c r="Q7" s="518"/>
      <c r="R7" s="519"/>
      <c r="S7" s="519"/>
      <c r="T7" s="519"/>
      <c r="U7" s="519"/>
      <c r="V7" s="519"/>
      <c r="W7" s="519"/>
      <c r="X7" s="519"/>
      <c r="Y7" s="519"/>
      <c r="Z7" s="520"/>
    </row>
    <row r="8" spans="1:31" ht="15" customHeight="1" thickBot="1" x14ac:dyDescent="0.25">
      <c r="A8" s="523"/>
      <c r="B8" s="535"/>
      <c r="C8" s="289">
        <v>10</v>
      </c>
      <c r="D8" s="290">
        <v>10</v>
      </c>
      <c r="E8" s="290">
        <v>10</v>
      </c>
      <c r="F8" s="290">
        <v>10</v>
      </c>
      <c r="G8" s="290">
        <v>10</v>
      </c>
      <c r="H8" s="291">
        <v>10</v>
      </c>
      <c r="I8" s="327">
        <v>60</v>
      </c>
      <c r="J8" s="289">
        <v>10</v>
      </c>
      <c r="K8" s="290">
        <v>10</v>
      </c>
      <c r="L8" s="290">
        <v>10</v>
      </c>
      <c r="M8" s="291">
        <v>10</v>
      </c>
      <c r="N8" s="327">
        <v>40</v>
      </c>
      <c r="O8" s="292">
        <v>100</v>
      </c>
    </row>
    <row r="9" spans="1:31" ht="23.25" customHeight="1" thickBot="1" x14ac:dyDescent="0.25">
      <c r="A9" s="381">
        <v>1</v>
      </c>
      <c r="B9" s="413">
        <f>'3 KYU'!B9</f>
        <v>0</v>
      </c>
      <c r="C9" s="334"/>
      <c r="D9" s="335"/>
      <c r="E9" s="335"/>
      <c r="F9" s="335"/>
      <c r="G9" s="335"/>
      <c r="H9" s="336"/>
      <c r="I9" s="337"/>
      <c r="J9" s="334"/>
      <c r="K9" s="335"/>
      <c r="L9" s="335"/>
      <c r="M9" s="336"/>
      <c r="N9" s="337"/>
      <c r="O9" s="338"/>
      <c r="Q9" s="268"/>
      <c r="R9" s="500" t="s">
        <v>156</v>
      </c>
      <c r="S9" s="501"/>
      <c r="T9" s="501"/>
      <c r="U9" s="501"/>
      <c r="V9" s="501"/>
      <c r="W9" s="501"/>
      <c r="X9" s="501"/>
      <c r="Y9" s="501"/>
      <c r="Z9" s="502"/>
    </row>
    <row r="10" spans="1:31" ht="23.25" customHeight="1" thickTop="1" thickBot="1" x14ac:dyDescent="0.25">
      <c r="A10" s="384">
        <v>2</v>
      </c>
      <c r="B10" s="414">
        <f>'3 KYU'!B10</f>
        <v>0</v>
      </c>
      <c r="C10" s="282"/>
      <c r="D10" s="283"/>
      <c r="E10" s="283"/>
      <c r="F10" s="283"/>
      <c r="G10" s="283"/>
      <c r="H10" s="284"/>
      <c r="I10" s="329"/>
      <c r="J10" s="282"/>
      <c r="K10" s="283"/>
      <c r="L10" s="283"/>
      <c r="M10" s="284"/>
      <c r="N10" s="329"/>
      <c r="O10" s="285"/>
      <c r="Q10" s="503" t="s">
        <v>4</v>
      </c>
      <c r="R10" s="524" t="s">
        <v>241</v>
      </c>
      <c r="S10" s="525"/>
      <c r="T10" s="525"/>
      <c r="U10" s="525"/>
      <c r="V10" s="525"/>
      <c r="W10" s="525"/>
      <c r="X10" s="525"/>
      <c r="Y10" s="525"/>
      <c r="Z10" s="526"/>
    </row>
    <row r="11" spans="1:31" ht="23.25" customHeight="1" x14ac:dyDescent="0.2">
      <c r="A11" s="381">
        <v>3</v>
      </c>
      <c r="B11" s="413">
        <f>'3 KYU'!B11</f>
        <v>0</v>
      </c>
      <c r="C11" s="334"/>
      <c r="D11" s="335"/>
      <c r="E11" s="335"/>
      <c r="F11" s="335"/>
      <c r="G11" s="335"/>
      <c r="H11" s="336"/>
      <c r="I11" s="337"/>
      <c r="J11" s="334"/>
      <c r="K11" s="335"/>
      <c r="L11" s="335"/>
      <c r="M11" s="336"/>
      <c r="N11" s="337"/>
      <c r="O11" s="338"/>
      <c r="Q11" s="504"/>
      <c r="R11" s="527"/>
      <c r="S11" s="528"/>
      <c r="T11" s="528"/>
      <c r="U11" s="528"/>
      <c r="V11" s="528"/>
      <c r="W11" s="528"/>
      <c r="X11" s="528"/>
      <c r="Y11" s="528"/>
      <c r="Z11" s="529"/>
    </row>
    <row r="12" spans="1:31" ht="23.25" customHeight="1" thickBot="1" x14ac:dyDescent="0.25">
      <c r="A12" s="384">
        <v>4</v>
      </c>
      <c r="B12" s="414">
        <f>'3 KYU'!B12</f>
        <v>0</v>
      </c>
      <c r="C12" s="282"/>
      <c r="D12" s="283"/>
      <c r="E12" s="283"/>
      <c r="F12" s="283"/>
      <c r="G12" s="283"/>
      <c r="H12" s="284"/>
      <c r="I12" s="329"/>
      <c r="J12" s="282"/>
      <c r="K12" s="283"/>
      <c r="L12" s="283"/>
      <c r="M12" s="284"/>
      <c r="N12" s="329"/>
      <c r="O12" s="285"/>
      <c r="Q12" s="504"/>
      <c r="R12" s="527"/>
      <c r="S12" s="528"/>
      <c r="T12" s="528"/>
      <c r="U12" s="528"/>
      <c r="V12" s="528"/>
      <c r="W12" s="528"/>
      <c r="X12" s="528"/>
      <c r="Y12" s="528"/>
      <c r="Z12" s="529"/>
    </row>
    <row r="13" spans="1:31" ht="23.25" customHeight="1" x14ac:dyDescent="0.2">
      <c r="A13" s="381">
        <v>5</v>
      </c>
      <c r="B13" s="413">
        <f>'3 KYU'!B13</f>
        <v>0</v>
      </c>
      <c r="C13" s="334"/>
      <c r="D13" s="335"/>
      <c r="E13" s="335"/>
      <c r="F13" s="335"/>
      <c r="G13" s="335"/>
      <c r="H13" s="336"/>
      <c r="I13" s="337"/>
      <c r="J13" s="334"/>
      <c r="K13" s="335"/>
      <c r="L13" s="335"/>
      <c r="M13" s="336"/>
      <c r="N13" s="337"/>
      <c r="O13" s="338"/>
      <c r="Q13" s="504"/>
      <c r="R13" s="527"/>
      <c r="S13" s="528"/>
      <c r="T13" s="528"/>
      <c r="U13" s="528"/>
      <c r="V13" s="528"/>
      <c r="W13" s="528"/>
      <c r="X13" s="528"/>
      <c r="Y13" s="528"/>
      <c r="Z13" s="529"/>
    </row>
    <row r="14" spans="1:31" ht="23.25" customHeight="1" thickBot="1" x14ac:dyDescent="0.25">
      <c r="A14" s="384">
        <v>6</v>
      </c>
      <c r="B14" s="414">
        <f>'3 KYU'!B14</f>
        <v>0</v>
      </c>
      <c r="C14" s="282"/>
      <c r="D14" s="283"/>
      <c r="E14" s="283"/>
      <c r="F14" s="283"/>
      <c r="G14" s="283"/>
      <c r="H14" s="284"/>
      <c r="I14" s="329"/>
      <c r="J14" s="282"/>
      <c r="K14" s="283"/>
      <c r="L14" s="283"/>
      <c r="M14" s="284"/>
      <c r="N14" s="329"/>
      <c r="O14" s="285"/>
      <c r="Q14" s="504"/>
      <c r="R14" s="530"/>
      <c r="S14" s="531"/>
      <c r="T14" s="531"/>
      <c r="U14" s="531"/>
      <c r="V14" s="531"/>
      <c r="W14" s="531"/>
      <c r="X14" s="531"/>
      <c r="Y14" s="531"/>
      <c r="Z14" s="532"/>
    </row>
    <row r="15" spans="1:31" ht="23.25" customHeight="1" x14ac:dyDescent="0.2">
      <c r="A15" s="381">
        <v>7</v>
      </c>
      <c r="B15" s="413">
        <f>'3 KYU'!B15</f>
        <v>0</v>
      </c>
      <c r="C15" s="334"/>
      <c r="D15" s="335"/>
      <c r="E15" s="335"/>
      <c r="F15" s="335"/>
      <c r="G15" s="335"/>
      <c r="H15" s="336"/>
      <c r="I15" s="337"/>
      <c r="J15" s="334"/>
      <c r="K15" s="335"/>
      <c r="L15" s="335"/>
      <c r="M15" s="336"/>
      <c r="N15" s="337"/>
      <c r="O15" s="338"/>
      <c r="Q15" s="505" t="s">
        <v>5</v>
      </c>
      <c r="R15" s="507">
        <v>1</v>
      </c>
      <c r="S15" s="566" t="s">
        <v>148</v>
      </c>
      <c r="T15" s="566"/>
      <c r="U15" s="566"/>
      <c r="V15" s="566"/>
      <c r="W15" s="566"/>
      <c r="X15" s="566"/>
      <c r="Y15" s="568" t="s">
        <v>153</v>
      </c>
      <c r="Z15" s="569"/>
    </row>
    <row r="16" spans="1:31" ht="23.25" customHeight="1" thickBot="1" x14ac:dyDescent="0.25">
      <c r="A16" s="384">
        <v>8</v>
      </c>
      <c r="B16" s="414">
        <f>'3 KYU'!B16</f>
        <v>0</v>
      </c>
      <c r="C16" s="282"/>
      <c r="D16" s="283"/>
      <c r="E16" s="283"/>
      <c r="F16" s="283"/>
      <c r="G16" s="283"/>
      <c r="H16" s="284"/>
      <c r="I16" s="329"/>
      <c r="J16" s="282"/>
      <c r="K16" s="283"/>
      <c r="L16" s="283"/>
      <c r="M16" s="284"/>
      <c r="N16" s="329"/>
      <c r="O16" s="285"/>
      <c r="Q16" s="504"/>
      <c r="R16" s="508"/>
      <c r="S16" s="567"/>
      <c r="T16" s="567"/>
      <c r="U16" s="567"/>
      <c r="V16" s="567"/>
      <c r="W16" s="567"/>
      <c r="X16" s="567"/>
      <c r="Y16" s="556"/>
      <c r="Z16" s="529"/>
    </row>
    <row r="17" spans="1:26" ht="23.25" customHeight="1" x14ac:dyDescent="0.2">
      <c r="A17" s="381">
        <v>9</v>
      </c>
      <c r="B17" s="413">
        <f>'3 KYU'!B17</f>
        <v>0</v>
      </c>
      <c r="C17" s="334"/>
      <c r="D17" s="335"/>
      <c r="E17" s="335"/>
      <c r="F17" s="335"/>
      <c r="G17" s="335"/>
      <c r="H17" s="336"/>
      <c r="I17" s="337"/>
      <c r="J17" s="334"/>
      <c r="K17" s="335"/>
      <c r="L17" s="335"/>
      <c r="M17" s="336"/>
      <c r="N17" s="337"/>
      <c r="O17" s="338"/>
      <c r="Q17" s="504"/>
      <c r="R17" s="508"/>
      <c r="S17" s="567"/>
      <c r="T17" s="567"/>
      <c r="U17" s="567"/>
      <c r="V17" s="567"/>
      <c r="W17" s="567"/>
      <c r="X17" s="567"/>
      <c r="Y17" s="556"/>
      <c r="Z17" s="529"/>
    </row>
    <row r="18" spans="1:26" ht="23.25" customHeight="1" thickBot="1" x14ac:dyDescent="0.25">
      <c r="A18" s="384">
        <v>10</v>
      </c>
      <c r="B18" s="414">
        <f>'3 KYU'!B18</f>
        <v>0</v>
      </c>
      <c r="C18" s="282"/>
      <c r="D18" s="283"/>
      <c r="E18" s="283"/>
      <c r="F18" s="283"/>
      <c r="G18" s="283"/>
      <c r="H18" s="284"/>
      <c r="I18" s="329"/>
      <c r="J18" s="282"/>
      <c r="K18" s="283"/>
      <c r="L18" s="283"/>
      <c r="M18" s="284"/>
      <c r="N18" s="329"/>
      <c r="O18" s="285"/>
      <c r="Q18" s="504"/>
      <c r="R18" s="508"/>
      <c r="S18" s="567"/>
      <c r="T18" s="567"/>
      <c r="U18" s="567"/>
      <c r="V18" s="567"/>
      <c r="W18" s="567"/>
      <c r="X18" s="567"/>
      <c r="Y18" s="560"/>
      <c r="Z18" s="570"/>
    </row>
    <row r="19" spans="1:26" ht="18.75" customHeight="1" x14ac:dyDescent="0.2">
      <c r="A19" s="269" t="s">
        <v>237</v>
      </c>
      <c r="B19" s="270"/>
      <c r="C19" s="270"/>
      <c r="D19" s="270"/>
      <c r="E19" s="270"/>
      <c r="F19" s="270"/>
      <c r="G19" s="278" t="s">
        <v>238</v>
      </c>
      <c r="H19" s="270"/>
      <c r="I19" s="270"/>
      <c r="J19" s="270"/>
      <c r="K19" s="270"/>
      <c r="L19" s="270"/>
      <c r="M19" s="270"/>
      <c r="N19" s="270"/>
      <c r="O19" s="271"/>
      <c r="Q19" s="504"/>
      <c r="R19" s="508">
        <v>2</v>
      </c>
      <c r="S19" s="571" t="s">
        <v>149</v>
      </c>
      <c r="T19" s="571"/>
      <c r="U19" s="571"/>
      <c r="V19" s="571"/>
      <c r="W19" s="571"/>
      <c r="X19" s="571"/>
      <c r="Y19" s="572" t="s">
        <v>154</v>
      </c>
      <c r="Z19" s="573"/>
    </row>
    <row r="20" spans="1:26" ht="15" customHeight="1" x14ac:dyDescent="0.2">
      <c r="A20" s="272" t="s">
        <v>8</v>
      </c>
      <c r="B20" s="160" t="s">
        <v>112</v>
      </c>
      <c r="G20" s="263" t="s">
        <v>243</v>
      </c>
      <c r="O20" s="273"/>
      <c r="Q20" s="504"/>
      <c r="R20" s="508"/>
      <c r="S20" s="571"/>
      <c r="T20" s="571"/>
      <c r="U20" s="571"/>
      <c r="V20" s="571"/>
      <c r="W20" s="571"/>
      <c r="X20" s="571"/>
      <c r="Y20" s="550"/>
      <c r="Z20" s="551"/>
    </row>
    <row r="21" spans="1:26" ht="15" customHeight="1" x14ac:dyDescent="0.2">
      <c r="A21" s="272" t="s">
        <v>9</v>
      </c>
      <c r="B21" s="160" t="s">
        <v>113</v>
      </c>
      <c r="G21" s="152" t="s">
        <v>48</v>
      </c>
      <c r="O21" s="273"/>
      <c r="Q21" s="504"/>
      <c r="R21" s="508"/>
      <c r="S21" s="571"/>
      <c r="T21" s="571"/>
      <c r="U21" s="571"/>
      <c r="V21" s="571"/>
      <c r="W21" s="571"/>
      <c r="X21" s="571"/>
      <c r="Y21" s="550"/>
      <c r="Z21" s="551"/>
    </row>
    <row r="22" spans="1:26" ht="15" customHeight="1" x14ac:dyDescent="0.2">
      <c r="A22" s="272" t="s">
        <v>11</v>
      </c>
      <c r="B22" s="160" t="s">
        <v>164</v>
      </c>
      <c r="G22" s="153" t="s">
        <v>244</v>
      </c>
      <c r="O22" s="273"/>
      <c r="Q22" s="504"/>
      <c r="R22" s="508"/>
      <c r="S22" s="571"/>
      <c r="T22" s="571"/>
      <c r="U22" s="571"/>
      <c r="V22" s="571"/>
      <c r="W22" s="571"/>
      <c r="X22" s="571"/>
      <c r="Y22" s="574"/>
      <c r="Z22" s="575"/>
    </row>
    <row r="23" spans="1:26" ht="15" customHeight="1" x14ac:dyDescent="0.2">
      <c r="A23" s="272" t="s">
        <v>12</v>
      </c>
      <c r="B23" s="160" t="s">
        <v>36</v>
      </c>
      <c r="G23" s="297" t="s">
        <v>245</v>
      </c>
      <c r="O23" s="273"/>
      <c r="Q23" s="504"/>
      <c r="R23" s="563">
        <v>3</v>
      </c>
      <c r="S23" s="554" t="s">
        <v>150</v>
      </c>
      <c r="T23" s="557"/>
      <c r="U23" s="557"/>
      <c r="V23" s="557"/>
      <c r="W23" s="557"/>
      <c r="X23" s="558"/>
      <c r="Y23" s="554" t="s">
        <v>155</v>
      </c>
      <c r="Z23" s="555"/>
    </row>
    <row r="24" spans="1:26" ht="15" customHeight="1" x14ac:dyDescent="0.2">
      <c r="A24" s="272" t="s">
        <v>13</v>
      </c>
      <c r="B24" s="160" t="s">
        <v>32</v>
      </c>
      <c r="G24" s="496" t="s">
        <v>246</v>
      </c>
      <c r="H24" s="497"/>
      <c r="I24" s="497"/>
      <c r="J24" s="497"/>
      <c r="K24" s="497"/>
      <c r="L24" s="497"/>
      <c r="M24" s="497"/>
      <c r="N24" s="497"/>
      <c r="O24" s="498"/>
      <c r="Q24" s="504"/>
      <c r="R24" s="564"/>
      <c r="S24" s="556"/>
      <c r="T24" s="528"/>
      <c r="U24" s="528"/>
      <c r="V24" s="528"/>
      <c r="W24" s="528"/>
      <c r="X24" s="559"/>
      <c r="Y24" s="556"/>
      <c r="Z24" s="529"/>
    </row>
    <row r="25" spans="1:26" ht="15" customHeight="1" x14ac:dyDescent="0.2">
      <c r="A25" s="272" t="s">
        <v>13</v>
      </c>
      <c r="B25" s="160" t="s">
        <v>114</v>
      </c>
      <c r="G25" s="499"/>
      <c r="H25" s="497"/>
      <c r="I25" s="497"/>
      <c r="J25" s="497"/>
      <c r="K25" s="497"/>
      <c r="L25" s="497"/>
      <c r="M25" s="497"/>
      <c r="N25" s="497"/>
      <c r="O25" s="498"/>
      <c r="Q25" s="504"/>
      <c r="R25" s="565"/>
      <c r="S25" s="560"/>
      <c r="T25" s="561"/>
      <c r="U25" s="561"/>
      <c r="V25" s="561"/>
      <c r="W25" s="561"/>
      <c r="X25" s="562"/>
      <c r="Y25" s="556"/>
      <c r="Z25" s="529"/>
    </row>
    <row r="26" spans="1:26" ht="15" customHeight="1" x14ac:dyDescent="0.2">
      <c r="A26" s="272"/>
      <c r="B26" s="160"/>
      <c r="G26" s="499"/>
      <c r="H26" s="497"/>
      <c r="I26" s="497"/>
      <c r="J26" s="497"/>
      <c r="K26" s="497"/>
      <c r="L26" s="497"/>
      <c r="M26" s="497"/>
      <c r="N26" s="497"/>
      <c r="O26" s="498"/>
      <c r="Q26" s="504"/>
      <c r="R26" s="508">
        <v>4</v>
      </c>
      <c r="S26" s="571" t="s">
        <v>151</v>
      </c>
      <c r="T26" s="577"/>
      <c r="U26" s="577"/>
      <c r="V26" s="577"/>
      <c r="W26" s="577"/>
      <c r="X26" s="577"/>
      <c r="Y26" s="550" t="s">
        <v>152</v>
      </c>
      <c r="Z26" s="551"/>
    </row>
    <row r="27" spans="1:26" ht="15" customHeight="1" x14ac:dyDescent="0.2">
      <c r="A27" s="274"/>
      <c r="B27" s="160"/>
      <c r="G27" s="262"/>
      <c r="O27" s="273"/>
      <c r="Q27" s="504"/>
      <c r="R27" s="508"/>
      <c r="S27" s="577"/>
      <c r="T27" s="577"/>
      <c r="U27" s="577"/>
      <c r="V27" s="577"/>
      <c r="W27" s="577"/>
      <c r="X27" s="577"/>
      <c r="Y27" s="550"/>
      <c r="Z27" s="551"/>
    </row>
    <row r="28" spans="1:26" ht="15" customHeight="1" x14ac:dyDescent="0.2">
      <c r="A28" s="274"/>
      <c r="G28" s="279"/>
      <c r="O28" s="273"/>
      <c r="Q28" s="504"/>
      <c r="R28" s="508"/>
      <c r="S28" s="577"/>
      <c r="T28" s="577"/>
      <c r="U28" s="577"/>
      <c r="V28" s="577"/>
      <c r="W28" s="577"/>
      <c r="X28" s="577"/>
      <c r="Y28" s="550"/>
      <c r="Z28" s="551"/>
    </row>
    <row r="29" spans="1:26" ht="9" customHeight="1" thickBot="1" x14ac:dyDescent="0.25">
      <c r="A29" s="275"/>
      <c r="B29" s="276"/>
      <c r="C29" s="276"/>
      <c r="D29" s="276"/>
      <c r="E29" s="276"/>
      <c r="F29" s="276"/>
      <c r="G29" s="280"/>
      <c r="H29" s="276"/>
      <c r="I29" s="276"/>
      <c r="J29" s="276"/>
      <c r="K29" s="276"/>
      <c r="L29" s="276"/>
      <c r="M29" s="276"/>
      <c r="N29" s="276"/>
      <c r="O29" s="277"/>
      <c r="Q29" s="506"/>
      <c r="R29" s="576"/>
      <c r="S29" s="578"/>
      <c r="T29" s="578"/>
      <c r="U29" s="578"/>
      <c r="V29" s="578"/>
      <c r="W29" s="578"/>
      <c r="X29" s="578"/>
      <c r="Y29" s="552"/>
      <c r="Z29" s="553"/>
    </row>
    <row r="30" spans="1:26" ht="6.75" customHeight="1" x14ac:dyDescent="0.2"/>
    <row r="31" spans="1:26" s="88" customFormat="1" ht="15" x14ac:dyDescent="0.25">
      <c r="B31" s="88" t="s">
        <v>53</v>
      </c>
      <c r="C31" s="89"/>
      <c r="J31" s="88" t="s">
        <v>54</v>
      </c>
      <c r="W31" s="88" t="s">
        <v>55</v>
      </c>
    </row>
    <row r="32" spans="1:26" s="18" customFormat="1" ht="16.5" customHeight="1" x14ac:dyDescent="0.2">
      <c r="C32" s="19"/>
    </row>
    <row r="33" spans="1:26" s="18" customFormat="1" ht="18" customHeight="1" x14ac:dyDescent="0.2">
      <c r="C33" s="19"/>
    </row>
    <row r="34" spans="1:26" s="18" customFormat="1" ht="17.25" customHeight="1" x14ac:dyDescent="0.2">
      <c r="B34" s="90"/>
      <c r="C34" s="19"/>
      <c r="J34" s="90"/>
      <c r="K34" s="90"/>
      <c r="L34" s="90"/>
      <c r="M34" s="90"/>
      <c r="N34" s="90"/>
      <c r="O34" s="90"/>
      <c r="W34" s="90"/>
      <c r="X34" s="90"/>
      <c r="Y34" s="90"/>
      <c r="Z34" s="90"/>
    </row>
    <row r="35" spans="1:26" s="18" customFormat="1" ht="18" customHeight="1" x14ac:dyDescent="0.2">
      <c r="B35" s="18" t="s">
        <v>56</v>
      </c>
      <c r="C35" s="19"/>
      <c r="J35" s="18" t="s">
        <v>56</v>
      </c>
      <c r="W35" s="18" t="s">
        <v>57</v>
      </c>
    </row>
    <row r="36" spans="1:26" s="18" customFormat="1" ht="15.75" customHeight="1" x14ac:dyDescent="0.2">
      <c r="B36" s="18" t="s">
        <v>58</v>
      </c>
      <c r="C36" s="19"/>
      <c r="J36" s="18" t="s">
        <v>59</v>
      </c>
      <c r="W36" s="18" t="s">
        <v>58</v>
      </c>
    </row>
    <row r="37" spans="1:26" ht="4.5" customHeight="1" thickBot="1" x14ac:dyDescent="0.25"/>
    <row r="38" spans="1:26" ht="23.25" customHeight="1" thickBot="1" x14ac:dyDescent="0.25">
      <c r="A38" s="381">
        <v>11</v>
      </c>
      <c r="B38" s="413">
        <f>'3 KYU'!B42</f>
        <v>0</v>
      </c>
      <c r="C38" s="334"/>
      <c r="D38" s="335"/>
      <c r="E38" s="335"/>
      <c r="F38" s="335"/>
      <c r="G38" s="335"/>
      <c r="H38" s="336"/>
      <c r="I38" s="337"/>
      <c r="J38" s="334"/>
      <c r="K38" s="335"/>
      <c r="L38" s="335"/>
      <c r="M38" s="336"/>
      <c r="N38" s="337"/>
      <c r="O38" s="338"/>
      <c r="Q38" s="268"/>
      <c r="R38" s="500" t="s">
        <v>156</v>
      </c>
      <c r="S38" s="501"/>
      <c r="T38" s="501"/>
      <c r="U38" s="501"/>
      <c r="V38" s="501"/>
      <c r="W38" s="501"/>
      <c r="X38" s="501"/>
      <c r="Y38" s="501"/>
      <c r="Z38" s="502"/>
    </row>
    <row r="39" spans="1:26" ht="23.25" customHeight="1" thickTop="1" thickBot="1" x14ac:dyDescent="0.25">
      <c r="A39" s="384">
        <f>A38+1</f>
        <v>12</v>
      </c>
      <c r="B39" s="414">
        <f>'3 KYU'!B43</f>
        <v>0</v>
      </c>
      <c r="C39" s="282"/>
      <c r="D39" s="283"/>
      <c r="E39" s="283"/>
      <c r="F39" s="283"/>
      <c r="G39" s="283"/>
      <c r="H39" s="284"/>
      <c r="I39" s="329"/>
      <c r="J39" s="282"/>
      <c r="K39" s="283"/>
      <c r="L39" s="283"/>
      <c r="M39" s="284"/>
      <c r="N39" s="329"/>
      <c r="O39" s="285"/>
      <c r="Q39" s="503" t="s">
        <v>4</v>
      </c>
      <c r="R39" s="524" t="s">
        <v>241</v>
      </c>
      <c r="S39" s="525"/>
      <c r="T39" s="525"/>
      <c r="U39" s="525"/>
      <c r="V39" s="525"/>
      <c r="W39" s="525"/>
      <c r="X39" s="525"/>
      <c r="Y39" s="525"/>
      <c r="Z39" s="526"/>
    </row>
    <row r="40" spans="1:26" ht="23.25" customHeight="1" x14ac:dyDescent="0.2">
      <c r="A40" s="381">
        <f t="shared" ref="A40:A47" si="0">A39+1</f>
        <v>13</v>
      </c>
      <c r="B40" s="413">
        <f>'3 KYU'!B44</f>
        <v>0</v>
      </c>
      <c r="C40" s="334"/>
      <c r="D40" s="335"/>
      <c r="E40" s="335"/>
      <c r="F40" s="335"/>
      <c r="G40" s="335"/>
      <c r="H40" s="336"/>
      <c r="I40" s="337"/>
      <c r="J40" s="334"/>
      <c r="K40" s="335"/>
      <c r="L40" s="335"/>
      <c r="M40" s="336"/>
      <c r="N40" s="337"/>
      <c r="O40" s="338"/>
      <c r="Q40" s="504"/>
      <c r="R40" s="527"/>
      <c r="S40" s="528"/>
      <c r="T40" s="528"/>
      <c r="U40" s="528"/>
      <c r="V40" s="528"/>
      <c r="W40" s="528"/>
      <c r="X40" s="528"/>
      <c r="Y40" s="528"/>
      <c r="Z40" s="529"/>
    </row>
    <row r="41" spans="1:26" ht="23.25" customHeight="1" thickBot="1" x14ac:dyDescent="0.25">
      <c r="A41" s="384">
        <f t="shared" si="0"/>
        <v>14</v>
      </c>
      <c r="B41" s="414">
        <f>'3 KYU'!B45</f>
        <v>0</v>
      </c>
      <c r="C41" s="282"/>
      <c r="D41" s="283"/>
      <c r="E41" s="283"/>
      <c r="F41" s="283"/>
      <c r="G41" s="283"/>
      <c r="H41" s="284"/>
      <c r="I41" s="329"/>
      <c r="J41" s="282"/>
      <c r="K41" s="283"/>
      <c r="L41" s="283"/>
      <c r="M41" s="284"/>
      <c r="N41" s="329"/>
      <c r="O41" s="285"/>
      <c r="Q41" s="504"/>
      <c r="R41" s="527"/>
      <c r="S41" s="528"/>
      <c r="T41" s="528"/>
      <c r="U41" s="528"/>
      <c r="V41" s="528"/>
      <c r="W41" s="528"/>
      <c r="X41" s="528"/>
      <c r="Y41" s="528"/>
      <c r="Z41" s="529"/>
    </row>
    <row r="42" spans="1:26" ht="23.25" customHeight="1" x14ac:dyDescent="0.2">
      <c r="A42" s="381">
        <f t="shared" si="0"/>
        <v>15</v>
      </c>
      <c r="B42" s="413">
        <f>'3 KYU'!B46</f>
        <v>0</v>
      </c>
      <c r="C42" s="334"/>
      <c r="D42" s="335"/>
      <c r="E42" s="335"/>
      <c r="F42" s="335"/>
      <c r="G42" s="335"/>
      <c r="H42" s="336"/>
      <c r="I42" s="337"/>
      <c r="J42" s="334"/>
      <c r="K42" s="335"/>
      <c r="L42" s="335"/>
      <c r="M42" s="336"/>
      <c r="N42" s="337"/>
      <c r="O42" s="338"/>
      <c r="Q42" s="504"/>
      <c r="R42" s="527"/>
      <c r="S42" s="528"/>
      <c r="T42" s="528"/>
      <c r="U42" s="528"/>
      <c r="V42" s="528"/>
      <c r="W42" s="528"/>
      <c r="X42" s="528"/>
      <c r="Y42" s="528"/>
      <c r="Z42" s="529"/>
    </row>
    <row r="43" spans="1:26" ht="23.25" customHeight="1" thickBot="1" x14ac:dyDescent="0.25">
      <c r="A43" s="384">
        <f t="shared" si="0"/>
        <v>16</v>
      </c>
      <c r="B43" s="414">
        <f>'3 KYU'!B47</f>
        <v>0</v>
      </c>
      <c r="C43" s="282"/>
      <c r="D43" s="283"/>
      <c r="E43" s="283"/>
      <c r="F43" s="283"/>
      <c r="G43" s="283"/>
      <c r="H43" s="284"/>
      <c r="I43" s="329"/>
      <c r="J43" s="282"/>
      <c r="K43" s="283"/>
      <c r="L43" s="283"/>
      <c r="M43" s="284"/>
      <c r="N43" s="329"/>
      <c r="O43" s="285"/>
      <c r="Q43" s="504"/>
      <c r="R43" s="530"/>
      <c r="S43" s="531"/>
      <c r="T43" s="531"/>
      <c r="U43" s="531"/>
      <c r="V43" s="531"/>
      <c r="W43" s="531"/>
      <c r="X43" s="531"/>
      <c r="Y43" s="531"/>
      <c r="Z43" s="532"/>
    </row>
    <row r="44" spans="1:26" ht="23.25" customHeight="1" x14ac:dyDescent="0.2">
      <c r="A44" s="381">
        <f t="shared" si="0"/>
        <v>17</v>
      </c>
      <c r="B44" s="413">
        <f>'3 KYU'!B48</f>
        <v>0</v>
      </c>
      <c r="C44" s="334"/>
      <c r="D44" s="335"/>
      <c r="E44" s="335"/>
      <c r="F44" s="335"/>
      <c r="G44" s="335"/>
      <c r="H44" s="336"/>
      <c r="I44" s="337"/>
      <c r="J44" s="334"/>
      <c r="K44" s="335"/>
      <c r="L44" s="335"/>
      <c r="M44" s="336"/>
      <c r="N44" s="337"/>
      <c r="O44" s="338"/>
      <c r="Q44" s="505" t="s">
        <v>5</v>
      </c>
      <c r="R44" s="507">
        <v>1</v>
      </c>
      <c r="S44" s="566" t="s">
        <v>148</v>
      </c>
      <c r="T44" s="566"/>
      <c r="U44" s="566"/>
      <c r="V44" s="566"/>
      <c r="W44" s="566"/>
      <c r="X44" s="566"/>
      <c r="Y44" s="568" t="s">
        <v>153</v>
      </c>
      <c r="Z44" s="569"/>
    </row>
    <row r="45" spans="1:26" ht="23.25" customHeight="1" thickBot="1" x14ac:dyDescent="0.25">
      <c r="A45" s="384">
        <f t="shared" si="0"/>
        <v>18</v>
      </c>
      <c r="B45" s="414">
        <f>'3 KYU'!B49</f>
        <v>0</v>
      </c>
      <c r="C45" s="282"/>
      <c r="D45" s="283"/>
      <c r="E45" s="283"/>
      <c r="F45" s="283"/>
      <c r="G45" s="283"/>
      <c r="H45" s="284"/>
      <c r="I45" s="329"/>
      <c r="J45" s="282"/>
      <c r="K45" s="283"/>
      <c r="L45" s="283"/>
      <c r="M45" s="284"/>
      <c r="N45" s="329"/>
      <c r="O45" s="285"/>
      <c r="Q45" s="504"/>
      <c r="R45" s="508"/>
      <c r="S45" s="567"/>
      <c r="T45" s="567"/>
      <c r="U45" s="567"/>
      <c r="V45" s="567"/>
      <c r="W45" s="567"/>
      <c r="X45" s="567"/>
      <c r="Y45" s="556"/>
      <c r="Z45" s="529"/>
    </row>
    <row r="46" spans="1:26" ht="23.25" customHeight="1" x14ac:dyDescent="0.2">
      <c r="A46" s="381">
        <f t="shared" si="0"/>
        <v>19</v>
      </c>
      <c r="B46" s="413">
        <f>'3 KYU'!B50</f>
        <v>0</v>
      </c>
      <c r="C46" s="334"/>
      <c r="D46" s="335"/>
      <c r="E46" s="335"/>
      <c r="F46" s="335"/>
      <c r="G46" s="335"/>
      <c r="H46" s="336"/>
      <c r="I46" s="337"/>
      <c r="J46" s="334"/>
      <c r="K46" s="335"/>
      <c r="L46" s="335"/>
      <c r="M46" s="336"/>
      <c r="N46" s="337"/>
      <c r="O46" s="338"/>
      <c r="Q46" s="504"/>
      <c r="R46" s="508"/>
      <c r="S46" s="567"/>
      <c r="T46" s="567"/>
      <c r="U46" s="567"/>
      <c r="V46" s="567"/>
      <c r="W46" s="567"/>
      <c r="X46" s="567"/>
      <c r="Y46" s="556"/>
      <c r="Z46" s="529"/>
    </row>
    <row r="47" spans="1:26" ht="23.25" customHeight="1" thickBot="1" x14ac:dyDescent="0.25">
      <c r="A47" s="384">
        <f t="shared" si="0"/>
        <v>20</v>
      </c>
      <c r="B47" s="414">
        <f>'3 KYU'!B51</f>
        <v>0</v>
      </c>
      <c r="C47" s="282"/>
      <c r="D47" s="283"/>
      <c r="E47" s="283"/>
      <c r="F47" s="283"/>
      <c r="G47" s="283"/>
      <c r="H47" s="284"/>
      <c r="I47" s="329"/>
      <c r="J47" s="282"/>
      <c r="K47" s="283"/>
      <c r="L47" s="283"/>
      <c r="M47" s="284"/>
      <c r="N47" s="329"/>
      <c r="O47" s="285"/>
      <c r="Q47" s="504"/>
      <c r="R47" s="508"/>
      <c r="S47" s="567"/>
      <c r="T47" s="567"/>
      <c r="U47" s="567"/>
      <c r="V47" s="567"/>
      <c r="W47" s="567"/>
      <c r="X47" s="567"/>
      <c r="Y47" s="560"/>
      <c r="Z47" s="570"/>
    </row>
    <row r="48" spans="1:26" ht="18.75" customHeight="1" x14ac:dyDescent="0.2">
      <c r="A48" s="269" t="s">
        <v>237</v>
      </c>
      <c r="B48" s="270"/>
      <c r="C48" s="270"/>
      <c r="D48" s="270"/>
      <c r="E48" s="270"/>
      <c r="F48" s="270"/>
      <c r="G48" s="278" t="s">
        <v>238</v>
      </c>
      <c r="H48" s="270"/>
      <c r="I48" s="270"/>
      <c r="J48" s="270"/>
      <c r="K48" s="270"/>
      <c r="L48" s="270"/>
      <c r="M48" s="270"/>
      <c r="N48" s="270"/>
      <c r="O48" s="271"/>
      <c r="Q48" s="504"/>
      <c r="R48" s="508">
        <v>2</v>
      </c>
      <c r="S48" s="571" t="s">
        <v>149</v>
      </c>
      <c r="T48" s="571"/>
      <c r="U48" s="571"/>
      <c r="V48" s="571"/>
      <c r="W48" s="571"/>
      <c r="X48" s="571"/>
      <c r="Y48" s="572" t="s">
        <v>154</v>
      </c>
      <c r="Z48" s="573"/>
    </row>
    <row r="49" spans="1:26" ht="15" customHeight="1" x14ac:dyDescent="0.2">
      <c r="A49" s="272" t="s">
        <v>8</v>
      </c>
      <c r="B49" s="160" t="s">
        <v>112</v>
      </c>
      <c r="G49" s="263" t="s">
        <v>243</v>
      </c>
      <c r="O49" s="273"/>
      <c r="Q49" s="504"/>
      <c r="R49" s="508"/>
      <c r="S49" s="571"/>
      <c r="T49" s="571"/>
      <c r="U49" s="571"/>
      <c r="V49" s="571"/>
      <c r="W49" s="571"/>
      <c r="X49" s="571"/>
      <c r="Y49" s="550"/>
      <c r="Z49" s="551"/>
    </row>
    <row r="50" spans="1:26" ht="15" customHeight="1" x14ac:dyDescent="0.2">
      <c r="A50" s="272" t="s">
        <v>9</v>
      </c>
      <c r="B50" s="160" t="s">
        <v>113</v>
      </c>
      <c r="G50" s="152" t="s">
        <v>48</v>
      </c>
      <c r="O50" s="273"/>
      <c r="Q50" s="504"/>
      <c r="R50" s="508"/>
      <c r="S50" s="571"/>
      <c r="T50" s="571"/>
      <c r="U50" s="571"/>
      <c r="V50" s="571"/>
      <c r="W50" s="571"/>
      <c r="X50" s="571"/>
      <c r="Y50" s="550"/>
      <c r="Z50" s="551"/>
    </row>
    <row r="51" spans="1:26" ht="15" customHeight="1" x14ac:dyDescent="0.2">
      <c r="A51" s="272" t="s">
        <v>11</v>
      </c>
      <c r="B51" s="160" t="s">
        <v>164</v>
      </c>
      <c r="G51" s="153" t="s">
        <v>244</v>
      </c>
      <c r="O51" s="273"/>
      <c r="Q51" s="504"/>
      <c r="R51" s="508"/>
      <c r="S51" s="571"/>
      <c r="T51" s="571"/>
      <c r="U51" s="571"/>
      <c r="V51" s="571"/>
      <c r="W51" s="571"/>
      <c r="X51" s="571"/>
      <c r="Y51" s="574"/>
      <c r="Z51" s="575"/>
    </row>
    <row r="52" spans="1:26" ht="15" customHeight="1" x14ac:dyDescent="0.2">
      <c r="A52" s="272" t="s">
        <v>12</v>
      </c>
      <c r="B52" s="160" t="s">
        <v>36</v>
      </c>
      <c r="G52" s="297" t="s">
        <v>245</v>
      </c>
      <c r="O52" s="273"/>
      <c r="Q52" s="504"/>
      <c r="R52" s="563">
        <v>3</v>
      </c>
      <c r="S52" s="554" t="s">
        <v>150</v>
      </c>
      <c r="T52" s="557"/>
      <c r="U52" s="557"/>
      <c r="V52" s="557"/>
      <c r="W52" s="557"/>
      <c r="X52" s="558"/>
      <c r="Y52" s="554" t="s">
        <v>155</v>
      </c>
      <c r="Z52" s="555"/>
    </row>
    <row r="53" spans="1:26" ht="15" customHeight="1" x14ac:dyDescent="0.2">
      <c r="A53" s="272" t="s">
        <v>13</v>
      </c>
      <c r="B53" s="160" t="s">
        <v>32</v>
      </c>
      <c r="G53" s="496" t="s">
        <v>246</v>
      </c>
      <c r="H53" s="497"/>
      <c r="I53" s="497"/>
      <c r="J53" s="497"/>
      <c r="K53" s="497"/>
      <c r="L53" s="497"/>
      <c r="M53" s="497"/>
      <c r="N53" s="497"/>
      <c r="O53" s="498"/>
      <c r="Q53" s="504"/>
      <c r="R53" s="564"/>
      <c r="S53" s="556"/>
      <c r="T53" s="528"/>
      <c r="U53" s="528"/>
      <c r="V53" s="528"/>
      <c r="W53" s="528"/>
      <c r="X53" s="559"/>
      <c r="Y53" s="556"/>
      <c r="Z53" s="529"/>
    </row>
    <row r="54" spans="1:26" ht="15" customHeight="1" x14ac:dyDescent="0.2">
      <c r="A54" s="272" t="s">
        <v>13</v>
      </c>
      <c r="B54" s="160" t="s">
        <v>114</v>
      </c>
      <c r="G54" s="499"/>
      <c r="H54" s="497"/>
      <c r="I54" s="497"/>
      <c r="J54" s="497"/>
      <c r="K54" s="497"/>
      <c r="L54" s="497"/>
      <c r="M54" s="497"/>
      <c r="N54" s="497"/>
      <c r="O54" s="498"/>
      <c r="Q54" s="504"/>
      <c r="R54" s="565"/>
      <c r="S54" s="560"/>
      <c r="T54" s="561"/>
      <c r="U54" s="561"/>
      <c r="V54" s="561"/>
      <c r="W54" s="561"/>
      <c r="X54" s="562"/>
      <c r="Y54" s="556"/>
      <c r="Z54" s="529"/>
    </row>
    <row r="55" spans="1:26" ht="15" customHeight="1" x14ac:dyDescent="0.2">
      <c r="A55" s="272"/>
      <c r="B55" s="160"/>
      <c r="G55" s="499"/>
      <c r="H55" s="497"/>
      <c r="I55" s="497"/>
      <c r="J55" s="497"/>
      <c r="K55" s="497"/>
      <c r="L55" s="497"/>
      <c r="M55" s="497"/>
      <c r="N55" s="497"/>
      <c r="O55" s="498"/>
      <c r="Q55" s="504"/>
      <c r="R55" s="508">
        <v>4</v>
      </c>
      <c r="S55" s="571" t="s">
        <v>151</v>
      </c>
      <c r="T55" s="577"/>
      <c r="U55" s="577"/>
      <c r="V55" s="577"/>
      <c r="W55" s="577"/>
      <c r="X55" s="577"/>
      <c r="Y55" s="550" t="s">
        <v>152</v>
      </c>
      <c r="Z55" s="551"/>
    </row>
    <row r="56" spans="1:26" ht="15" customHeight="1" x14ac:dyDescent="0.2">
      <c r="A56" s="274"/>
      <c r="B56" s="160"/>
      <c r="G56" s="262"/>
      <c r="O56" s="273"/>
      <c r="Q56" s="504"/>
      <c r="R56" s="508"/>
      <c r="S56" s="577"/>
      <c r="T56" s="577"/>
      <c r="U56" s="577"/>
      <c r="V56" s="577"/>
      <c r="W56" s="577"/>
      <c r="X56" s="577"/>
      <c r="Y56" s="550"/>
      <c r="Z56" s="551"/>
    </row>
    <row r="57" spans="1:26" ht="15" customHeight="1" x14ac:dyDescent="0.2">
      <c r="A57" s="274"/>
      <c r="G57" s="279"/>
      <c r="O57" s="273"/>
      <c r="Q57" s="504"/>
      <c r="R57" s="508"/>
      <c r="S57" s="577"/>
      <c r="T57" s="577"/>
      <c r="U57" s="577"/>
      <c r="V57" s="577"/>
      <c r="W57" s="577"/>
      <c r="X57" s="577"/>
      <c r="Y57" s="550"/>
      <c r="Z57" s="551"/>
    </row>
    <row r="58" spans="1:26" ht="9" customHeight="1" thickBot="1" x14ac:dyDescent="0.25">
      <c r="A58" s="275"/>
      <c r="B58" s="276"/>
      <c r="C58" s="276"/>
      <c r="D58" s="276"/>
      <c r="E58" s="276"/>
      <c r="F58" s="276"/>
      <c r="G58" s="280"/>
      <c r="H58" s="276"/>
      <c r="I58" s="276"/>
      <c r="J58" s="276"/>
      <c r="K58" s="276"/>
      <c r="L58" s="276"/>
      <c r="M58" s="276"/>
      <c r="N58" s="276"/>
      <c r="O58" s="277"/>
      <c r="Q58" s="506"/>
      <c r="R58" s="576"/>
      <c r="S58" s="578"/>
      <c r="T58" s="578"/>
      <c r="U58" s="578"/>
      <c r="V58" s="578"/>
      <c r="W58" s="578"/>
      <c r="X58" s="578"/>
      <c r="Y58" s="552"/>
      <c r="Z58" s="553"/>
    </row>
    <row r="59" spans="1:26" ht="6.75" customHeight="1" x14ac:dyDescent="0.2"/>
    <row r="60" spans="1:26" s="88" customFormat="1" ht="15" x14ac:dyDescent="0.25">
      <c r="B60" s="88" t="s">
        <v>53</v>
      </c>
      <c r="C60" s="89"/>
      <c r="J60" s="88" t="s">
        <v>54</v>
      </c>
      <c r="W60" s="88" t="s">
        <v>55</v>
      </c>
    </row>
    <row r="61" spans="1:26" s="18" customFormat="1" ht="16.5" customHeight="1" x14ac:dyDescent="0.2">
      <c r="C61" s="19"/>
    </row>
    <row r="62" spans="1:26" s="18" customFormat="1" ht="18" customHeight="1" x14ac:dyDescent="0.2">
      <c r="C62" s="19"/>
    </row>
    <row r="63" spans="1:26" s="18" customFormat="1" ht="17.25" customHeight="1" x14ac:dyDescent="0.2">
      <c r="B63" s="90"/>
      <c r="C63" s="19"/>
      <c r="J63" s="90"/>
      <c r="K63" s="90"/>
      <c r="L63" s="90"/>
      <c r="M63" s="90"/>
      <c r="N63" s="90"/>
      <c r="O63" s="90"/>
      <c r="W63" s="90"/>
      <c r="X63" s="90"/>
      <c r="Y63" s="90"/>
      <c r="Z63" s="90"/>
    </row>
    <row r="64" spans="1:26" s="18" customFormat="1" ht="18" customHeight="1" x14ac:dyDescent="0.2">
      <c r="B64" s="18" t="s">
        <v>56</v>
      </c>
      <c r="C64" s="19"/>
      <c r="J64" s="18" t="s">
        <v>56</v>
      </c>
      <c r="W64" s="18" t="s">
        <v>57</v>
      </c>
    </row>
    <row r="65" spans="1:26" s="18" customFormat="1" ht="15.75" customHeight="1" x14ac:dyDescent="0.2">
      <c r="B65" s="18" t="s">
        <v>58</v>
      </c>
      <c r="C65" s="19"/>
      <c r="J65" s="18" t="s">
        <v>59</v>
      </c>
      <c r="W65" s="18" t="s">
        <v>58</v>
      </c>
    </row>
    <row r="66" spans="1:26" ht="4.5" customHeight="1" thickBot="1" x14ac:dyDescent="0.25"/>
    <row r="67" spans="1:26" ht="23.25" customHeight="1" thickBot="1" x14ac:dyDescent="0.25">
      <c r="A67" s="381">
        <v>21</v>
      </c>
      <c r="B67" s="413">
        <f>'3 KYU'!B75</f>
        <v>0</v>
      </c>
      <c r="C67" s="334"/>
      <c r="D67" s="335"/>
      <c r="E67" s="335"/>
      <c r="F67" s="335"/>
      <c r="G67" s="335"/>
      <c r="H67" s="336"/>
      <c r="I67" s="337"/>
      <c r="J67" s="334"/>
      <c r="K67" s="335"/>
      <c r="L67" s="335"/>
      <c r="M67" s="336"/>
      <c r="N67" s="337"/>
      <c r="O67" s="338"/>
      <c r="Q67" s="268"/>
      <c r="R67" s="500" t="s">
        <v>156</v>
      </c>
      <c r="S67" s="501"/>
      <c r="T67" s="501"/>
      <c r="U67" s="501"/>
      <c r="V67" s="501"/>
      <c r="W67" s="501"/>
      <c r="X67" s="501"/>
      <c r="Y67" s="501"/>
      <c r="Z67" s="502"/>
    </row>
    <row r="68" spans="1:26" ht="23.25" customHeight="1" thickTop="1" thickBot="1" x14ac:dyDescent="0.25">
      <c r="A68" s="384">
        <f>A67+1</f>
        <v>22</v>
      </c>
      <c r="B68" s="414">
        <f>'3 KYU'!B76</f>
        <v>0</v>
      </c>
      <c r="C68" s="282"/>
      <c r="D68" s="283"/>
      <c r="E68" s="283"/>
      <c r="F68" s="283"/>
      <c r="G68" s="283"/>
      <c r="H68" s="284"/>
      <c r="I68" s="329"/>
      <c r="J68" s="282"/>
      <c r="K68" s="283"/>
      <c r="L68" s="283"/>
      <c r="M68" s="284"/>
      <c r="N68" s="329"/>
      <c r="O68" s="285"/>
      <c r="Q68" s="503" t="s">
        <v>4</v>
      </c>
      <c r="R68" s="524" t="s">
        <v>241</v>
      </c>
      <c r="S68" s="525"/>
      <c r="T68" s="525"/>
      <c r="U68" s="525"/>
      <c r="V68" s="525"/>
      <c r="W68" s="525"/>
      <c r="X68" s="525"/>
      <c r="Y68" s="525"/>
      <c r="Z68" s="526"/>
    </row>
    <row r="69" spans="1:26" ht="23.25" customHeight="1" x14ac:dyDescent="0.2">
      <c r="A69" s="381">
        <f t="shared" ref="A69:A76" si="1">A68+1</f>
        <v>23</v>
      </c>
      <c r="B69" s="413">
        <f>'3 KYU'!B77</f>
        <v>0</v>
      </c>
      <c r="C69" s="334"/>
      <c r="D69" s="335"/>
      <c r="E69" s="335"/>
      <c r="F69" s="335"/>
      <c r="G69" s="335"/>
      <c r="H69" s="336"/>
      <c r="I69" s="337"/>
      <c r="J69" s="334"/>
      <c r="K69" s="335"/>
      <c r="L69" s="335"/>
      <c r="M69" s="336"/>
      <c r="N69" s="337"/>
      <c r="O69" s="338"/>
      <c r="Q69" s="504"/>
      <c r="R69" s="527"/>
      <c r="S69" s="528"/>
      <c r="T69" s="528"/>
      <c r="U69" s="528"/>
      <c r="V69" s="528"/>
      <c r="W69" s="528"/>
      <c r="X69" s="528"/>
      <c r="Y69" s="528"/>
      <c r="Z69" s="529"/>
    </row>
    <row r="70" spans="1:26" ht="23.25" customHeight="1" thickBot="1" x14ac:dyDescent="0.25">
      <c r="A70" s="384">
        <f t="shared" si="1"/>
        <v>24</v>
      </c>
      <c r="B70" s="414">
        <f>'3 KYU'!B78</f>
        <v>0</v>
      </c>
      <c r="C70" s="282"/>
      <c r="D70" s="283"/>
      <c r="E70" s="283"/>
      <c r="F70" s="283"/>
      <c r="G70" s="283"/>
      <c r="H70" s="284"/>
      <c r="I70" s="329"/>
      <c r="J70" s="282"/>
      <c r="K70" s="283"/>
      <c r="L70" s="283"/>
      <c r="M70" s="284"/>
      <c r="N70" s="329"/>
      <c r="O70" s="285"/>
      <c r="Q70" s="504"/>
      <c r="R70" s="527"/>
      <c r="S70" s="528"/>
      <c r="T70" s="528"/>
      <c r="U70" s="528"/>
      <c r="V70" s="528"/>
      <c r="W70" s="528"/>
      <c r="X70" s="528"/>
      <c r="Y70" s="528"/>
      <c r="Z70" s="529"/>
    </row>
    <row r="71" spans="1:26" ht="23.25" customHeight="1" x14ac:dyDescent="0.2">
      <c r="A71" s="381">
        <f t="shared" si="1"/>
        <v>25</v>
      </c>
      <c r="B71" s="413">
        <f>'3 KYU'!B79</f>
        <v>0</v>
      </c>
      <c r="C71" s="334"/>
      <c r="D71" s="335"/>
      <c r="E71" s="335"/>
      <c r="F71" s="335"/>
      <c r="G71" s="335"/>
      <c r="H71" s="336"/>
      <c r="I71" s="337"/>
      <c r="J71" s="334"/>
      <c r="K71" s="335"/>
      <c r="L71" s="335"/>
      <c r="M71" s="336"/>
      <c r="N71" s="337"/>
      <c r="O71" s="338"/>
      <c r="Q71" s="504"/>
      <c r="R71" s="527"/>
      <c r="S71" s="528"/>
      <c r="T71" s="528"/>
      <c r="U71" s="528"/>
      <c r="V71" s="528"/>
      <c r="W71" s="528"/>
      <c r="X71" s="528"/>
      <c r="Y71" s="528"/>
      <c r="Z71" s="529"/>
    </row>
    <row r="72" spans="1:26" ht="23.25" customHeight="1" thickBot="1" x14ac:dyDescent="0.25">
      <c r="A72" s="384">
        <f t="shared" si="1"/>
        <v>26</v>
      </c>
      <c r="B72" s="414">
        <f>'3 KYU'!B80</f>
        <v>0</v>
      </c>
      <c r="C72" s="282"/>
      <c r="D72" s="283"/>
      <c r="E72" s="283"/>
      <c r="F72" s="283"/>
      <c r="G72" s="283"/>
      <c r="H72" s="284"/>
      <c r="I72" s="329"/>
      <c r="J72" s="282"/>
      <c r="K72" s="283"/>
      <c r="L72" s="283"/>
      <c r="M72" s="284"/>
      <c r="N72" s="329"/>
      <c r="O72" s="285"/>
      <c r="Q72" s="504"/>
      <c r="R72" s="530"/>
      <c r="S72" s="531"/>
      <c r="T72" s="531"/>
      <c r="U72" s="531"/>
      <c r="V72" s="531"/>
      <c r="W72" s="531"/>
      <c r="X72" s="531"/>
      <c r="Y72" s="531"/>
      <c r="Z72" s="532"/>
    </row>
    <row r="73" spans="1:26" ht="23.25" customHeight="1" x14ac:dyDescent="0.2">
      <c r="A73" s="381">
        <f t="shared" si="1"/>
        <v>27</v>
      </c>
      <c r="B73" s="413">
        <f>'3 KYU'!B81</f>
        <v>0</v>
      </c>
      <c r="C73" s="334"/>
      <c r="D73" s="335"/>
      <c r="E73" s="335"/>
      <c r="F73" s="335"/>
      <c r="G73" s="335"/>
      <c r="H73" s="336"/>
      <c r="I73" s="337"/>
      <c r="J73" s="334"/>
      <c r="K73" s="335"/>
      <c r="L73" s="335"/>
      <c r="M73" s="336"/>
      <c r="N73" s="337"/>
      <c r="O73" s="338"/>
      <c r="Q73" s="505" t="s">
        <v>5</v>
      </c>
      <c r="R73" s="507">
        <v>1</v>
      </c>
      <c r="S73" s="566" t="s">
        <v>148</v>
      </c>
      <c r="T73" s="566"/>
      <c r="U73" s="566"/>
      <c r="V73" s="566"/>
      <c r="W73" s="566"/>
      <c r="X73" s="566"/>
      <c r="Y73" s="568" t="s">
        <v>153</v>
      </c>
      <c r="Z73" s="569"/>
    </row>
    <row r="74" spans="1:26" ht="23.25" customHeight="1" thickBot="1" x14ac:dyDescent="0.25">
      <c r="A74" s="384">
        <f t="shared" si="1"/>
        <v>28</v>
      </c>
      <c r="B74" s="414">
        <f>'3 KYU'!B82</f>
        <v>0</v>
      </c>
      <c r="C74" s="282"/>
      <c r="D74" s="283"/>
      <c r="E74" s="283"/>
      <c r="F74" s="283"/>
      <c r="G74" s="283"/>
      <c r="H74" s="284"/>
      <c r="I74" s="329"/>
      <c r="J74" s="282"/>
      <c r="K74" s="283"/>
      <c r="L74" s="283"/>
      <c r="M74" s="284"/>
      <c r="N74" s="329"/>
      <c r="O74" s="285"/>
      <c r="Q74" s="504"/>
      <c r="R74" s="508"/>
      <c r="S74" s="567"/>
      <c r="T74" s="567"/>
      <c r="U74" s="567"/>
      <c r="V74" s="567"/>
      <c r="W74" s="567"/>
      <c r="X74" s="567"/>
      <c r="Y74" s="556"/>
      <c r="Z74" s="529"/>
    </row>
    <row r="75" spans="1:26" ht="23.25" customHeight="1" x14ac:dyDescent="0.2">
      <c r="A75" s="381">
        <f t="shared" si="1"/>
        <v>29</v>
      </c>
      <c r="B75" s="413">
        <f>'3 KYU'!B83</f>
        <v>0</v>
      </c>
      <c r="C75" s="334"/>
      <c r="D75" s="335"/>
      <c r="E75" s="335"/>
      <c r="F75" s="335"/>
      <c r="G75" s="335"/>
      <c r="H75" s="336"/>
      <c r="I75" s="337"/>
      <c r="J75" s="334"/>
      <c r="K75" s="335"/>
      <c r="L75" s="335"/>
      <c r="M75" s="336"/>
      <c r="N75" s="337"/>
      <c r="O75" s="338"/>
      <c r="Q75" s="504"/>
      <c r="R75" s="508"/>
      <c r="S75" s="567"/>
      <c r="T75" s="567"/>
      <c r="U75" s="567"/>
      <c r="V75" s="567"/>
      <c r="W75" s="567"/>
      <c r="X75" s="567"/>
      <c r="Y75" s="556"/>
      <c r="Z75" s="529"/>
    </row>
    <row r="76" spans="1:26" ht="23.25" customHeight="1" thickBot="1" x14ac:dyDescent="0.25">
      <c r="A76" s="384">
        <f t="shared" si="1"/>
        <v>30</v>
      </c>
      <c r="B76" s="414">
        <f>'3 KYU'!B84</f>
        <v>0</v>
      </c>
      <c r="C76" s="282"/>
      <c r="D76" s="283"/>
      <c r="E76" s="283"/>
      <c r="F76" s="283"/>
      <c r="G76" s="283"/>
      <c r="H76" s="284"/>
      <c r="I76" s="329"/>
      <c r="J76" s="282"/>
      <c r="K76" s="283"/>
      <c r="L76" s="283"/>
      <c r="M76" s="284"/>
      <c r="N76" s="329"/>
      <c r="O76" s="285"/>
      <c r="Q76" s="504"/>
      <c r="R76" s="508"/>
      <c r="S76" s="567"/>
      <c r="T76" s="567"/>
      <c r="U76" s="567"/>
      <c r="V76" s="567"/>
      <c r="W76" s="567"/>
      <c r="X76" s="567"/>
      <c r="Y76" s="560"/>
      <c r="Z76" s="570"/>
    </row>
    <row r="77" spans="1:26" ht="18.75" customHeight="1" x14ac:dyDescent="0.2">
      <c r="A77" s="269" t="s">
        <v>237</v>
      </c>
      <c r="B77" s="270"/>
      <c r="C77" s="270"/>
      <c r="D77" s="270"/>
      <c r="E77" s="270"/>
      <c r="F77" s="270"/>
      <c r="G77" s="278" t="s">
        <v>238</v>
      </c>
      <c r="H77" s="270"/>
      <c r="I77" s="270"/>
      <c r="J77" s="270"/>
      <c r="K77" s="270"/>
      <c r="L77" s="270"/>
      <c r="M77" s="270"/>
      <c r="N77" s="270"/>
      <c r="O77" s="271"/>
      <c r="Q77" s="504"/>
      <c r="R77" s="508">
        <v>2</v>
      </c>
      <c r="S77" s="571" t="s">
        <v>149</v>
      </c>
      <c r="T77" s="571"/>
      <c r="U77" s="571"/>
      <c r="V77" s="571"/>
      <c r="W77" s="571"/>
      <c r="X77" s="571"/>
      <c r="Y77" s="572" t="s">
        <v>154</v>
      </c>
      <c r="Z77" s="573"/>
    </row>
    <row r="78" spans="1:26" ht="15" customHeight="1" x14ac:dyDescent="0.2">
      <c r="A78" s="272" t="s">
        <v>8</v>
      </c>
      <c r="B78" s="160" t="s">
        <v>112</v>
      </c>
      <c r="G78" s="263" t="s">
        <v>243</v>
      </c>
      <c r="O78" s="273"/>
      <c r="Q78" s="504"/>
      <c r="R78" s="508"/>
      <c r="S78" s="571"/>
      <c r="T78" s="571"/>
      <c r="U78" s="571"/>
      <c r="V78" s="571"/>
      <c r="W78" s="571"/>
      <c r="X78" s="571"/>
      <c r="Y78" s="550"/>
      <c r="Z78" s="551"/>
    </row>
    <row r="79" spans="1:26" ht="15" customHeight="1" x14ac:dyDescent="0.2">
      <c r="A79" s="272" t="s">
        <v>9</v>
      </c>
      <c r="B79" s="160" t="s">
        <v>113</v>
      </c>
      <c r="G79" s="152" t="s">
        <v>48</v>
      </c>
      <c r="O79" s="273"/>
      <c r="Q79" s="504"/>
      <c r="R79" s="508"/>
      <c r="S79" s="571"/>
      <c r="T79" s="571"/>
      <c r="U79" s="571"/>
      <c r="V79" s="571"/>
      <c r="W79" s="571"/>
      <c r="X79" s="571"/>
      <c r="Y79" s="550"/>
      <c r="Z79" s="551"/>
    </row>
    <row r="80" spans="1:26" ht="15" customHeight="1" x14ac:dyDescent="0.2">
      <c r="A80" s="272" t="s">
        <v>11</v>
      </c>
      <c r="B80" s="160" t="s">
        <v>164</v>
      </c>
      <c r="G80" s="153" t="s">
        <v>244</v>
      </c>
      <c r="O80" s="273"/>
      <c r="Q80" s="504"/>
      <c r="R80" s="508"/>
      <c r="S80" s="571"/>
      <c r="T80" s="571"/>
      <c r="U80" s="571"/>
      <c r="V80" s="571"/>
      <c r="W80" s="571"/>
      <c r="X80" s="571"/>
      <c r="Y80" s="574"/>
      <c r="Z80" s="575"/>
    </row>
    <row r="81" spans="1:26" ht="15" customHeight="1" x14ac:dyDescent="0.2">
      <c r="A81" s="272" t="s">
        <v>12</v>
      </c>
      <c r="B81" s="160" t="s">
        <v>36</v>
      </c>
      <c r="G81" s="297" t="s">
        <v>245</v>
      </c>
      <c r="O81" s="273"/>
      <c r="Q81" s="504"/>
      <c r="R81" s="563">
        <v>3</v>
      </c>
      <c r="S81" s="554" t="s">
        <v>150</v>
      </c>
      <c r="T81" s="557"/>
      <c r="U81" s="557"/>
      <c r="V81" s="557"/>
      <c r="W81" s="557"/>
      <c r="X81" s="558"/>
      <c r="Y81" s="554" t="s">
        <v>155</v>
      </c>
      <c r="Z81" s="555"/>
    </row>
    <row r="82" spans="1:26" ht="15" customHeight="1" x14ac:dyDescent="0.2">
      <c r="A82" s="272" t="s">
        <v>13</v>
      </c>
      <c r="B82" s="160" t="s">
        <v>32</v>
      </c>
      <c r="G82" s="496" t="s">
        <v>246</v>
      </c>
      <c r="H82" s="497"/>
      <c r="I82" s="497"/>
      <c r="J82" s="497"/>
      <c r="K82" s="497"/>
      <c r="L82" s="497"/>
      <c r="M82" s="497"/>
      <c r="N82" s="497"/>
      <c r="O82" s="498"/>
      <c r="Q82" s="504"/>
      <c r="R82" s="564"/>
      <c r="S82" s="556"/>
      <c r="T82" s="528"/>
      <c r="U82" s="528"/>
      <c r="V82" s="528"/>
      <c r="W82" s="528"/>
      <c r="X82" s="559"/>
      <c r="Y82" s="556"/>
      <c r="Z82" s="529"/>
    </row>
    <row r="83" spans="1:26" ht="15" customHeight="1" x14ac:dyDescent="0.2">
      <c r="A83" s="272" t="s">
        <v>13</v>
      </c>
      <c r="B83" s="160" t="s">
        <v>114</v>
      </c>
      <c r="G83" s="499"/>
      <c r="H83" s="497"/>
      <c r="I83" s="497"/>
      <c r="J83" s="497"/>
      <c r="K83" s="497"/>
      <c r="L83" s="497"/>
      <c r="M83" s="497"/>
      <c r="N83" s="497"/>
      <c r="O83" s="498"/>
      <c r="Q83" s="504"/>
      <c r="R83" s="565"/>
      <c r="S83" s="560"/>
      <c r="T83" s="561"/>
      <c r="U83" s="561"/>
      <c r="V83" s="561"/>
      <c r="W83" s="561"/>
      <c r="X83" s="562"/>
      <c r="Y83" s="556"/>
      <c r="Z83" s="529"/>
    </row>
    <row r="84" spans="1:26" ht="15" customHeight="1" x14ac:dyDescent="0.2">
      <c r="A84" s="272"/>
      <c r="B84" s="160"/>
      <c r="G84" s="499"/>
      <c r="H84" s="497"/>
      <c r="I84" s="497"/>
      <c r="J84" s="497"/>
      <c r="K84" s="497"/>
      <c r="L84" s="497"/>
      <c r="M84" s="497"/>
      <c r="N84" s="497"/>
      <c r="O84" s="498"/>
      <c r="Q84" s="504"/>
      <c r="R84" s="508">
        <v>4</v>
      </c>
      <c r="S84" s="571" t="s">
        <v>151</v>
      </c>
      <c r="T84" s="577"/>
      <c r="U84" s="577"/>
      <c r="V84" s="577"/>
      <c r="W84" s="577"/>
      <c r="X84" s="577"/>
      <c r="Y84" s="550" t="s">
        <v>152</v>
      </c>
      <c r="Z84" s="551"/>
    </row>
    <row r="85" spans="1:26" ht="15" customHeight="1" x14ac:dyDescent="0.2">
      <c r="A85" s="274"/>
      <c r="B85" s="160"/>
      <c r="G85" s="262"/>
      <c r="O85" s="273"/>
      <c r="Q85" s="504"/>
      <c r="R85" s="508"/>
      <c r="S85" s="577"/>
      <c r="T85" s="577"/>
      <c r="U85" s="577"/>
      <c r="V85" s="577"/>
      <c r="W85" s="577"/>
      <c r="X85" s="577"/>
      <c r="Y85" s="550"/>
      <c r="Z85" s="551"/>
    </row>
    <row r="86" spans="1:26" ht="15" customHeight="1" x14ac:dyDescent="0.2">
      <c r="A86" s="274"/>
      <c r="G86" s="279"/>
      <c r="O86" s="273"/>
      <c r="Q86" s="504"/>
      <c r="R86" s="508"/>
      <c r="S86" s="577"/>
      <c r="T86" s="577"/>
      <c r="U86" s="577"/>
      <c r="V86" s="577"/>
      <c r="W86" s="577"/>
      <c r="X86" s="577"/>
      <c r="Y86" s="550"/>
      <c r="Z86" s="551"/>
    </row>
    <row r="87" spans="1:26" ht="9" customHeight="1" thickBot="1" x14ac:dyDescent="0.25">
      <c r="A87" s="275"/>
      <c r="B87" s="276"/>
      <c r="C87" s="276"/>
      <c r="D87" s="276"/>
      <c r="E87" s="276"/>
      <c r="F87" s="276"/>
      <c r="G87" s="280"/>
      <c r="H87" s="276"/>
      <c r="I87" s="276"/>
      <c r="J87" s="276"/>
      <c r="K87" s="276"/>
      <c r="L87" s="276"/>
      <c r="M87" s="276"/>
      <c r="N87" s="276"/>
      <c r="O87" s="277"/>
      <c r="Q87" s="506"/>
      <c r="R87" s="576"/>
      <c r="S87" s="578"/>
      <c r="T87" s="578"/>
      <c r="U87" s="578"/>
      <c r="V87" s="578"/>
      <c r="W87" s="578"/>
      <c r="X87" s="578"/>
      <c r="Y87" s="552"/>
      <c r="Z87" s="553"/>
    </row>
    <row r="88" spans="1:26" ht="6.75" customHeight="1" x14ac:dyDescent="0.2"/>
    <row r="89" spans="1:26" s="88" customFormat="1" ht="15" x14ac:dyDescent="0.25">
      <c r="B89" s="88" t="s">
        <v>53</v>
      </c>
      <c r="C89" s="89"/>
      <c r="J89" s="88" t="s">
        <v>54</v>
      </c>
      <c r="W89" s="88" t="s">
        <v>55</v>
      </c>
    </row>
    <row r="90" spans="1:26" s="18" customFormat="1" ht="16.5" customHeight="1" x14ac:dyDescent="0.2">
      <c r="C90" s="19"/>
    </row>
    <row r="91" spans="1:26" s="18" customFormat="1" ht="18" customHeight="1" x14ac:dyDescent="0.2">
      <c r="C91" s="19"/>
    </row>
    <row r="92" spans="1:26" s="18" customFormat="1" ht="17.25" customHeight="1" x14ac:dyDescent="0.2">
      <c r="B92" s="90"/>
      <c r="C92" s="19"/>
      <c r="J92" s="90"/>
      <c r="K92" s="90"/>
      <c r="L92" s="90"/>
      <c r="M92" s="90"/>
      <c r="N92" s="90"/>
      <c r="O92" s="90"/>
      <c r="W92" s="90"/>
      <c r="X92" s="90"/>
      <c r="Y92" s="90"/>
      <c r="Z92" s="90"/>
    </row>
    <row r="93" spans="1:26" s="18" customFormat="1" ht="18" customHeight="1" x14ac:dyDescent="0.2">
      <c r="B93" s="18" t="s">
        <v>56</v>
      </c>
      <c r="C93" s="19"/>
      <c r="J93" s="18" t="s">
        <v>56</v>
      </c>
      <c r="W93" s="18" t="s">
        <v>57</v>
      </c>
    </row>
    <row r="94" spans="1:26" s="18" customFormat="1" ht="15.75" customHeight="1" x14ac:dyDescent="0.2">
      <c r="B94" s="18" t="s">
        <v>58</v>
      </c>
      <c r="C94" s="19"/>
      <c r="J94" s="18" t="s">
        <v>59</v>
      </c>
      <c r="W94" s="18" t="s">
        <v>58</v>
      </c>
    </row>
    <row r="95" spans="1:26" ht="4.5" customHeight="1" thickBot="1" x14ac:dyDescent="0.25"/>
    <row r="96" spans="1:26" ht="23.25" customHeight="1" thickBot="1" x14ac:dyDescent="0.25">
      <c r="A96" s="381">
        <v>31</v>
      </c>
      <c r="B96" s="413">
        <f>'3 KYU'!B108</f>
        <v>0</v>
      </c>
      <c r="C96" s="334"/>
      <c r="D96" s="335"/>
      <c r="E96" s="335"/>
      <c r="F96" s="335"/>
      <c r="G96" s="335"/>
      <c r="H96" s="336"/>
      <c r="I96" s="337"/>
      <c r="J96" s="334"/>
      <c r="K96" s="335"/>
      <c r="L96" s="335"/>
      <c r="M96" s="336"/>
      <c r="N96" s="337"/>
      <c r="O96" s="338"/>
      <c r="Q96" s="268"/>
      <c r="R96" s="500" t="s">
        <v>156</v>
      </c>
      <c r="S96" s="501"/>
      <c r="T96" s="501"/>
      <c r="U96" s="501"/>
      <c r="V96" s="501"/>
      <c r="W96" s="501"/>
      <c r="X96" s="501"/>
      <c r="Y96" s="501"/>
      <c r="Z96" s="502"/>
    </row>
    <row r="97" spans="1:26" ht="23.25" customHeight="1" thickTop="1" thickBot="1" x14ac:dyDescent="0.25">
      <c r="A97" s="384">
        <f>A96+1</f>
        <v>32</v>
      </c>
      <c r="B97" s="414">
        <f>'3 KYU'!B109</f>
        <v>0</v>
      </c>
      <c r="C97" s="282"/>
      <c r="D97" s="283"/>
      <c r="E97" s="283"/>
      <c r="F97" s="283"/>
      <c r="G97" s="283"/>
      <c r="H97" s="284"/>
      <c r="I97" s="329"/>
      <c r="J97" s="282"/>
      <c r="K97" s="283"/>
      <c r="L97" s="283"/>
      <c r="M97" s="284"/>
      <c r="N97" s="329"/>
      <c r="O97" s="285"/>
      <c r="Q97" s="503" t="s">
        <v>4</v>
      </c>
      <c r="R97" s="524" t="s">
        <v>241</v>
      </c>
      <c r="S97" s="525"/>
      <c r="T97" s="525"/>
      <c r="U97" s="525"/>
      <c r="V97" s="525"/>
      <c r="W97" s="525"/>
      <c r="X97" s="525"/>
      <c r="Y97" s="525"/>
      <c r="Z97" s="526"/>
    </row>
    <row r="98" spans="1:26" ht="23.25" customHeight="1" x14ac:dyDescent="0.2">
      <c r="A98" s="381">
        <f t="shared" ref="A98:A105" si="2">A97+1</f>
        <v>33</v>
      </c>
      <c r="B98" s="413">
        <f>'3 KYU'!B110</f>
        <v>0</v>
      </c>
      <c r="C98" s="334"/>
      <c r="D98" s="335"/>
      <c r="E98" s="335"/>
      <c r="F98" s="335"/>
      <c r="G98" s="335"/>
      <c r="H98" s="336"/>
      <c r="I98" s="337"/>
      <c r="J98" s="334"/>
      <c r="K98" s="335"/>
      <c r="L98" s="335"/>
      <c r="M98" s="336"/>
      <c r="N98" s="337"/>
      <c r="O98" s="338"/>
      <c r="Q98" s="504"/>
      <c r="R98" s="527"/>
      <c r="S98" s="528"/>
      <c r="T98" s="528"/>
      <c r="U98" s="528"/>
      <c r="V98" s="528"/>
      <c r="W98" s="528"/>
      <c r="X98" s="528"/>
      <c r="Y98" s="528"/>
      <c r="Z98" s="529"/>
    </row>
    <row r="99" spans="1:26" ht="23.25" customHeight="1" thickBot="1" x14ac:dyDescent="0.25">
      <c r="A99" s="384">
        <f t="shared" si="2"/>
        <v>34</v>
      </c>
      <c r="B99" s="414">
        <f>'3 KYU'!B111</f>
        <v>0</v>
      </c>
      <c r="C99" s="282"/>
      <c r="D99" s="283"/>
      <c r="E99" s="283"/>
      <c r="F99" s="283"/>
      <c r="G99" s="283"/>
      <c r="H99" s="284"/>
      <c r="I99" s="329"/>
      <c r="J99" s="282"/>
      <c r="K99" s="283"/>
      <c r="L99" s="283"/>
      <c r="M99" s="284"/>
      <c r="N99" s="329"/>
      <c r="O99" s="285"/>
      <c r="Q99" s="504"/>
      <c r="R99" s="527"/>
      <c r="S99" s="528"/>
      <c r="T99" s="528"/>
      <c r="U99" s="528"/>
      <c r="V99" s="528"/>
      <c r="W99" s="528"/>
      <c r="X99" s="528"/>
      <c r="Y99" s="528"/>
      <c r="Z99" s="529"/>
    </row>
    <row r="100" spans="1:26" ht="23.25" customHeight="1" x14ac:dyDescent="0.2">
      <c r="A100" s="381">
        <f t="shared" si="2"/>
        <v>35</v>
      </c>
      <c r="B100" s="413">
        <f>'3 KYU'!B112</f>
        <v>0</v>
      </c>
      <c r="C100" s="334"/>
      <c r="D100" s="335"/>
      <c r="E100" s="335"/>
      <c r="F100" s="335"/>
      <c r="G100" s="335"/>
      <c r="H100" s="336"/>
      <c r="I100" s="337"/>
      <c r="J100" s="334"/>
      <c r="K100" s="335"/>
      <c r="L100" s="335"/>
      <c r="M100" s="336"/>
      <c r="N100" s="337"/>
      <c r="O100" s="338"/>
      <c r="Q100" s="504"/>
      <c r="R100" s="527"/>
      <c r="S100" s="528"/>
      <c r="T100" s="528"/>
      <c r="U100" s="528"/>
      <c r="V100" s="528"/>
      <c r="W100" s="528"/>
      <c r="X100" s="528"/>
      <c r="Y100" s="528"/>
      <c r="Z100" s="529"/>
    </row>
    <row r="101" spans="1:26" ht="23.25" customHeight="1" thickBot="1" x14ac:dyDescent="0.25">
      <c r="A101" s="384">
        <f t="shared" si="2"/>
        <v>36</v>
      </c>
      <c r="B101" s="414">
        <f>'3 KYU'!B113</f>
        <v>0</v>
      </c>
      <c r="C101" s="282"/>
      <c r="D101" s="283"/>
      <c r="E101" s="283"/>
      <c r="F101" s="283"/>
      <c r="G101" s="283"/>
      <c r="H101" s="284"/>
      <c r="I101" s="329"/>
      <c r="J101" s="282"/>
      <c r="K101" s="283"/>
      <c r="L101" s="283"/>
      <c r="M101" s="284"/>
      <c r="N101" s="329"/>
      <c r="O101" s="285"/>
      <c r="Q101" s="504"/>
      <c r="R101" s="530"/>
      <c r="S101" s="531"/>
      <c r="T101" s="531"/>
      <c r="U101" s="531"/>
      <c r="V101" s="531"/>
      <c r="W101" s="531"/>
      <c r="X101" s="531"/>
      <c r="Y101" s="531"/>
      <c r="Z101" s="532"/>
    </row>
    <row r="102" spans="1:26" ht="23.25" customHeight="1" x14ac:dyDescent="0.2">
      <c r="A102" s="381">
        <f t="shared" si="2"/>
        <v>37</v>
      </c>
      <c r="B102" s="413">
        <f>'3 KYU'!B114</f>
        <v>0</v>
      </c>
      <c r="C102" s="334"/>
      <c r="D102" s="335"/>
      <c r="E102" s="335"/>
      <c r="F102" s="335"/>
      <c r="G102" s="335"/>
      <c r="H102" s="336"/>
      <c r="I102" s="337"/>
      <c r="J102" s="334"/>
      <c r="K102" s="335"/>
      <c r="L102" s="335"/>
      <c r="M102" s="336"/>
      <c r="N102" s="337"/>
      <c r="O102" s="338"/>
      <c r="Q102" s="505" t="s">
        <v>5</v>
      </c>
      <c r="R102" s="507">
        <v>1</v>
      </c>
      <c r="S102" s="566" t="s">
        <v>148</v>
      </c>
      <c r="T102" s="566"/>
      <c r="U102" s="566"/>
      <c r="V102" s="566"/>
      <c r="W102" s="566"/>
      <c r="X102" s="566"/>
      <c r="Y102" s="568" t="s">
        <v>153</v>
      </c>
      <c r="Z102" s="569"/>
    </row>
    <row r="103" spans="1:26" ht="23.25" customHeight="1" thickBot="1" x14ac:dyDescent="0.25">
      <c r="A103" s="384">
        <f t="shared" si="2"/>
        <v>38</v>
      </c>
      <c r="B103" s="414">
        <f>'3 KYU'!B115</f>
        <v>0</v>
      </c>
      <c r="C103" s="282"/>
      <c r="D103" s="283"/>
      <c r="E103" s="283"/>
      <c r="F103" s="283"/>
      <c r="G103" s="283"/>
      <c r="H103" s="284"/>
      <c r="I103" s="329"/>
      <c r="J103" s="282"/>
      <c r="K103" s="283"/>
      <c r="L103" s="283"/>
      <c r="M103" s="284"/>
      <c r="N103" s="329"/>
      <c r="O103" s="285"/>
      <c r="Q103" s="504"/>
      <c r="R103" s="508"/>
      <c r="S103" s="567"/>
      <c r="T103" s="567"/>
      <c r="U103" s="567"/>
      <c r="V103" s="567"/>
      <c r="W103" s="567"/>
      <c r="X103" s="567"/>
      <c r="Y103" s="556"/>
      <c r="Z103" s="529"/>
    </row>
    <row r="104" spans="1:26" ht="23.25" customHeight="1" x14ac:dyDescent="0.2">
      <c r="A104" s="381">
        <f t="shared" si="2"/>
        <v>39</v>
      </c>
      <c r="B104" s="413">
        <f>'3 KYU'!B116</f>
        <v>0</v>
      </c>
      <c r="C104" s="334"/>
      <c r="D104" s="335"/>
      <c r="E104" s="335"/>
      <c r="F104" s="335"/>
      <c r="G104" s="335"/>
      <c r="H104" s="336"/>
      <c r="I104" s="337"/>
      <c r="J104" s="334"/>
      <c r="K104" s="335"/>
      <c r="L104" s="335"/>
      <c r="M104" s="336"/>
      <c r="N104" s="337"/>
      <c r="O104" s="338"/>
      <c r="Q104" s="504"/>
      <c r="R104" s="508"/>
      <c r="S104" s="567"/>
      <c r="T104" s="567"/>
      <c r="U104" s="567"/>
      <c r="V104" s="567"/>
      <c r="W104" s="567"/>
      <c r="X104" s="567"/>
      <c r="Y104" s="556"/>
      <c r="Z104" s="529"/>
    </row>
    <row r="105" spans="1:26" ht="23.25" customHeight="1" thickBot="1" x14ac:dyDescent="0.25">
      <c r="A105" s="384">
        <f t="shared" si="2"/>
        <v>40</v>
      </c>
      <c r="B105" s="414">
        <f>'3 KYU'!B117</f>
        <v>0</v>
      </c>
      <c r="C105" s="282"/>
      <c r="D105" s="283"/>
      <c r="E105" s="283"/>
      <c r="F105" s="283"/>
      <c r="G105" s="283"/>
      <c r="H105" s="284"/>
      <c r="I105" s="329"/>
      <c r="J105" s="282"/>
      <c r="K105" s="283"/>
      <c r="L105" s="283"/>
      <c r="M105" s="284"/>
      <c r="N105" s="329"/>
      <c r="O105" s="285"/>
      <c r="Q105" s="504"/>
      <c r="R105" s="508"/>
      <c r="S105" s="567"/>
      <c r="T105" s="567"/>
      <c r="U105" s="567"/>
      <c r="V105" s="567"/>
      <c r="W105" s="567"/>
      <c r="X105" s="567"/>
      <c r="Y105" s="560"/>
      <c r="Z105" s="570"/>
    </row>
    <row r="106" spans="1:26" ht="18.75" customHeight="1" x14ac:dyDescent="0.2">
      <c r="A106" s="269" t="s">
        <v>237</v>
      </c>
      <c r="B106" s="270"/>
      <c r="C106" s="270"/>
      <c r="D106" s="270"/>
      <c r="E106" s="270"/>
      <c r="F106" s="270"/>
      <c r="G106" s="278" t="s">
        <v>238</v>
      </c>
      <c r="H106" s="270"/>
      <c r="I106" s="270"/>
      <c r="J106" s="270"/>
      <c r="K106" s="270"/>
      <c r="L106" s="270"/>
      <c r="M106" s="270"/>
      <c r="N106" s="270"/>
      <c r="O106" s="271"/>
      <c r="Q106" s="504"/>
      <c r="R106" s="508">
        <v>2</v>
      </c>
      <c r="S106" s="571" t="s">
        <v>149</v>
      </c>
      <c r="T106" s="571"/>
      <c r="U106" s="571"/>
      <c r="V106" s="571"/>
      <c r="W106" s="571"/>
      <c r="X106" s="571"/>
      <c r="Y106" s="572" t="s">
        <v>154</v>
      </c>
      <c r="Z106" s="573"/>
    </row>
    <row r="107" spans="1:26" ht="15" customHeight="1" x14ac:dyDescent="0.2">
      <c r="A107" s="272" t="s">
        <v>8</v>
      </c>
      <c r="B107" s="160" t="s">
        <v>112</v>
      </c>
      <c r="G107" s="263" t="s">
        <v>243</v>
      </c>
      <c r="O107" s="273"/>
      <c r="Q107" s="504"/>
      <c r="R107" s="508"/>
      <c r="S107" s="571"/>
      <c r="T107" s="571"/>
      <c r="U107" s="571"/>
      <c r="V107" s="571"/>
      <c r="W107" s="571"/>
      <c r="X107" s="571"/>
      <c r="Y107" s="550"/>
      <c r="Z107" s="551"/>
    </row>
    <row r="108" spans="1:26" ht="15" customHeight="1" x14ac:dyDescent="0.2">
      <c r="A108" s="272" t="s">
        <v>9</v>
      </c>
      <c r="B108" s="160" t="s">
        <v>113</v>
      </c>
      <c r="G108" s="152" t="s">
        <v>48</v>
      </c>
      <c r="O108" s="273"/>
      <c r="Q108" s="504"/>
      <c r="R108" s="508"/>
      <c r="S108" s="571"/>
      <c r="T108" s="571"/>
      <c r="U108" s="571"/>
      <c r="V108" s="571"/>
      <c r="W108" s="571"/>
      <c r="X108" s="571"/>
      <c r="Y108" s="550"/>
      <c r="Z108" s="551"/>
    </row>
    <row r="109" spans="1:26" ht="15" customHeight="1" x14ac:dyDescent="0.2">
      <c r="A109" s="272" t="s">
        <v>11</v>
      </c>
      <c r="B109" s="160" t="s">
        <v>164</v>
      </c>
      <c r="G109" s="153" t="s">
        <v>244</v>
      </c>
      <c r="O109" s="273"/>
      <c r="Q109" s="504"/>
      <c r="R109" s="508"/>
      <c r="S109" s="571"/>
      <c r="T109" s="571"/>
      <c r="U109" s="571"/>
      <c r="V109" s="571"/>
      <c r="W109" s="571"/>
      <c r="X109" s="571"/>
      <c r="Y109" s="574"/>
      <c r="Z109" s="575"/>
    </row>
    <row r="110" spans="1:26" ht="15" customHeight="1" x14ac:dyDescent="0.2">
      <c r="A110" s="272" t="s">
        <v>12</v>
      </c>
      <c r="B110" s="160" t="s">
        <v>36</v>
      </c>
      <c r="G110" s="297" t="s">
        <v>245</v>
      </c>
      <c r="O110" s="273"/>
      <c r="Q110" s="504"/>
      <c r="R110" s="563">
        <v>3</v>
      </c>
      <c r="S110" s="554" t="s">
        <v>150</v>
      </c>
      <c r="T110" s="557"/>
      <c r="U110" s="557"/>
      <c r="V110" s="557"/>
      <c r="W110" s="557"/>
      <c r="X110" s="558"/>
      <c r="Y110" s="554" t="s">
        <v>155</v>
      </c>
      <c r="Z110" s="555"/>
    </row>
    <row r="111" spans="1:26" ht="15" customHeight="1" x14ac:dyDescent="0.2">
      <c r="A111" s="272" t="s">
        <v>13</v>
      </c>
      <c r="B111" s="160" t="s">
        <v>32</v>
      </c>
      <c r="G111" s="496" t="s">
        <v>246</v>
      </c>
      <c r="H111" s="497"/>
      <c r="I111" s="497"/>
      <c r="J111" s="497"/>
      <c r="K111" s="497"/>
      <c r="L111" s="497"/>
      <c r="M111" s="497"/>
      <c r="N111" s="497"/>
      <c r="O111" s="498"/>
      <c r="Q111" s="504"/>
      <c r="R111" s="564"/>
      <c r="S111" s="556"/>
      <c r="T111" s="528"/>
      <c r="U111" s="528"/>
      <c r="V111" s="528"/>
      <c r="W111" s="528"/>
      <c r="X111" s="559"/>
      <c r="Y111" s="556"/>
      <c r="Z111" s="529"/>
    </row>
    <row r="112" spans="1:26" ht="15" customHeight="1" x14ac:dyDescent="0.2">
      <c r="A112" s="272" t="s">
        <v>13</v>
      </c>
      <c r="B112" s="160" t="s">
        <v>114</v>
      </c>
      <c r="G112" s="499"/>
      <c r="H112" s="497"/>
      <c r="I112" s="497"/>
      <c r="J112" s="497"/>
      <c r="K112" s="497"/>
      <c r="L112" s="497"/>
      <c r="M112" s="497"/>
      <c r="N112" s="497"/>
      <c r="O112" s="498"/>
      <c r="Q112" s="504"/>
      <c r="R112" s="565"/>
      <c r="S112" s="560"/>
      <c r="T112" s="561"/>
      <c r="U112" s="561"/>
      <c r="V112" s="561"/>
      <c r="W112" s="561"/>
      <c r="X112" s="562"/>
      <c r="Y112" s="556"/>
      <c r="Z112" s="529"/>
    </row>
    <row r="113" spans="1:26" ht="15" customHeight="1" x14ac:dyDescent="0.2">
      <c r="A113" s="272"/>
      <c r="B113" s="160"/>
      <c r="G113" s="499"/>
      <c r="H113" s="497"/>
      <c r="I113" s="497"/>
      <c r="J113" s="497"/>
      <c r="K113" s="497"/>
      <c r="L113" s="497"/>
      <c r="M113" s="497"/>
      <c r="N113" s="497"/>
      <c r="O113" s="498"/>
      <c r="Q113" s="504"/>
      <c r="R113" s="508">
        <v>4</v>
      </c>
      <c r="S113" s="571" t="s">
        <v>151</v>
      </c>
      <c r="T113" s="577"/>
      <c r="U113" s="577"/>
      <c r="V113" s="577"/>
      <c r="W113" s="577"/>
      <c r="X113" s="577"/>
      <c r="Y113" s="550" t="s">
        <v>152</v>
      </c>
      <c r="Z113" s="551"/>
    </row>
    <row r="114" spans="1:26" ht="15" customHeight="1" x14ac:dyDescent="0.2">
      <c r="A114" s="274"/>
      <c r="B114" s="160"/>
      <c r="G114" s="262"/>
      <c r="O114" s="273"/>
      <c r="Q114" s="504"/>
      <c r="R114" s="508"/>
      <c r="S114" s="577"/>
      <c r="T114" s="577"/>
      <c r="U114" s="577"/>
      <c r="V114" s="577"/>
      <c r="W114" s="577"/>
      <c r="X114" s="577"/>
      <c r="Y114" s="550"/>
      <c r="Z114" s="551"/>
    </row>
    <row r="115" spans="1:26" ht="15" customHeight="1" x14ac:dyDescent="0.2">
      <c r="A115" s="274"/>
      <c r="G115" s="279"/>
      <c r="O115" s="273"/>
      <c r="Q115" s="504"/>
      <c r="R115" s="508"/>
      <c r="S115" s="577"/>
      <c r="T115" s="577"/>
      <c r="U115" s="577"/>
      <c r="V115" s="577"/>
      <c r="W115" s="577"/>
      <c r="X115" s="577"/>
      <c r="Y115" s="550"/>
      <c r="Z115" s="551"/>
    </row>
    <row r="116" spans="1:26" ht="9" customHeight="1" thickBot="1" x14ac:dyDescent="0.25">
      <c r="A116" s="275"/>
      <c r="B116" s="276"/>
      <c r="C116" s="276"/>
      <c r="D116" s="276"/>
      <c r="E116" s="276"/>
      <c r="F116" s="276"/>
      <c r="G116" s="280"/>
      <c r="H116" s="276"/>
      <c r="I116" s="276"/>
      <c r="J116" s="276"/>
      <c r="K116" s="276"/>
      <c r="L116" s="276"/>
      <c r="M116" s="276"/>
      <c r="N116" s="276"/>
      <c r="O116" s="277"/>
      <c r="Q116" s="506"/>
      <c r="R116" s="576"/>
      <c r="S116" s="578"/>
      <c r="T116" s="578"/>
      <c r="U116" s="578"/>
      <c r="V116" s="578"/>
      <c r="W116" s="578"/>
      <c r="X116" s="578"/>
      <c r="Y116" s="552"/>
      <c r="Z116" s="553"/>
    </row>
    <row r="117" spans="1:26" ht="6.75" customHeight="1" x14ac:dyDescent="0.2"/>
    <row r="118" spans="1:26" s="88" customFormat="1" ht="15" x14ac:dyDescent="0.25">
      <c r="B118" s="88" t="s">
        <v>53</v>
      </c>
      <c r="C118" s="89"/>
      <c r="J118" s="88" t="s">
        <v>54</v>
      </c>
      <c r="W118" s="88" t="s">
        <v>55</v>
      </c>
    </row>
    <row r="119" spans="1:26" s="18" customFormat="1" ht="16.5" customHeight="1" x14ac:dyDescent="0.2">
      <c r="C119" s="19"/>
    </row>
    <row r="120" spans="1:26" s="18" customFormat="1" ht="18" customHeight="1" x14ac:dyDescent="0.2">
      <c r="C120" s="19"/>
    </row>
    <row r="121" spans="1:26" s="18" customFormat="1" ht="17.25" customHeight="1" x14ac:dyDescent="0.2">
      <c r="B121" s="90"/>
      <c r="C121" s="19"/>
      <c r="J121" s="90"/>
      <c r="K121" s="90"/>
      <c r="L121" s="90"/>
      <c r="M121" s="90"/>
      <c r="N121" s="90"/>
      <c r="O121" s="90"/>
      <c r="W121" s="90"/>
      <c r="X121" s="90"/>
      <c r="Y121" s="90"/>
      <c r="Z121" s="90"/>
    </row>
    <row r="122" spans="1:26" s="18" customFormat="1" ht="18" customHeight="1" x14ac:dyDescent="0.2">
      <c r="B122" s="18" t="s">
        <v>56</v>
      </c>
      <c r="C122" s="19"/>
      <c r="J122" s="18" t="s">
        <v>56</v>
      </c>
      <c r="W122" s="18" t="s">
        <v>57</v>
      </c>
    </row>
    <row r="123" spans="1:26" s="18" customFormat="1" ht="15.75" customHeight="1" x14ac:dyDescent="0.2">
      <c r="B123" s="18" t="s">
        <v>58</v>
      </c>
      <c r="C123" s="19"/>
      <c r="J123" s="18" t="s">
        <v>59</v>
      </c>
      <c r="W123" s="18" t="s">
        <v>58</v>
      </c>
    </row>
    <row r="124" spans="1:26" ht="4.5" customHeight="1" thickBot="1" x14ac:dyDescent="0.25"/>
    <row r="125" spans="1:26" ht="23.25" customHeight="1" thickBot="1" x14ac:dyDescent="0.25">
      <c r="A125" s="381">
        <v>41</v>
      </c>
      <c r="B125" s="413">
        <f>'3 KYU'!B141</f>
        <v>0</v>
      </c>
      <c r="C125" s="334"/>
      <c r="D125" s="335"/>
      <c r="E125" s="335"/>
      <c r="F125" s="335"/>
      <c r="G125" s="335"/>
      <c r="H125" s="336"/>
      <c r="I125" s="337"/>
      <c r="J125" s="334"/>
      <c r="K125" s="335"/>
      <c r="L125" s="335"/>
      <c r="M125" s="336"/>
      <c r="N125" s="337"/>
      <c r="O125" s="338"/>
      <c r="Q125" s="268"/>
      <c r="R125" s="500" t="s">
        <v>156</v>
      </c>
      <c r="S125" s="501"/>
      <c r="T125" s="501"/>
      <c r="U125" s="501"/>
      <c r="V125" s="501"/>
      <c r="W125" s="501"/>
      <c r="X125" s="501"/>
      <c r="Y125" s="501"/>
      <c r="Z125" s="502"/>
    </row>
    <row r="126" spans="1:26" ht="23.25" customHeight="1" thickTop="1" thickBot="1" x14ac:dyDescent="0.25">
      <c r="A126" s="384">
        <f>A125+1</f>
        <v>42</v>
      </c>
      <c r="B126" s="414">
        <f>'3 KYU'!B142</f>
        <v>0</v>
      </c>
      <c r="C126" s="282"/>
      <c r="D126" s="283"/>
      <c r="E126" s="283"/>
      <c r="F126" s="283"/>
      <c r="G126" s="283"/>
      <c r="H126" s="284"/>
      <c r="I126" s="329"/>
      <c r="J126" s="282"/>
      <c r="K126" s="283"/>
      <c r="L126" s="283"/>
      <c r="M126" s="284"/>
      <c r="N126" s="329"/>
      <c r="O126" s="285"/>
      <c r="Q126" s="503" t="s">
        <v>4</v>
      </c>
      <c r="R126" s="524" t="s">
        <v>241</v>
      </c>
      <c r="S126" s="525"/>
      <c r="T126" s="525"/>
      <c r="U126" s="525"/>
      <c r="V126" s="525"/>
      <c r="W126" s="525"/>
      <c r="X126" s="525"/>
      <c r="Y126" s="525"/>
      <c r="Z126" s="526"/>
    </row>
    <row r="127" spans="1:26" ht="23.25" customHeight="1" x14ac:dyDescent="0.2">
      <c r="A127" s="381">
        <f t="shared" ref="A127:A134" si="3">A126+1</f>
        <v>43</v>
      </c>
      <c r="B127" s="413">
        <f>'3 KYU'!B143</f>
        <v>0</v>
      </c>
      <c r="C127" s="334"/>
      <c r="D127" s="335"/>
      <c r="E127" s="335"/>
      <c r="F127" s="335"/>
      <c r="G127" s="335"/>
      <c r="H127" s="336"/>
      <c r="I127" s="337"/>
      <c r="J127" s="334"/>
      <c r="K127" s="335"/>
      <c r="L127" s="335"/>
      <c r="M127" s="336"/>
      <c r="N127" s="337"/>
      <c r="O127" s="338"/>
      <c r="Q127" s="504"/>
      <c r="R127" s="527"/>
      <c r="S127" s="528"/>
      <c r="T127" s="528"/>
      <c r="U127" s="528"/>
      <c r="V127" s="528"/>
      <c r="W127" s="528"/>
      <c r="X127" s="528"/>
      <c r="Y127" s="528"/>
      <c r="Z127" s="529"/>
    </row>
    <row r="128" spans="1:26" ht="23.25" customHeight="1" thickBot="1" x14ac:dyDescent="0.25">
      <c r="A128" s="384">
        <f t="shared" si="3"/>
        <v>44</v>
      </c>
      <c r="B128" s="414">
        <f>'3 KYU'!B144</f>
        <v>0</v>
      </c>
      <c r="C128" s="282"/>
      <c r="D128" s="283"/>
      <c r="E128" s="283"/>
      <c r="F128" s="283"/>
      <c r="G128" s="283"/>
      <c r="H128" s="284"/>
      <c r="I128" s="329"/>
      <c r="J128" s="282"/>
      <c r="K128" s="283"/>
      <c r="L128" s="283"/>
      <c r="M128" s="284"/>
      <c r="N128" s="329"/>
      <c r="O128" s="285"/>
      <c r="Q128" s="504"/>
      <c r="R128" s="527"/>
      <c r="S128" s="528"/>
      <c r="T128" s="528"/>
      <c r="U128" s="528"/>
      <c r="V128" s="528"/>
      <c r="W128" s="528"/>
      <c r="X128" s="528"/>
      <c r="Y128" s="528"/>
      <c r="Z128" s="529"/>
    </row>
    <row r="129" spans="1:26" ht="23.25" customHeight="1" x14ac:dyDescent="0.2">
      <c r="A129" s="381">
        <f t="shared" si="3"/>
        <v>45</v>
      </c>
      <c r="B129" s="413">
        <f>'3 KYU'!B145</f>
        <v>0</v>
      </c>
      <c r="C129" s="334"/>
      <c r="D129" s="335"/>
      <c r="E129" s="335"/>
      <c r="F129" s="335"/>
      <c r="G129" s="335"/>
      <c r="H129" s="336"/>
      <c r="I129" s="337"/>
      <c r="J129" s="334"/>
      <c r="K129" s="335"/>
      <c r="L129" s="335"/>
      <c r="M129" s="336"/>
      <c r="N129" s="337"/>
      <c r="O129" s="338"/>
      <c r="Q129" s="504"/>
      <c r="R129" s="527"/>
      <c r="S129" s="528"/>
      <c r="T129" s="528"/>
      <c r="U129" s="528"/>
      <c r="V129" s="528"/>
      <c r="W129" s="528"/>
      <c r="X129" s="528"/>
      <c r="Y129" s="528"/>
      <c r="Z129" s="529"/>
    </row>
    <row r="130" spans="1:26" ht="23.25" customHeight="1" thickBot="1" x14ac:dyDescent="0.25">
      <c r="A130" s="384">
        <f t="shared" si="3"/>
        <v>46</v>
      </c>
      <c r="B130" s="414">
        <f>'3 KYU'!B146</f>
        <v>0</v>
      </c>
      <c r="C130" s="282"/>
      <c r="D130" s="283"/>
      <c r="E130" s="283"/>
      <c r="F130" s="283"/>
      <c r="G130" s="283"/>
      <c r="H130" s="284"/>
      <c r="I130" s="329"/>
      <c r="J130" s="282"/>
      <c r="K130" s="283"/>
      <c r="L130" s="283"/>
      <c r="M130" s="284"/>
      <c r="N130" s="329"/>
      <c r="O130" s="285"/>
      <c r="Q130" s="504"/>
      <c r="R130" s="530"/>
      <c r="S130" s="531"/>
      <c r="T130" s="531"/>
      <c r="U130" s="531"/>
      <c r="V130" s="531"/>
      <c r="W130" s="531"/>
      <c r="X130" s="531"/>
      <c r="Y130" s="531"/>
      <c r="Z130" s="532"/>
    </row>
    <row r="131" spans="1:26" ht="23.25" customHeight="1" x14ac:dyDescent="0.2">
      <c r="A131" s="381">
        <f t="shared" si="3"/>
        <v>47</v>
      </c>
      <c r="B131" s="413">
        <f>'3 KYU'!B147</f>
        <v>0</v>
      </c>
      <c r="C131" s="334"/>
      <c r="D131" s="335"/>
      <c r="E131" s="335"/>
      <c r="F131" s="335"/>
      <c r="G131" s="335"/>
      <c r="H131" s="336"/>
      <c r="I131" s="337"/>
      <c r="J131" s="334"/>
      <c r="K131" s="335"/>
      <c r="L131" s="335"/>
      <c r="M131" s="336"/>
      <c r="N131" s="337"/>
      <c r="O131" s="338"/>
      <c r="Q131" s="505" t="s">
        <v>5</v>
      </c>
      <c r="R131" s="507">
        <v>1</v>
      </c>
      <c r="S131" s="566" t="s">
        <v>148</v>
      </c>
      <c r="T131" s="566"/>
      <c r="U131" s="566"/>
      <c r="V131" s="566"/>
      <c r="W131" s="566"/>
      <c r="X131" s="566"/>
      <c r="Y131" s="568" t="s">
        <v>153</v>
      </c>
      <c r="Z131" s="569"/>
    </row>
    <row r="132" spans="1:26" ht="23.25" customHeight="1" thickBot="1" x14ac:dyDescent="0.25">
      <c r="A132" s="384">
        <f t="shared" si="3"/>
        <v>48</v>
      </c>
      <c r="B132" s="414">
        <f>'3 KYU'!B148</f>
        <v>0</v>
      </c>
      <c r="C132" s="282"/>
      <c r="D132" s="283"/>
      <c r="E132" s="283"/>
      <c r="F132" s="283"/>
      <c r="G132" s="283"/>
      <c r="H132" s="284"/>
      <c r="I132" s="329"/>
      <c r="J132" s="282"/>
      <c r="K132" s="283"/>
      <c r="L132" s="283"/>
      <c r="M132" s="284"/>
      <c r="N132" s="329"/>
      <c r="O132" s="285"/>
      <c r="Q132" s="504"/>
      <c r="R132" s="508"/>
      <c r="S132" s="567"/>
      <c r="T132" s="567"/>
      <c r="U132" s="567"/>
      <c r="V132" s="567"/>
      <c r="W132" s="567"/>
      <c r="X132" s="567"/>
      <c r="Y132" s="556"/>
      <c r="Z132" s="529"/>
    </row>
    <row r="133" spans="1:26" ht="23.25" customHeight="1" x14ac:dyDescent="0.2">
      <c r="A133" s="381">
        <f t="shared" si="3"/>
        <v>49</v>
      </c>
      <c r="B133" s="413">
        <f>'3 KYU'!B149</f>
        <v>0</v>
      </c>
      <c r="C133" s="334"/>
      <c r="D133" s="335"/>
      <c r="E133" s="335"/>
      <c r="F133" s="335"/>
      <c r="G133" s="335"/>
      <c r="H133" s="336"/>
      <c r="I133" s="337"/>
      <c r="J133" s="334"/>
      <c r="K133" s="335"/>
      <c r="L133" s="335"/>
      <c r="M133" s="336"/>
      <c r="N133" s="337"/>
      <c r="O133" s="338"/>
      <c r="Q133" s="504"/>
      <c r="R133" s="508"/>
      <c r="S133" s="567"/>
      <c r="T133" s="567"/>
      <c r="U133" s="567"/>
      <c r="V133" s="567"/>
      <c r="W133" s="567"/>
      <c r="X133" s="567"/>
      <c r="Y133" s="556"/>
      <c r="Z133" s="529"/>
    </row>
    <row r="134" spans="1:26" ht="23.25" customHeight="1" thickBot="1" x14ac:dyDescent="0.25">
      <c r="A134" s="384">
        <f t="shared" si="3"/>
        <v>50</v>
      </c>
      <c r="B134" s="414">
        <f>'3 KYU'!B150</f>
        <v>0</v>
      </c>
      <c r="C134" s="282"/>
      <c r="D134" s="283"/>
      <c r="E134" s="283"/>
      <c r="F134" s="283"/>
      <c r="G134" s="283"/>
      <c r="H134" s="284"/>
      <c r="I134" s="329"/>
      <c r="J134" s="282"/>
      <c r="K134" s="283"/>
      <c r="L134" s="283"/>
      <c r="M134" s="284"/>
      <c r="N134" s="329"/>
      <c r="O134" s="285"/>
      <c r="Q134" s="504"/>
      <c r="R134" s="508"/>
      <c r="S134" s="567"/>
      <c r="T134" s="567"/>
      <c r="U134" s="567"/>
      <c r="V134" s="567"/>
      <c r="W134" s="567"/>
      <c r="X134" s="567"/>
      <c r="Y134" s="560"/>
      <c r="Z134" s="570"/>
    </row>
    <row r="135" spans="1:26" ht="18.75" customHeight="1" x14ac:dyDescent="0.2">
      <c r="A135" s="269" t="s">
        <v>237</v>
      </c>
      <c r="B135" s="270"/>
      <c r="C135" s="270"/>
      <c r="D135" s="270"/>
      <c r="E135" s="270"/>
      <c r="F135" s="270"/>
      <c r="G135" s="278" t="s">
        <v>238</v>
      </c>
      <c r="H135" s="270"/>
      <c r="I135" s="270"/>
      <c r="J135" s="270"/>
      <c r="K135" s="270"/>
      <c r="L135" s="270"/>
      <c r="M135" s="270"/>
      <c r="N135" s="270"/>
      <c r="O135" s="271"/>
      <c r="Q135" s="504"/>
      <c r="R135" s="508">
        <v>2</v>
      </c>
      <c r="S135" s="571" t="s">
        <v>149</v>
      </c>
      <c r="T135" s="571"/>
      <c r="U135" s="571"/>
      <c r="V135" s="571"/>
      <c r="W135" s="571"/>
      <c r="X135" s="571"/>
      <c r="Y135" s="572" t="s">
        <v>154</v>
      </c>
      <c r="Z135" s="573"/>
    </row>
    <row r="136" spans="1:26" ht="15" customHeight="1" x14ac:dyDescent="0.2">
      <c r="A136" s="272" t="s">
        <v>8</v>
      </c>
      <c r="B136" s="160" t="s">
        <v>112</v>
      </c>
      <c r="G136" s="263" t="s">
        <v>243</v>
      </c>
      <c r="O136" s="273"/>
      <c r="Q136" s="504"/>
      <c r="R136" s="508"/>
      <c r="S136" s="571"/>
      <c r="T136" s="571"/>
      <c r="U136" s="571"/>
      <c r="V136" s="571"/>
      <c r="W136" s="571"/>
      <c r="X136" s="571"/>
      <c r="Y136" s="550"/>
      <c r="Z136" s="551"/>
    </row>
    <row r="137" spans="1:26" ht="15" customHeight="1" x14ac:dyDescent="0.2">
      <c r="A137" s="272" t="s">
        <v>9</v>
      </c>
      <c r="B137" s="160" t="s">
        <v>113</v>
      </c>
      <c r="G137" s="152" t="s">
        <v>48</v>
      </c>
      <c r="O137" s="273"/>
      <c r="Q137" s="504"/>
      <c r="R137" s="508"/>
      <c r="S137" s="571"/>
      <c r="T137" s="571"/>
      <c r="U137" s="571"/>
      <c r="V137" s="571"/>
      <c r="W137" s="571"/>
      <c r="X137" s="571"/>
      <c r="Y137" s="550"/>
      <c r="Z137" s="551"/>
    </row>
    <row r="138" spans="1:26" ht="15" customHeight="1" x14ac:dyDescent="0.2">
      <c r="A138" s="272" t="s">
        <v>11</v>
      </c>
      <c r="B138" s="160" t="s">
        <v>164</v>
      </c>
      <c r="G138" s="153" t="s">
        <v>244</v>
      </c>
      <c r="O138" s="273"/>
      <c r="Q138" s="504"/>
      <c r="R138" s="508"/>
      <c r="S138" s="571"/>
      <c r="T138" s="571"/>
      <c r="U138" s="571"/>
      <c r="V138" s="571"/>
      <c r="W138" s="571"/>
      <c r="X138" s="571"/>
      <c r="Y138" s="574"/>
      <c r="Z138" s="575"/>
    </row>
    <row r="139" spans="1:26" ht="15" customHeight="1" x14ac:dyDescent="0.2">
      <c r="A139" s="272" t="s">
        <v>12</v>
      </c>
      <c r="B139" s="160" t="s">
        <v>36</v>
      </c>
      <c r="G139" s="297" t="s">
        <v>245</v>
      </c>
      <c r="O139" s="273"/>
      <c r="Q139" s="504"/>
      <c r="R139" s="563">
        <v>3</v>
      </c>
      <c r="S139" s="554" t="s">
        <v>150</v>
      </c>
      <c r="T139" s="557"/>
      <c r="U139" s="557"/>
      <c r="V139" s="557"/>
      <c r="W139" s="557"/>
      <c r="X139" s="558"/>
      <c r="Y139" s="554" t="s">
        <v>155</v>
      </c>
      <c r="Z139" s="555"/>
    </row>
    <row r="140" spans="1:26" ht="15" customHeight="1" x14ac:dyDescent="0.2">
      <c r="A140" s="272" t="s">
        <v>13</v>
      </c>
      <c r="B140" s="160" t="s">
        <v>32</v>
      </c>
      <c r="G140" s="496" t="s">
        <v>246</v>
      </c>
      <c r="H140" s="497"/>
      <c r="I140" s="497"/>
      <c r="J140" s="497"/>
      <c r="K140" s="497"/>
      <c r="L140" s="497"/>
      <c r="M140" s="497"/>
      <c r="N140" s="497"/>
      <c r="O140" s="498"/>
      <c r="Q140" s="504"/>
      <c r="R140" s="564"/>
      <c r="S140" s="556"/>
      <c r="T140" s="528"/>
      <c r="U140" s="528"/>
      <c r="V140" s="528"/>
      <c r="W140" s="528"/>
      <c r="X140" s="559"/>
      <c r="Y140" s="556"/>
      <c r="Z140" s="529"/>
    </row>
    <row r="141" spans="1:26" ht="15" customHeight="1" x14ac:dyDescent="0.2">
      <c r="A141" s="272" t="s">
        <v>13</v>
      </c>
      <c r="B141" s="160" t="s">
        <v>114</v>
      </c>
      <c r="G141" s="499"/>
      <c r="H141" s="497"/>
      <c r="I141" s="497"/>
      <c r="J141" s="497"/>
      <c r="K141" s="497"/>
      <c r="L141" s="497"/>
      <c r="M141" s="497"/>
      <c r="N141" s="497"/>
      <c r="O141" s="498"/>
      <c r="Q141" s="504"/>
      <c r="R141" s="565"/>
      <c r="S141" s="560"/>
      <c r="T141" s="561"/>
      <c r="U141" s="561"/>
      <c r="V141" s="561"/>
      <c r="W141" s="561"/>
      <c r="X141" s="562"/>
      <c r="Y141" s="556"/>
      <c r="Z141" s="529"/>
    </row>
    <row r="142" spans="1:26" ht="15" customHeight="1" x14ac:dyDescent="0.2">
      <c r="A142" s="272"/>
      <c r="B142" s="160"/>
      <c r="G142" s="499"/>
      <c r="H142" s="497"/>
      <c r="I142" s="497"/>
      <c r="J142" s="497"/>
      <c r="K142" s="497"/>
      <c r="L142" s="497"/>
      <c r="M142" s="497"/>
      <c r="N142" s="497"/>
      <c r="O142" s="498"/>
      <c r="Q142" s="504"/>
      <c r="R142" s="508">
        <v>4</v>
      </c>
      <c r="S142" s="571" t="s">
        <v>151</v>
      </c>
      <c r="T142" s="577"/>
      <c r="U142" s="577"/>
      <c r="V142" s="577"/>
      <c r="W142" s="577"/>
      <c r="X142" s="577"/>
      <c r="Y142" s="550" t="s">
        <v>152</v>
      </c>
      <c r="Z142" s="551"/>
    </row>
    <row r="143" spans="1:26" ht="15" customHeight="1" x14ac:dyDescent="0.2">
      <c r="A143" s="274"/>
      <c r="B143" s="160"/>
      <c r="G143" s="262"/>
      <c r="O143" s="273"/>
      <c r="Q143" s="504"/>
      <c r="R143" s="508"/>
      <c r="S143" s="577"/>
      <c r="T143" s="577"/>
      <c r="U143" s="577"/>
      <c r="V143" s="577"/>
      <c r="W143" s="577"/>
      <c r="X143" s="577"/>
      <c r="Y143" s="550"/>
      <c r="Z143" s="551"/>
    </row>
    <row r="144" spans="1:26" ht="15" customHeight="1" x14ac:dyDescent="0.2">
      <c r="A144" s="274"/>
      <c r="G144" s="279"/>
      <c r="O144" s="273"/>
      <c r="Q144" s="504"/>
      <c r="R144" s="508"/>
      <c r="S144" s="577"/>
      <c r="T144" s="577"/>
      <c r="U144" s="577"/>
      <c r="V144" s="577"/>
      <c r="W144" s="577"/>
      <c r="X144" s="577"/>
      <c r="Y144" s="550"/>
      <c r="Z144" s="551"/>
    </row>
    <row r="145" spans="1:26" ht="9" customHeight="1" thickBot="1" x14ac:dyDescent="0.25">
      <c r="A145" s="275"/>
      <c r="B145" s="276"/>
      <c r="C145" s="276"/>
      <c r="D145" s="276"/>
      <c r="E145" s="276"/>
      <c r="F145" s="276"/>
      <c r="G145" s="280"/>
      <c r="H145" s="276"/>
      <c r="I145" s="276"/>
      <c r="J145" s="276"/>
      <c r="K145" s="276"/>
      <c r="L145" s="276"/>
      <c r="M145" s="276"/>
      <c r="N145" s="276"/>
      <c r="O145" s="277"/>
      <c r="Q145" s="506"/>
      <c r="R145" s="576"/>
      <c r="S145" s="578"/>
      <c r="T145" s="578"/>
      <c r="U145" s="578"/>
      <c r="V145" s="578"/>
      <c r="W145" s="578"/>
      <c r="X145" s="578"/>
      <c r="Y145" s="552"/>
      <c r="Z145" s="553"/>
    </row>
    <row r="146" spans="1:26" ht="6.75" customHeight="1" x14ac:dyDescent="0.2"/>
    <row r="147" spans="1:26" s="88" customFormat="1" ht="15" x14ac:dyDescent="0.25">
      <c r="B147" s="88" t="s">
        <v>53</v>
      </c>
      <c r="C147" s="89"/>
      <c r="J147" s="88" t="s">
        <v>54</v>
      </c>
      <c r="W147" s="88" t="s">
        <v>55</v>
      </c>
    </row>
    <row r="148" spans="1:26" s="18" customFormat="1" ht="16.5" customHeight="1" x14ac:dyDescent="0.2">
      <c r="C148" s="19"/>
    </row>
    <row r="149" spans="1:26" s="18" customFormat="1" ht="18" customHeight="1" x14ac:dyDescent="0.2">
      <c r="C149" s="19"/>
    </row>
    <row r="150" spans="1:26" s="18" customFormat="1" ht="17.25" customHeight="1" x14ac:dyDescent="0.2">
      <c r="B150" s="90"/>
      <c r="C150" s="19"/>
      <c r="J150" s="90"/>
      <c r="K150" s="90"/>
      <c r="L150" s="90"/>
      <c r="M150" s="90"/>
      <c r="N150" s="90"/>
      <c r="O150" s="90"/>
      <c r="W150" s="90"/>
      <c r="X150" s="90"/>
      <c r="Y150" s="90"/>
      <c r="Z150" s="90"/>
    </row>
    <row r="151" spans="1:26" s="18" customFormat="1" ht="18" customHeight="1" x14ac:dyDescent="0.2">
      <c r="B151" s="18" t="s">
        <v>56</v>
      </c>
      <c r="C151" s="19"/>
      <c r="J151" s="18" t="s">
        <v>56</v>
      </c>
      <c r="W151" s="18" t="s">
        <v>57</v>
      </c>
    </row>
    <row r="152" spans="1:26" s="18" customFormat="1" ht="15.75" customHeight="1" x14ac:dyDescent="0.2">
      <c r="B152" s="18" t="s">
        <v>58</v>
      </c>
      <c r="C152" s="19"/>
      <c r="J152" s="18" t="s">
        <v>59</v>
      </c>
      <c r="W152" s="18" t="s">
        <v>58</v>
      </c>
    </row>
    <row r="154" spans="1:26" s="394" customFormat="1" ht="21" customHeight="1" x14ac:dyDescent="0.2">
      <c r="A154" s="7" t="s">
        <v>264</v>
      </c>
      <c r="C154" s="395"/>
    </row>
  </sheetData>
  <mergeCells count="101">
    <mergeCell ref="G140:O142"/>
    <mergeCell ref="R142:R145"/>
    <mergeCell ref="S142:X145"/>
    <mergeCell ref="Y142:Z145"/>
    <mergeCell ref="Q126:Q130"/>
    <mergeCell ref="R126:Z130"/>
    <mergeCell ref="Q131:Q145"/>
    <mergeCell ref="R131:R134"/>
    <mergeCell ref="S131:X134"/>
    <mergeCell ref="Y131:Z134"/>
    <mergeCell ref="R135:R138"/>
    <mergeCell ref="S135:X138"/>
    <mergeCell ref="Y135:Z138"/>
    <mergeCell ref="R139:R141"/>
    <mergeCell ref="S139:X141"/>
    <mergeCell ref="Y139:Z141"/>
    <mergeCell ref="G111:O113"/>
    <mergeCell ref="R113:R116"/>
    <mergeCell ref="S113:X116"/>
    <mergeCell ref="Y113:Z116"/>
    <mergeCell ref="R125:Z125"/>
    <mergeCell ref="Q97:Q101"/>
    <mergeCell ref="R97:Z101"/>
    <mergeCell ref="Q102:Q116"/>
    <mergeCell ref="R102:R105"/>
    <mergeCell ref="S102:X105"/>
    <mergeCell ref="Y102:Z105"/>
    <mergeCell ref="R106:R109"/>
    <mergeCell ref="S106:X109"/>
    <mergeCell ref="Y106:Z109"/>
    <mergeCell ref="R110:R112"/>
    <mergeCell ref="S110:X112"/>
    <mergeCell ref="Y110:Z112"/>
    <mergeCell ref="G82:O84"/>
    <mergeCell ref="R84:R87"/>
    <mergeCell ref="S84:X87"/>
    <mergeCell ref="Y84:Z87"/>
    <mergeCell ref="R96:Z96"/>
    <mergeCell ref="Q73:Q87"/>
    <mergeCell ref="R73:R76"/>
    <mergeCell ref="S73:X76"/>
    <mergeCell ref="Y73:Z76"/>
    <mergeCell ref="R77:R80"/>
    <mergeCell ref="S77:X80"/>
    <mergeCell ref="Y77:Z80"/>
    <mergeCell ref="R81:R83"/>
    <mergeCell ref="S81:X83"/>
    <mergeCell ref="Y81:Z83"/>
    <mergeCell ref="R67:Z67"/>
    <mergeCell ref="Q68:Q72"/>
    <mergeCell ref="R68:Z72"/>
    <mergeCell ref="G53:O55"/>
    <mergeCell ref="R55:R58"/>
    <mergeCell ref="S55:X58"/>
    <mergeCell ref="Y55:Z58"/>
    <mergeCell ref="R38:Z38"/>
    <mergeCell ref="Q39:Q43"/>
    <mergeCell ref="R39:Z43"/>
    <mergeCell ref="Q44:Q58"/>
    <mergeCell ref="R44:R47"/>
    <mergeCell ref="S44:X47"/>
    <mergeCell ref="Y44:Z47"/>
    <mergeCell ref="R48:R51"/>
    <mergeCell ref="S48:X51"/>
    <mergeCell ref="Y48:Z51"/>
    <mergeCell ref="R52:R54"/>
    <mergeCell ref="S52:X54"/>
    <mergeCell ref="Y52:Z54"/>
    <mergeCell ref="Y23:Z25"/>
    <mergeCell ref="S23:X25"/>
    <mergeCell ref="R23:R25"/>
    <mergeCell ref="S15:X18"/>
    <mergeCell ref="Y15:Z18"/>
    <mergeCell ref="S19:X22"/>
    <mergeCell ref="Y19:Z22"/>
    <mergeCell ref="R26:R29"/>
    <mergeCell ref="S26:X29"/>
    <mergeCell ref="A1:Z1"/>
    <mergeCell ref="A2:Z2"/>
    <mergeCell ref="G24:O26"/>
    <mergeCell ref="R9:Z9"/>
    <mergeCell ref="Q10:Q14"/>
    <mergeCell ref="Q15:Q29"/>
    <mergeCell ref="R15:R18"/>
    <mergeCell ref="R19:R22"/>
    <mergeCell ref="K5:K6"/>
    <mergeCell ref="L5:L6"/>
    <mergeCell ref="M5:M6"/>
    <mergeCell ref="N5:N7"/>
    <mergeCell ref="Q5:Z7"/>
    <mergeCell ref="A4:A8"/>
    <mergeCell ref="R10:Z14"/>
    <mergeCell ref="B4:B8"/>
    <mergeCell ref="C4:I4"/>
    <mergeCell ref="J4:N4"/>
    <mergeCell ref="O4:O7"/>
    <mergeCell ref="Q4:Z4"/>
    <mergeCell ref="C5:H6"/>
    <mergeCell ref="I5:I7"/>
    <mergeCell ref="J5:J6"/>
    <mergeCell ref="Y26:Z29"/>
  </mergeCells>
  <pageMargins left="0.32" right="0.25" top="0.28999999999999998" bottom="0.22" header="0.3" footer="0.16"/>
  <pageSetup paperSize="5" scale="62" orientation="landscape" horizontalDpi="4294967293" verticalDpi="360" r:id="rId1"/>
  <rowBreaks count="4" manualBreakCount="4">
    <brk id="37" max="25" man="1"/>
    <brk id="66" max="25" man="1"/>
    <brk id="95" max="25" man="1"/>
    <brk id="124" max="2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AJ174"/>
  <sheetViews>
    <sheetView showGridLines="0" view="pageBreakPreview" topLeftCell="E1" zoomScaleNormal="100" zoomScaleSheetLayoutView="100" workbookViewId="0">
      <selection activeCell="AH9" sqref="AH9"/>
    </sheetView>
  </sheetViews>
  <sheetFormatPr defaultRowHeight="12.75" x14ac:dyDescent="0.2"/>
  <cols>
    <col min="1" max="1" width="5" customWidth="1"/>
    <col min="2" max="2" width="36" customWidth="1"/>
    <col min="3" max="3" width="19.42578125" style="71" customWidth="1"/>
    <col min="4" max="4" width="25.28515625" customWidth="1"/>
    <col min="5" max="5" width="5.85546875" customWidth="1"/>
    <col min="6" max="6" width="7.140625" customWidth="1"/>
    <col min="7" max="7" width="5.140625" customWidth="1"/>
    <col min="8" max="10" width="4.28515625" customWidth="1"/>
    <col min="11" max="11" width="5.42578125" customWidth="1"/>
    <col min="12" max="12" width="4.28515625" customWidth="1"/>
    <col min="13" max="13" width="4.5703125" customWidth="1"/>
    <col min="14" max="23" width="4.140625" customWidth="1"/>
    <col min="24" max="25" width="4.85546875" customWidth="1"/>
    <col min="26" max="26" width="5.5703125" customWidth="1"/>
    <col min="27" max="27" width="1.85546875" customWidth="1"/>
    <col min="28" max="28" width="18.140625" customWidth="1"/>
    <col min="29" max="29" width="17.42578125" customWidth="1"/>
    <col min="30" max="30" width="5.42578125" customWidth="1"/>
    <col min="31" max="31" width="5.28515625" customWidth="1"/>
    <col min="32" max="32" width="4.7109375" customWidth="1"/>
    <col min="34" max="34" width="1.85546875" customWidth="1"/>
  </cols>
  <sheetData>
    <row r="1" spans="1:32" s="102" customFormat="1" ht="22.5" customHeight="1" x14ac:dyDescent="0.2">
      <c r="A1" s="438" t="s">
        <v>18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S1" s="438"/>
      <c r="T1" s="438"/>
      <c r="U1" s="438"/>
      <c r="V1" s="438"/>
      <c r="W1" s="438"/>
      <c r="X1" s="438"/>
      <c r="Y1" s="438"/>
      <c r="Z1" s="438"/>
      <c r="AA1" s="438"/>
      <c r="AB1" s="438"/>
      <c r="AC1" s="438"/>
      <c r="AD1" s="438"/>
    </row>
    <row r="2" spans="1:32" ht="22.5" customHeight="1" x14ac:dyDescent="0.2">
      <c r="A2" s="438" t="s">
        <v>261</v>
      </c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438"/>
      <c r="X2" s="438"/>
      <c r="Y2" s="438"/>
      <c r="Z2" s="438"/>
      <c r="AA2" s="438"/>
      <c r="AB2" s="438"/>
      <c r="AC2" s="438"/>
      <c r="AD2" s="438"/>
      <c r="AE2" s="17"/>
      <c r="AF2" s="17"/>
    </row>
    <row r="3" spans="1:32" s="41" customFormat="1" ht="21.75" customHeight="1" thickBot="1" x14ac:dyDescent="0.25">
      <c r="A3" s="391" t="s">
        <v>253</v>
      </c>
      <c r="C3" s="40"/>
      <c r="Q3" s="392"/>
      <c r="R3" s="391"/>
    </row>
    <row r="4" spans="1:32" s="42" customFormat="1" ht="17.25" customHeight="1" thickBot="1" x14ac:dyDescent="0.25">
      <c r="A4" s="490" t="s">
        <v>0</v>
      </c>
      <c r="B4" s="490" t="s">
        <v>1</v>
      </c>
      <c r="C4" s="439" t="s">
        <v>62</v>
      </c>
      <c r="D4" s="493" t="s">
        <v>250</v>
      </c>
      <c r="E4" s="472" t="s">
        <v>249</v>
      </c>
      <c r="F4" s="472" t="s">
        <v>22</v>
      </c>
      <c r="G4" s="487" t="s">
        <v>40</v>
      </c>
      <c r="H4" s="471"/>
      <c r="I4" s="471"/>
      <c r="J4" s="471"/>
      <c r="K4" s="488"/>
      <c r="L4" s="488"/>
      <c r="M4" s="489"/>
      <c r="N4" s="474" t="s">
        <v>41</v>
      </c>
      <c r="O4" s="475"/>
      <c r="P4" s="475"/>
      <c r="Q4" s="475"/>
      <c r="R4" s="475"/>
      <c r="S4" s="475"/>
      <c r="T4" s="475"/>
      <c r="U4" s="475"/>
      <c r="V4" s="475"/>
      <c r="W4" s="476"/>
      <c r="X4" s="464" t="s">
        <v>42</v>
      </c>
      <c r="Y4" s="465"/>
      <c r="Z4" s="468" t="s">
        <v>120</v>
      </c>
      <c r="AB4" s="470" t="s">
        <v>43</v>
      </c>
      <c r="AC4" s="471"/>
      <c r="AD4" s="472" t="s">
        <v>121</v>
      </c>
      <c r="AE4" s="632" t="s">
        <v>2</v>
      </c>
    </row>
    <row r="5" spans="1:32" s="42" customFormat="1" ht="17.25" customHeight="1" thickBot="1" x14ac:dyDescent="0.25">
      <c r="A5" s="491"/>
      <c r="B5" s="491"/>
      <c r="C5" s="440"/>
      <c r="D5" s="494"/>
      <c r="E5" s="473"/>
      <c r="F5" s="473"/>
      <c r="G5" s="474">
        <v>100</v>
      </c>
      <c r="H5" s="475"/>
      <c r="I5" s="475"/>
      <c r="J5" s="475"/>
      <c r="K5" s="475"/>
      <c r="L5" s="475"/>
      <c r="M5" s="476"/>
      <c r="N5" s="474">
        <v>100</v>
      </c>
      <c r="O5" s="475"/>
      <c r="P5" s="475"/>
      <c r="Q5" s="475"/>
      <c r="R5" s="475"/>
      <c r="S5" s="475"/>
      <c r="T5" s="475"/>
      <c r="U5" s="475"/>
      <c r="V5" s="475"/>
      <c r="W5" s="476"/>
      <c r="X5" s="466"/>
      <c r="Y5" s="467"/>
      <c r="Z5" s="469"/>
      <c r="AB5" s="474">
        <v>100</v>
      </c>
      <c r="AC5" s="475"/>
      <c r="AD5" s="473"/>
      <c r="AE5" s="633"/>
    </row>
    <row r="6" spans="1:32" s="42" customFormat="1" ht="17.25" customHeight="1" thickBot="1" x14ac:dyDescent="0.25">
      <c r="A6" s="491"/>
      <c r="B6" s="491"/>
      <c r="C6" s="440"/>
      <c r="D6" s="494"/>
      <c r="E6" s="473"/>
      <c r="F6" s="473"/>
      <c r="G6" s="484" t="s">
        <v>51</v>
      </c>
      <c r="H6" s="482" t="s">
        <v>14</v>
      </c>
      <c r="I6" s="482" t="s">
        <v>27</v>
      </c>
      <c r="J6" s="482" t="s">
        <v>28</v>
      </c>
      <c r="K6" s="482" t="s">
        <v>38</v>
      </c>
      <c r="L6" s="482" t="s">
        <v>33</v>
      </c>
      <c r="M6" s="478" t="s">
        <v>39</v>
      </c>
      <c r="N6" s="474" t="s">
        <v>6</v>
      </c>
      <c r="O6" s="475"/>
      <c r="P6" s="475"/>
      <c r="Q6" s="475"/>
      <c r="R6" s="476"/>
      <c r="S6" s="474" t="s">
        <v>7</v>
      </c>
      <c r="T6" s="475"/>
      <c r="U6" s="475"/>
      <c r="V6" s="475"/>
      <c r="W6" s="476"/>
      <c r="X6" s="474">
        <v>100</v>
      </c>
      <c r="Y6" s="476"/>
      <c r="Z6" s="469"/>
      <c r="AB6" s="150" t="s">
        <v>6</v>
      </c>
      <c r="AC6" s="150" t="s">
        <v>7</v>
      </c>
      <c r="AD6" s="473"/>
      <c r="AE6" s="633"/>
    </row>
    <row r="7" spans="1:32" s="1" customFormat="1" ht="98.25" customHeight="1" x14ac:dyDescent="0.2">
      <c r="A7" s="491"/>
      <c r="B7" s="491"/>
      <c r="C7" s="440"/>
      <c r="D7" s="494"/>
      <c r="E7" s="473"/>
      <c r="F7" s="473"/>
      <c r="G7" s="485"/>
      <c r="H7" s="483"/>
      <c r="I7" s="483"/>
      <c r="J7" s="483"/>
      <c r="K7" s="483"/>
      <c r="L7" s="483"/>
      <c r="M7" s="479"/>
      <c r="N7" s="59"/>
      <c r="O7" s="55"/>
      <c r="P7" s="55"/>
      <c r="Q7" s="55"/>
      <c r="R7" s="58"/>
      <c r="S7" s="59"/>
      <c r="T7" s="55"/>
      <c r="U7" s="55"/>
      <c r="V7" s="55"/>
      <c r="W7" s="58"/>
      <c r="X7" s="185" t="s">
        <v>4</v>
      </c>
      <c r="Y7" s="184" t="s">
        <v>5</v>
      </c>
      <c r="Z7" s="469"/>
      <c r="AB7" s="186" t="s">
        <v>172</v>
      </c>
      <c r="AC7" s="186" t="s">
        <v>172</v>
      </c>
      <c r="AD7" s="473"/>
      <c r="AE7" s="633"/>
    </row>
    <row r="8" spans="1:32" s="35" customFormat="1" ht="17.25" customHeight="1" thickBot="1" x14ac:dyDescent="0.25">
      <c r="A8" s="492"/>
      <c r="B8" s="492"/>
      <c r="C8" s="441"/>
      <c r="D8" s="495"/>
      <c r="E8" s="486"/>
      <c r="F8" s="486"/>
      <c r="G8" s="33">
        <v>10</v>
      </c>
      <c r="H8" s="57">
        <v>10</v>
      </c>
      <c r="I8" s="57">
        <v>10</v>
      </c>
      <c r="J8" s="57">
        <v>10</v>
      </c>
      <c r="K8" s="57">
        <v>10</v>
      </c>
      <c r="L8" s="57">
        <v>40</v>
      </c>
      <c r="M8" s="57">
        <v>10</v>
      </c>
      <c r="N8" s="56">
        <v>10</v>
      </c>
      <c r="O8" s="57">
        <v>10</v>
      </c>
      <c r="P8" s="57">
        <v>10</v>
      </c>
      <c r="Q8" s="57">
        <v>10</v>
      </c>
      <c r="R8" s="34">
        <v>10</v>
      </c>
      <c r="S8" s="56">
        <v>10</v>
      </c>
      <c r="T8" s="57">
        <v>10</v>
      </c>
      <c r="U8" s="57">
        <v>10</v>
      </c>
      <c r="V8" s="57">
        <v>10</v>
      </c>
      <c r="W8" s="34">
        <v>10</v>
      </c>
      <c r="X8" s="56">
        <v>60</v>
      </c>
      <c r="Y8" s="34">
        <v>40</v>
      </c>
      <c r="Z8" s="72">
        <v>300</v>
      </c>
      <c r="AB8" s="56">
        <v>50</v>
      </c>
      <c r="AC8" s="73">
        <v>50</v>
      </c>
      <c r="AD8" s="73">
        <v>100</v>
      </c>
      <c r="AE8" s="73">
        <v>400</v>
      </c>
    </row>
    <row r="9" spans="1:32" s="88" customFormat="1" ht="30" customHeight="1" x14ac:dyDescent="0.25">
      <c r="A9" s="91">
        <v>1</v>
      </c>
      <c r="B9" s="103"/>
      <c r="C9" s="97"/>
      <c r="D9" s="103"/>
      <c r="E9" s="312"/>
      <c r="F9" s="309"/>
      <c r="G9" s="104"/>
      <c r="H9" s="105"/>
      <c r="I9" s="105"/>
      <c r="J9" s="106"/>
      <c r="K9" s="105"/>
      <c r="L9" s="105"/>
      <c r="M9" s="105"/>
      <c r="N9" s="104"/>
      <c r="O9" s="105"/>
      <c r="P9" s="105"/>
      <c r="Q9" s="105"/>
      <c r="R9" s="106"/>
      <c r="S9" s="104"/>
      <c r="T9" s="105"/>
      <c r="U9" s="105"/>
      <c r="V9" s="105"/>
      <c r="W9" s="107"/>
      <c r="X9" s="104"/>
      <c r="Y9" s="107"/>
      <c r="Z9" s="108"/>
      <c r="AB9" s="104"/>
      <c r="AC9" s="104"/>
      <c r="AD9" s="109"/>
      <c r="AE9" s="109"/>
    </row>
    <row r="10" spans="1:32" s="88" customFormat="1" ht="30" customHeight="1" x14ac:dyDescent="0.25">
      <c r="A10" s="95">
        <f>A9+1</f>
        <v>2</v>
      </c>
      <c r="B10" s="103"/>
      <c r="C10" s="97"/>
      <c r="D10" s="103"/>
      <c r="E10" s="97"/>
      <c r="F10" s="310"/>
      <c r="G10" s="111"/>
      <c r="H10" s="112"/>
      <c r="I10" s="112"/>
      <c r="J10" s="113"/>
      <c r="K10" s="112"/>
      <c r="L10" s="112"/>
      <c r="M10" s="112"/>
      <c r="N10" s="111"/>
      <c r="O10" s="112"/>
      <c r="P10" s="112"/>
      <c r="Q10" s="112"/>
      <c r="R10" s="113"/>
      <c r="S10" s="111"/>
      <c r="T10" s="112"/>
      <c r="U10" s="112"/>
      <c r="V10" s="112"/>
      <c r="W10" s="114"/>
      <c r="X10" s="111"/>
      <c r="Y10" s="114"/>
      <c r="Z10" s="115"/>
      <c r="AB10" s="111"/>
      <c r="AC10" s="111"/>
      <c r="AD10" s="110"/>
      <c r="AE10" s="110"/>
    </row>
    <row r="11" spans="1:32" s="88" customFormat="1" ht="30" customHeight="1" x14ac:dyDescent="0.25">
      <c r="A11" s="95">
        <f t="shared" ref="A11:A18" si="0">A10+1</f>
        <v>3</v>
      </c>
      <c r="B11" s="103"/>
      <c r="C11" s="97"/>
      <c r="D11" s="103"/>
      <c r="E11" s="97"/>
      <c r="F11" s="310"/>
      <c r="G11" s="111"/>
      <c r="H11" s="112"/>
      <c r="I11" s="112"/>
      <c r="J11" s="113"/>
      <c r="K11" s="112"/>
      <c r="L11" s="112"/>
      <c r="M11" s="112"/>
      <c r="N11" s="111"/>
      <c r="O11" s="112"/>
      <c r="P11" s="112"/>
      <c r="Q11" s="112"/>
      <c r="R11" s="113"/>
      <c r="S11" s="111"/>
      <c r="T11" s="112"/>
      <c r="U11" s="112"/>
      <c r="V11" s="112"/>
      <c r="W11" s="114"/>
      <c r="X11" s="111"/>
      <c r="Y11" s="114"/>
      <c r="Z11" s="115"/>
      <c r="AB11" s="111"/>
      <c r="AC11" s="111"/>
      <c r="AD11" s="110"/>
      <c r="AE11" s="110"/>
    </row>
    <row r="12" spans="1:32" s="88" customFormat="1" ht="30" customHeight="1" x14ac:dyDescent="0.25">
      <c r="A12" s="95">
        <f t="shared" si="0"/>
        <v>4</v>
      </c>
      <c r="B12" s="103"/>
      <c r="C12" s="97"/>
      <c r="D12" s="103"/>
      <c r="E12" s="97"/>
      <c r="F12" s="310"/>
      <c r="G12" s="111"/>
      <c r="H12" s="112"/>
      <c r="I12" s="112"/>
      <c r="J12" s="113"/>
      <c r="K12" s="112"/>
      <c r="L12" s="112"/>
      <c r="M12" s="112"/>
      <c r="N12" s="111"/>
      <c r="O12" s="112"/>
      <c r="P12" s="112"/>
      <c r="Q12" s="112"/>
      <c r="R12" s="113"/>
      <c r="S12" s="111"/>
      <c r="T12" s="112"/>
      <c r="U12" s="112"/>
      <c r="V12" s="112"/>
      <c r="W12" s="114"/>
      <c r="X12" s="111"/>
      <c r="Y12" s="114"/>
      <c r="Z12" s="115"/>
      <c r="AB12" s="111"/>
      <c r="AC12" s="111"/>
      <c r="AD12" s="110"/>
      <c r="AE12" s="110"/>
    </row>
    <row r="13" spans="1:32" s="88" customFormat="1" ht="30" customHeight="1" x14ac:dyDescent="0.25">
      <c r="A13" s="95">
        <f t="shared" si="0"/>
        <v>5</v>
      </c>
      <c r="B13" s="103"/>
      <c r="C13" s="97"/>
      <c r="D13" s="103"/>
      <c r="E13" s="97"/>
      <c r="F13" s="310"/>
      <c r="G13" s="111"/>
      <c r="H13" s="112"/>
      <c r="I13" s="112"/>
      <c r="J13" s="113"/>
      <c r="K13" s="112"/>
      <c r="L13" s="112"/>
      <c r="M13" s="112"/>
      <c r="N13" s="111"/>
      <c r="O13" s="112"/>
      <c r="P13" s="112"/>
      <c r="Q13" s="112"/>
      <c r="R13" s="113"/>
      <c r="S13" s="111"/>
      <c r="T13" s="112"/>
      <c r="U13" s="112"/>
      <c r="V13" s="112"/>
      <c r="W13" s="114"/>
      <c r="X13" s="111"/>
      <c r="Y13" s="114"/>
      <c r="Z13" s="115"/>
      <c r="AB13" s="111"/>
      <c r="AC13" s="111"/>
      <c r="AD13" s="110"/>
      <c r="AE13" s="110"/>
    </row>
    <row r="14" spans="1:32" s="88" customFormat="1" ht="30" customHeight="1" x14ac:dyDescent="0.25">
      <c r="A14" s="95">
        <f t="shared" si="0"/>
        <v>6</v>
      </c>
      <c r="B14" s="103"/>
      <c r="C14" s="97"/>
      <c r="D14" s="103"/>
      <c r="E14" s="97"/>
      <c r="F14" s="310"/>
      <c r="G14" s="111"/>
      <c r="H14" s="112"/>
      <c r="I14" s="112"/>
      <c r="J14" s="113"/>
      <c r="K14" s="112"/>
      <c r="L14" s="112"/>
      <c r="M14" s="112"/>
      <c r="N14" s="111"/>
      <c r="O14" s="112"/>
      <c r="P14" s="112"/>
      <c r="Q14" s="112"/>
      <c r="R14" s="113"/>
      <c r="S14" s="111"/>
      <c r="T14" s="112"/>
      <c r="U14" s="112"/>
      <c r="V14" s="112"/>
      <c r="W14" s="114"/>
      <c r="X14" s="111"/>
      <c r="Y14" s="114"/>
      <c r="Z14" s="115"/>
      <c r="AB14" s="111"/>
      <c r="AC14" s="111"/>
      <c r="AD14" s="110"/>
      <c r="AE14" s="110"/>
    </row>
    <row r="15" spans="1:32" s="88" customFormat="1" ht="30" customHeight="1" x14ac:dyDescent="0.25">
      <c r="A15" s="95">
        <f t="shared" si="0"/>
        <v>7</v>
      </c>
      <c r="B15" s="103"/>
      <c r="C15" s="97"/>
      <c r="D15" s="103"/>
      <c r="E15" s="97"/>
      <c r="F15" s="310"/>
      <c r="G15" s="111"/>
      <c r="H15" s="112"/>
      <c r="I15" s="112"/>
      <c r="J15" s="113"/>
      <c r="K15" s="112"/>
      <c r="L15" s="112"/>
      <c r="M15" s="112"/>
      <c r="N15" s="111"/>
      <c r="O15" s="112"/>
      <c r="P15" s="112"/>
      <c r="Q15" s="112"/>
      <c r="R15" s="113"/>
      <c r="S15" s="111"/>
      <c r="T15" s="112"/>
      <c r="U15" s="112"/>
      <c r="V15" s="112"/>
      <c r="W15" s="114"/>
      <c r="X15" s="111"/>
      <c r="Y15" s="114"/>
      <c r="Z15" s="115"/>
      <c r="AB15" s="111"/>
      <c r="AC15" s="111"/>
      <c r="AD15" s="110"/>
      <c r="AE15" s="110"/>
    </row>
    <row r="16" spans="1:32" s="88" customFormat="1" ht="30" customHeight="1" x14ac:dyDescent="0.25">
      <c r="A16" s="95">
        <f t="shared" si="0"/>
        <v>8</v>
      </c>
      <c r="B16" s="103"/>
      <c r="C16" s="97"/>
      <c r="D16" s="103"/>
      <c r="E16" s="97"/>
      <c r="F16" s="310"/>
      <c r="G16" s="111"/>
      <c r="H16" s="112"/>
      <c r="I16" s="112"/>
      <c r="J16" s="113"/>
      <c r="K16" s="112"/>
      <c r="L16" s="112"/>
      <c r="M16" s="112"/>
      <c r="N16" s="111"/>
      <c r="O16" s="112"/>
      <c r="P16" s="112"/>
      <c r="Q16" s="112"/>
      <c r="R16" s="113"/>
      <c r="S16" s="111"/>
      <c r="T16" s="112"/>
      <c r="U16" s="112"/>
      <c r="V16" s="112"/>
      <c r="W16" s="114"/>
      <c r="X16" s="111"/>
      <c r="Y16" s="114"/>
      <c r="Z16" s="115"/>
      <c r="AB16" s="111"/>
      <c r="AC16" s="111"/>
      <c r="AD16" s="110"/>
      <c r="AE16" s="110"/>
    </row>
    <row r="17" spans="1:31" s="88" customFormat="1" ht="30" customHeight="1" x14ac:dyDescent="0.25">
      <c r="A17" s="95">
        <f t="shared" si="0"/>
        <v>9</v>
      </c>
      <c r="B17" s="103"/>
      <c r="C17" s="97"/>
      <c r="D17" s="103"/>
      <c r="E17" s="97"/>
      <c r="F17" s="310"/>
      <c r="G17" s="111"/>
      <c r="H17" s="112"/>
      <c r="I17" s="112"/>
      <c r="J17" s="113"/>
      <c r="K17" s="112"/>
      <c r="L17" s="112"/>
      <c r="M17" s="112"/>
      <c r="N17" s="111"/>
      <c r="O17" s="112"/>
      <c r="P17" s="112"/>
      <c r="Q17" s="112"/>
      <c r="R17" s="113"/>
      <c r="S17" s="111"/>
      <c r="T17" s="112"/>
      <c r="U17" s="112"/>
      <c r="V17" s="112"/>
      <c r="W17" s="114"/>
      <c r="X17" s="111"/>
      <c r="Y17" s="114"/>
      <c r="Z17" s="115"/>
      <c r="AB17" s="111"/>
      <c r="AC17" s="111"/>
      <c r="AD17" s="110"/>
      <c r="AE17" s="110"/>
    </row>
    <row r="18" spans="1:31" s="88" customFormat="1" ht="30" customHeight="1" thickBot="1" x14ac:dyDescent="0.3">
      <c r="A18" s="95">
        <f t="shared" si="0"/>
        <v>10</v>
      </c>
      <c r="B18" s="103"/>
      <c r="C18" s="97"/>
      <c r="D18" s="103"/>
      <c r="E18" s="97"/>
      <c r="F18" s="310"/>
      <c r="G18" s="111"/>
      <c r="H18" s="112"/>
      <c r="I18" s="112"/>
      <c r="J18" s="113"/>
      <c r="K18" s="112"/>
      <c r="L18" s="112"/>
      <c r="M18" s="112"/>
      <c r="N18" s="111"/>
      <c r="O18" s="112"/>
      <c r="P18" s="112"/>
      <c r="Q18" s="112"/>
      <c r="R18" s="113"/>
      <c r="S18" s="111"/>
      <c r="T18" s="112"/>
      <c r="U18" s="112"/>
      <c r="V18" s="112"/>
      <c r="W18" s="114"/>
      <c r="X18" s="111"/>
      <c r="Y18" s="114"/>
      <c r="Z18" s="115"/>
      <c r="AB18" s="643"/>
      <c r="AC18" s="643"/>
      <c r="AD18" s="644"/>
      <c r="AE18" s="644"/>
    </row>
    <row r="19" spans="1:31" s="5" customFormat="1" ht="18.75" customHeight="1" x14ac:dyDescent="0.2">
      <c r="A19" s="74" t="s">
        <v>106</v>
      </c>
      <c r="B19" s="2"/>
      <c r="C19" s="44"/>
      <c r="D19" s="168"/>
      <c r="E19" s="2"/>
      <c r="F19" s="2"/>
      <c r="G19" s="2"/>
      <c r="H19" s="2"/>
      <c r="I19" s="2"/>
      <c r="J19" s="84"/>
      <c r="K19" s="3"/>
      <c r="L19" s="3"/>
      <c r="M19" s="169"/>
      <c r="N19" s="84" t="s">
        <v>110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4"/>
      <c r="AB19" s="645" t="s">
        <v>50</v>
      </c>
      <c r="AC19" s="646"/>
      <c r="AD19" s="646"/>
      <c r="AE19" s="4"/>
    </row>
    <row r="20" spans="1:31" s="17" customFormat="1" ht="12" customHeight="1" x14ac:dyDescent="0.2">
      <c r="A20" s="137" t="s">
        <v>8</v>
      </c>
      <c r="B20" s="138" t="s">
        <v>91</v>
      </c>
      <c r="C20" s="78"/>
      <c r="D20" s="170" t="s">
        <v>126</v>
      </c>
      <c r="E20" s="138"/>
      <c r="J20" s="76"/>
      <c r="K20" s="85"/>
      <c r="L20" s="76"/>
      <c r="M20" s="171"/>
      <c r="N20" s="159" t="s">
        <v>8</v>
      </c>
      <c r="O20" s="120" t="s">
        <v>127</v>
      </c>
      <c r="Z20" s="77"/>
      <c r="AB20" s="463"/>
      <c r="AC20" s="639"/>
      <c r="AD20" s="639"/>
      <c r="AE20" s="77"/>
    </row>
    <row r="21" spans="1:31" s="17" customFormat="1" ht="12" customHeight="1" x14ac:dyDescent="0.2">
      <c r="A21" s="75"/>
      <c r="B21" s="138" t="s">
        <v>107</v>
      </c>
      <c r="C21" s="78"/>
      <c r="D21" s="170" t="s">
        <v>133</v>
      </c>
      <c r="E21" s="138"/>
      <c r="J21" s="76"/>
      <c r="K21" s="85"/>
      <c r="L21" s="76"/>
      <c r="M21" s="171"/>
      <c r="N21" s="159" t="s">
        <v>9</v>
      </c>
      <c r="O21" s="120" t="s">
        <v>128</v>
      </c>
      <c r="Z21" s="77"/>
      <c r="AB21" s="87" t="s">
        <v>10</v>
      </c>
      <c r="AC21" s="640"/>
      <c r="AD21" s="640"/>
      <c r="AE21" s="77"/>
    </row>
    <row r="22" spans="1:31" s="17" customFormat="1" ht="12" customHeight="1" x14ac:dyDescent="0.2">
      <c r="A22" s="75"/>
      <c r="B22" s="138" t="s">
        <v>108</v>
      </c>
      <c r="C22" s="78"/>
      <c r="D22" s="170" t="s">
        <v>115</v>
      </c>
      <c r="E22" s="138"/>
      <c r="M22" s="171"/>
      <c r="N22" s="159" t="s">
        <v>11</v>
      </c>
      <c r="O22" s="120" t="s">
        <v>129</v>
      </c>
      <c r="Z22" s="77"/>
      <c r="AB22" s="86" t="s">
        <v>173</v>
      </c>
      <c r="AC22" s="640"/>
      <c r="AD22" s="640"/>
      <c r="AE22" s="77"/>
    </row>
    <row r="23" spans="1:31" s="17" customFormat="1" ht="12" customHeight="1" x14ac:dyDescent="0.2">
      <c r="A23" s="137" t="s">
        <v>9</v>
      </c>
      <c r="B23" s="138" t="s">
        <v>109</v>
      </c>
      <c r="C23" s="78"/>
      <c r="D23" s="170" t="s">
        <v>168</v>
      </c>
      <c r="E23" s="138"/>
      <c r="M23" s="171"/>
      <c r="N23" s="159" t="s">
        <v>12</v>
      </c>
      <c r="O23" s="120" t="s">
        <v>130</v>
      </c>
      <c r="Z23" s="77"/>
      <c r="AB23" s="86" t="s">
        <v>174</v>
      </c>
      <c r="AC23" s="640"/>
      <c r="AD23" s="640"/>
      <c r="AE23" s="77"/>
    </row>
    <row r="24" spans="1:31" s="17" customFormat="1" ht="12" customHeight="1" x14ac:dyDescent="0.2">
      <c r="A24" s="137" t="s">
        <v>11</v>
      </c>
      <c r="B24" s="457" t="s">
        <v>123</v>
      </c>
      <c r="C24" s="457"/>
      <c r="D24" s="172"/>
      <c r="J24" s="7"/>
      <c r="K24" s="52"/>
      <c r="L24" s="76"/>
      <c r="M24" s="162"/>
      <c r="N24" s="159" t="s">
        <v>13</v>
      </c>
      <c r="O24" s="120" t="s">
        <v>131</v>
      </c>
      <c r="R24" s="76"/>
      <c r="V24" s="76"/>
      <c r="W24" s="78"/>
      <c r="Z24" s="77"/>
      <c r="AB24" s="86"/>
      <c r="AC24" s="640"/>
      <c r="AD24" s="640"/>
      <c r="AE24" s="77"/>
    </row>
    <row r="25" spans="1:31" s="17" customFormat="1" ht="12" customHeight="1" x14ac:dyDescent="0.2">
      <c r="A25" s="143"/>
      <c r="B25" s="457"/>
      <c r="C25" s="457"/>
      <c r="D25" s="172"/>
      <c r="J25" s="76"/>
      <c r="K25" s="85"/>
      <c r="L25" s="76"/>
      <c r="M25" s="162"/>
      <c r="N25" s="159" t="s">
        <v>111</v>
      </c>
      <c r="O25" s="120" t="s">
        <v>132</v>
      </c>
      <c r="R25" s="76"/>
      <c r="V25" s="76"/>
      <c r="W25" s="78"/>
      <c r="Z25" s="77"/>
      <c r="AB25" s="87" t="s">
        <v>19</v>
      </c>
      <c r="AC25" s="640"/>
      <c r="AD25" s="641"/>
      <c r="AE25" s="77"/>
    </row>
    <row r="26" spans="1:31" s="17" customFormat="1" ht="12.75" customHeight="1" x14ac:dyDescent="0.2">
      <c r="A26" s="143"/>
      <c r="B26" s="457"/>
      <c r="C26" s="457"/>
      <c r="D26" s="166" t="s">
        <v>116</v>
      </c>
      <c r="E26" s="7"/>
      <c r="J26" s="76"/>
      <c r="K26" s="85"/>
      <c r="L26" s="76"/>
      <c r="M26" s="162"/>
      <c r="N26" s="141"/>
      <c r="O26" s="142"/>
      <c r="P26" s="135"/>
      <c r="R26" s="76"/>
      <c r="V26" s="76"/>
      <c r="W26" s="78"/>
      <c r="Z26" s="77"/>
      <c r="AB26" s="86" t="s">
        <v>175</v>
      </c>
      <c r="AC26" s="640"/>
      <c r="AD26" s="641"/>
      <c r="AE26" s="77"/>
    </row>
    <row r="27" spans="1:31" s="17" customFormat="1" ht="12" customHeight="1" x14ac:dyDescent="0.2">
      <c r="A27" s="137" t="s">
        <v>12</v>
      </c>
      <c r="B27" s="457" t="s">
        <v>124</v>
      </c>
      <c r="C27" s="457"/>
      <c r="D27" s="172"/>
      <c r="J27" s="76"/>
      <c r="K27" s="85"/>
      <c r="L27" s="76"/>
      <c r="M27" s="162"/>
      <c r="N27" s="7" t="s">
        <v>46</v>
      </c>
      <c r="R27" s="76"/>
      <c r="V27" s="76"/>
      <c r="W27" s="78"/>
      <c r="Z27" s="77"/>
      <c r="AB27" s="86" t="s">
        <v>176</v>
      </c>
      <c r="AC27" s="640"/>
      <c r="AD27" s="640"/>
      <c r="AE27" s="77"/>
    </row>
    <row r="28" spans="1:31" s="17" customFormat="1" ht="12" customHeight="1" x14ac:dyDescent="0.2">
      <c r="A28" s="143"/>
      <c r="B28" s="457"/>
      <c r="C28" s="457"/>
      <c r="D28" s="166" t="s">
        <v>44</v>
      </c>
      <c r="E28" s="7"/>
      <c r="J28" s="76"/>
      <c r="K28" s="85"/>
      <c r="L28" s="76"/>
      <c r="M28" s="162"/>
      <c r="N28" s="144" t="s">
        <v>47</v>
      </c>
      <c r="V28" s="76"/>
      <c r="W28" s="78"/>
      <c r="Z28" s="77"/>
      <c r="AB28" s="143"/>
      <c r="AC28" s="640"/>
      <c r="AD28" s="640"/>
      <c r="AE28" s="77"/>
    </row>
    <row r="29" spans="1:31" s="17" customFormat="1" ht="12" customHeight="1" x14ac:dyDescent="0.2">
      <c r="A29" s="143"/>
      <c r="B29" s="457"/>
      <c r="C29" s="457"/>
      <c r="D29" s="151" t="s">
        <v>167</v>
      </c>
      <c r="E29" s="144"/>
      <c r="J29" s="76"/>
      <c r="M29" s="171"/>
      <c r="N29" s="144" t="s">
        <v>48</v>
      </c>
      <c r="V29" s="76"/>
      <c r="W29" s="78"/>
      <c r="Z29" s="77"/>
      <c r="AB29" s="86"/>
      <c r="AC29" s="640"/>
      <c r="AD29" s="640"/>
      <c r="AE29" s="77"/>
    </row>
    <row r="30" spans="1:31" s="17" customFormat="1" ht="12" customHeight="1" x14ac:dyDescent="0.2">
      <c r="A30" s="137" t="s">
        <v>13</v>
      </c>
      <c r="B30" s="457" t="s">
        <v>125</v>
      </c>
      <c r="C30" s="457"/>
      <c r="D30" s="151" t="s">
        <v>45</v>
      </c>
      <c r="E30" s="144"/>
      <c r="J30" s="76"/>
      <c r="M30" s="171"/>
      <c r="N30" s="144" t="s">
        <v>49</v>
      </c>
      <c r="V30" s="76"/>
      <c r="W30" s="78"/>
      <c r="Z30" s="77"/>
      <c r="AB30" s="86"/>
      <c r="AC30" s="642"/>
      <c r="AD30" s="642"/>
      <c r="AE30" s="77"/>
    </row>
    <row r="31" spans="1:31" s="17" customFormat="1" ht="12.75" customHeight="1" thickBot="1" x14ac:dyDescent="0.25">
      <c r="A31" s="79"/>
      <c r="B31" s="480"/>
      <c r="C31" s="480"/>
      <c r="D31" s="167"/>
      <c r="E31" s="80"/>
      <c r="F31" s="80"/>
      <c r="G31" s="80"/>
      <c r="H31" s="80"/>
      <c r="I31" s="80"/>
      <c r="J31" s="81"/>
      <c r="K31" s="80"/>
      <c r="L31" s="80"/>
      <c r="M31" s="173"/>
      <c r="N31" s="80"/>
      <c r="O31" s="80"/>
      <c r="P31" s="80"/>
      <c r="Q31" s="80"/>
      <c r="R31" s="80"/>
      <c r="S31" s="80"/>
      <c r="T31" s="80"/>
      <c r="U31" s="80"/>
      <c r="V31" s="81"/>
      <c r="W31" s="82"/>
      <c r="X31" s="80"/>
      <c r="Y31" s="80"/>
      <c r="Z31" s="83"/>
      <c r="AB31" s="79"/>
      <c r="AC31" s="80"/>
      <c r="AD31" s="80"/>
      <c r="AE31" s="83"/>
    </row>
    <row r="32" spans="1:31" s="133" customFormat="1" ht="18" customHeight="1" x14ac:dyDescent="0.2">
      <c r="A32" s="134" t="s">
        <v>119</v>
      </c>
      <c r="B32" s="145"/>
      <c r="C32" s="146"/>
      <c r="J32" s="147"/>
      <c r="V32" s="147"/>
      <c r="W32" s="148"/>
    </row>
    <row r="33" spans="1:36" s="18" customFormat="1" ht="15" customHeight="1" x14ac:dyDescent="0.2">
      <c r="A33" s="134" t="s">
        <v>122</v>
      </c>
      <c r="C33" s="19"/>
      <c r="AI33" s="19"/>
      <c r="AJ33" s="19"/>
    </row>
    <row r="34" spans="1:36" s="18" customFormat="1" ht="7.5" customHeight="1" x14ac:dyDescent="0.2">
      <c r="C34" s="19"/>
      <c r="AI34" s="19"/>
      <c r="AJ34" s="19"/>
    </row>
    <row r="35" spans="1:36" s="88" customFormat="1" ht="15" x14ac:dyDescent="0.25">
      <c r="B35" s="88" t="s">
        <v>53</v>
      </c>
      <c r="C35" s="89"/>
      <c r="F35" s="88" t="s">
        <v>54</v>
      </c>
      <c r="Y35" s="88" t="s">
        <v>55</v>
      </c>
      <c r="AI35" s="89"/>
      <c r="AJ35" s="89"/>
    </row>
    <row r="36" spans="1:36" s="18" customFormat="1" ht="21.75" customHeight="1" x14ac:dyDescent="0.2">
      <c r="C36" s="19"/>
      <c r="AI36" s="19"/>
      <c r="AJ36" s="19"/>
    </row>
    <row r="37" spans="1:36" s="18" customFormat="1" ht="22.5" customHeight="1" x14ac:dyDescent="0.2">
      <c r="C37" s="19"/>
      <c r="AI37" s="19"/>
      <c r="AJ37" s="19"/>
    </row>
    <row r="38" spans="1:36" s="18" customFormat="1" ht="17.25" customHeight="1" x14ac:dyDescent="0.2">
      <c r="B38" s="90"/>
      <c r="C38" s="19"/>
      <c r="F38" s="90"/>
      <c r="G38" s="90"/>
      <c r="H38" s="90"/>
      <c r="I38" s="90"/>
      <c r="J38" s="90"/>
      <c r="K38" s="90"/>
      <c r="L38" s="90"/>
      <c r="M38" s="90"/>
      <c r="Y38" s="90"/>
      <c r="Z38" s="90"/>
      <c r="AA38" s="90"/>
      <c r="AB38" s="90"/>
      <c r="AC38" s="90"/>
      <c r="AI38" s="19"/>
      <c r="AJ38" s="19"/>
    </row>
    <row r="39" spans="1:36" s="18" customFormat="1" ht="18" customHeight="1" x14ac:dyDescent="0.2">
      <c r="B39" s="18" t="s">
        <v>56</v>
      </c>
      <c r="C39" s="19"/>
      <c r="F39" s="18" t="s">
        <v>56</v>
      </c>
      <c r="Y39" s="18" t="s">
        <v>57</v>
      </c>
      <c r="AI39" s="19"/>
      <c r="AJ39" s="19"/>
    </row>
    <row r="40" spans="1:36" s="18" customFormat="1" ht="15.75" customHeight="1" x14ac:dyDescent="0.2">
      <c r="B40" s="18" t="s">
        <v>58</v>
      </c>
      <c r="C40" s="19"/>
      <c r="F40" s="18" t="s">
        <v>59</v>
      </c>
      <c r="Y40" s="18" t="s">
        <v>58</v>
      </c>
      <c r="AI40" s="19"/>
      <c r="AJ40" s="19"/>
    </row>
    <row r="41" spans="1:36" s="18" customFormat="1" ht="6" customHeight="1" thickBot="1" x14ac:dyDescent="0.25">
      <c r="C41" s="19"/>
      <c r="AI41" s="19"/>
      <c r="AJ41" s="19"/>
    </row>
    <row r="42" spans="1:36" s="88" customFormat="1" ht="30" customHeight="1" x14ac:dyDescent="0.25">
      <c r="A42" s="294">
        <v>11</v>
      </c>
      <c r="B42" s="295"/>
      <c r="C42" s="93"/>
      <c r="D42" s="295"/>
      <c r="E42" s="93"/>
      <c r="F42" s="313"/>
      <c r="G42" s="104"/>
      <c r="H42" s="105"/>
      <c r="I42" s="105"/>
      <c r="J42" s="106"/>
      <c r="K42" s="105"/>
      <c r="L42" s="105"/>
      <c r="M42" s="105"/>
      <c r="N42" s="104"/>
      <c r="O42" s="105"/>
      <c r="P42" s="105"/>
      <c r="Q42" s="105"/>
      <c r="R42" s="106"/>
      <c r="S42" s="104"/>
      <c r="T42" s="105"/>
      <c r="U42" s="105"/>
      <c r="V42" s="105"/>
      <c r="W42" s="107"/>
      <c r="X42" s="104"/>
      <c r="Y42" s="107"/>
      <c r="Z42" s="108"/>
      <c r="AB42" s="104"/>
      <c r="AC42" s="104"/>
      <c r="AD42" s="109"/>
      <c r="AE42" s="109"/>
    </row>
    <row r="43" spans="1:36" s="88" customFormat="1" ht="30" customHeight="1" x14ac:dyDescent="0.25">
      <c r="A43" s="95">
        <f>A42+1</f>
        <v>12</v>
      </c>
      <c r="B43" s="103"/>
      <c r="C43" s="97"/>
      <c r="D43" s="103"/>
      <c r="E43" s="97"/>
      <c r="F43" s="314"/>
      <c r="G43" s="111"/>
      <c r="H43" s="112"/>
      <c r="I43" s="112"/>
      <c r="J43" s="113"/>
      <c r="K43" s="112"/>
      <c r="L43" s="112"/>
      <c r="M43" s="112"/>
      <c r="N43" s="111"/>
      <c r="O43" s="112"/>
      <c r="P43" s="112"/>
      <c r="Q43" s="112"/>
      <c r="R43" s="113"/>
      <c r="S43" s="111"/>
      <c r="T43" s="112"/>
      <c r="U43" s="112"/>
      <c r="V43" s="112"/>
      <c r="W43" s="114"/>
      <c r="X43" s="111"/>
      <c r="Y43" s="114"/>
      <c r="Z43" s="115"/>
      <c r="AB43" s="111"/>
      <c r="AC43" s="111"/>
      <c r="AD43" s="110"/>
      <c r="AE43" s="110"/>
    </row>
    <row r="44" spans="1:36" s="88" customFormat="1" ht="30" customHeight="1" x14ac:dyDescent="0.25">
      <c r="A44" s="95">
        <f t="shared" ref="A44:A51" si="1">A43+1</f>
        <v>13</v>
      </c>
      <c r="B44" s="103"/>
      <c r="C44" s="97"/>
      <c r="D44" s="103"/>
      <c r="E44" s="97"/>
      <c r="F44" s="314"/>
      <c r="G44" s="111"/>
      <c r="H44" s="112"/>
      <c r="I44" s="112"/>
      <c r="J44" s="113"/>
      <c r="K44" s="112"/>
      <c r="L44" s="112"/>
      <c r="M44" s="112"/>
      <c r="N44" s="111"/>
      <c r="O44" s="112"/>
      <c r="P44" s="112"/>
      <c r="Q44" s="112"/>
      <c r="R44" s="113"/>
      <c r="S44" s="111"/>
      <c r="T44" s="112"/>
      <c r="U44" s="112"/>
      <c r="V44" s="112"/>
      <c r="W44" s="114"/>
      <c r="X44" s="111"/>
      <c r="Y44" s="114"/>
      <c r="Z44" s="115"/>
      <c r="AB44" s="111"/>
      <c r="AC44" s="111"/>
      <c r="AD44" s="110"/>
      <c r="AE44" s="110"/>
    </row>
    <row r="45" spans="1:36" s="88" customFormat="1" ht="30" customHeight="1" x14ac:dyDescent="0.25">
      <c r="A45" s="95">
        <f t="shared" si="1"/>
        <v>14</v>
      </c>
      <c r="B45" s="103"/>
      <c r="C45" s="97"/>
      <c r="D45" s="103"/>
      <c r="E45" s="97"/>
      <c r="F45" s="314"/>
      <c r="G45" s="111"/>
      <c r="H45" s="112"/>
      <c r="I45" s="112"/>
      <c r="J45" s="113"/>
      <c r="K45" s="112"/>
      <c r="L45" s="112"/>
      <c r="M45" s="112"/>
      <c r="N45" s="111"/>
      <c r="O45" s="112"/>
      <c r="P45" s="112"/>
      <c r="Q45" s="112"/>
      <c r="R45" s="113"/>
      <c r="S45" s="111"/>
      <c r="T45" s="112"/>
      <c r="U45" s="112"/>
      <c r="V45" s="112"/>
      <c r="W45" s="114"/>
      <c r="X45" s="111"/>
      <c r="Y45" s="114"/>
      <c r="Z45" s="115"/>
      <c r="AB45" s="111"/>
      <c r="AC45" s="111"/>
      <c r="AD45" s="110"/>
      <c r="AE45" s="110"/>
    </row>
    <row r="46" spans="1:36" s="88" customFormat="1" ht="30" customHeight="1" x14ac:dyDescent="0.25">
      <c r="A46" s="95">
        <f t="shared" si="1"/>
        <v>15</v>
      </c>
      <c r="B46" s="103"/>
      <c r="C46" s="97"/>
      <c r="D46" s="103"/>
      <c r="E46" s="97"/>
      <c r="F46" s="314"/>
      <c r="G46" s="111"/>
      <c r="H46" s="112"/>
      <c r="I46" s="112"/>
      <c r="J46" s="113"/>
      <c r="K46" s="112"/>
      <c r="L46" s="112"/>
      <c r="M46" s="112"/>
      <c r="N46" s="111"/>
      <c r="O46" s="112"/>
      <c r="P46" s="112"/>
      <c r="Q46" s="112"/>
      <c r="R46" s="113"/>
      <c r="S46" s="111"/>
      <c r="T46" s="112"/>
      <c r="U46" s="112"/>
      <c r="V46" s="112"/>
      <c r="W46" s="114"/>
      <c r="X46" s="111"/>
      <c r="Y46" s="114"/>
      <c r="Z46" s="115"/>
      <c r="AB46" s="111"/>
      <c r="AC46" s="111"/>
      <c r="AD46" s="110"/>
      <c r="AE46" s="110"/>
    </row>
    <row r="47" spans="1:36" s="88" customFormat="1" ht="30" customHeight="1" x14ac:dyDescent="0.25">
      <c r="A47" s="95">
        <f t="shared" si="1"/>
        <v>16</v>
      </c>
      <c r="B47" s="103"/>
      <c r="C47" s="97"/>
      <c r="D47" s="103"/>
      <c r="E47" s="97"/>
      <c r="F47" s="314"/>
      <c r="G47" s="111"/>
      <c r="H47" s="112"/>
      <c r="I47" s="112"/>
      <c r="J47" s="113"/>
      <c r="K47" s="112"/>
      <c r="L47" s="112"/>
      <c r="M47" s="112"/>
      <c r="N47" s="111"/>
      <c r="O47" s="112"/>
      <c r="P47" s="112"/>
      <c r="Q47" s="112"/>
      <c r="R47" s="113"/>
      <c r="S47" s="111"/>
      <c r="T47" s="112"/>
      <c r="U47" s="112"/>
      <c r="V47" s="112"/>
      <c r="W47" s="114"/>
      <c r="X47" s="111"/>
      <c r="Y47" s="114"/>
      <c r="Z47" s="115"/>
      <c r="AB47" s="111"/>
      <c r="AC47" s="111"/>
      <c r="AD47" s="110"/>
      <c r="AE47" s="110"/>
    </row>
    <row r="48" spans="1:36" s="88" customFormat="1" ht="30" customHeight="1" x14ac:dyDescent="0.25">
      <c r="A48" s="95">
        <f t="shared" si="1"/>
        <v>17</v>
      </c>
      <c r="B48" s="103"/>
      <c r="C48" s="97"/>
      <c r="D48" s="103"/>
      <c r="E48" s="97"/>
      <c r="F48" s="314"/>
      <c r="G48" s="111"/>
      <c r="H48" s="112"/>
      <c r="I48" s="112"/>
      <c r="J48" s="113"/>
      <c r="K48" s="112"/>
      <c r="L48" s="112"/>
      <c r="M48" s="112"/>
      <c r="N48" s="111"/>
      <c r="O48" s="112"/>
      <c r="P48" s="112"/>
      <c r="Q48" s="112"/>
      <c r="R48" s="113"/>
      <c r="S48" s="111"/>
      <c r="T48" s="112"/>
      <c r="U48" s="112"/>
      <c r="V48" s="112"/>
      <c r="W48" s="114"/>
      <c r="X48" s="111"/>
      <c r="Y48" s="114"/>
      <c r="Z48" s="115"/>
      <c r="AB48" s="111"/>
      <c r="AC48" s="111"/>
      <c r="AD48" s="110"/>
      <c r="AE48" s="110"/>
    </row>
    <row r="49" spans="1:31" s="88" customFormat="1" ht="30" customHeight="1" x14ac:dyDescent="0.25">
      <c r="A49" s="95">
        <f t="shared" si="1"/>
        <v>18</v>
      </c>
      <c r="B49" s="103"/>
      <c r="C49" s="97"/>
      <c r="D49" s="103"/>
      <c r="E49" s="97"/>
      <c r="F49" s="314"/>
      <c r="G49" s="111"/>
      <c r="H49" s="112"/>
      <c r="I49" s="112"/>
      <c r="J49" s="113"/>
      <c r="K49" s="112"/>
      <c r="L49" s="112"/>
      <c r="M49" s="112"/>
      <c r="N49" s="111"/>
      <c r="O49" s="112"/>
      <c r="P49" s="112"/>
      <c r="Q49" s="112"/>
      <c r="R49" s="113"/>
      <c r="S49" s="111"/>
      <c r="T49" s="112"/>
      <c r="U49" s="112"/>
      <c r="V49" s="112"/>
      <c r="W49" s="114"/>
      <c r="X49" s="111"/>
      <c r="Y49" s="114"/>
      <c r="Z49" s="115"/>
      <c r="AB49" s="111"/>
      <c r="AC49" s="111"/>
      <c r="AD49" s="110"/>
      <c r="AE49" s="110"/>
    </row>
    <row r="50" spans="1:31" s="88" customFormat="1" ht="30" customHeight="1" x14ac:dyDescent="0.25">
      <c r="A50" s="95">
        <f t="shared" si="1"/>
        <v>19</v>
      </c>
      <c r="B50" s="103"/>
      <c r="C50" s="97"/>
      <c r="D50" s="103"/>
      <c r="E50" s="103"/>
      <c r="F50" s="293"/>
      <c r="G50" s="111"/>
      <c r="H50" s="112"/>
      <c r="I50" s="112"/>
      <c r="J50" s="113"/>
      <c r="K50" s="112"/>
      <c r="L50" s="112"/>
      <c r="M50" s="112"/>
      <c r="N50" s="111"/>
      <c r="O50" s="112"/>
      <c r="P50" s="112"/>
      <c r="Q50" s="112"/>
      <c r="R50" s="113"/>
      <c r="S50" s="111"/>
      <c r="T50" s="112"/>
      <c r="U50" s="112"/>
      <c r="V50" s="112"/>
      <c r="W50" s="114"/>
      <c r="X50" s="111"/>
      <c r="Y50" s="114"/>
      <c r="Z50" s="115"/>
      <c r="AB50" s="111"/>
      <c r="AC50" s="111"/>
      <c r="AD50" s="110"/>
      <c r="AE50" s="110"/>
    </row>
    <row r="51" spans="1:31" s="88" customFormat="1" ht="30" customHeight="1" thickBot="1" x14ac:dyDescent="0.3">
      <c r="A51" s="95">
        <f t="shared" si="1"/>
        <v>20</v>
      </c>
      <c r="B51" s="103"/>
      <c r="C51" s="97"/>
      <c r="D51" s="103"/>
      <c r="E51" s="103"/>
      <c r="F51" s="296"/>
      <c r="G51" s="111"/>
      <c r="H51" s="112"/>
      <c r="I51" s="112"/>
      <c r="J51" s="113"/>
      <c r="K51" s="112"/>
      <c r="L51" s="112"/>
      <c r="M51" s="112"/>
      <c r="N51" s="111"/>
      <c r="O51" s="112"/>
      <c r="P51" s="112"/>
      <c r="Q51" s="112"/>
      <c r="R51" s="113"/>
      <c r="S51" s="111"/>
      <c r="T51" s="112"/>
      <c r="U51" s="112"/>
      <c r="V51" s="112"/>
      <c r="W51" s="114"/>
      <c r="X51" s="111"/>
      <c r="Y51" s="114"/>
      <c r="Z51" s="115"/>
      <c r="AB51" s="643"/>
      <c r="AC51" s="643"/>
      <c r="AD51" s="644"/>
      <c r="AE51" s="644"/>
    </row>
    <row r="52" spans="1:31" s="5" customFormat="1" ht="18.75" customHeight="1" x14ac:dyDescent="0.2">
      <c r="A52" s="74" t="s">
        <v>106</v>
      </c>
      <c r="B52" s="2"/>
      <c r="C52" s="44"/>
      <c r="D52" s="168"/>
      <c r="E52" s="2"/>
      <c r="F52" s="2"/>
      <c r="G52" s="2"/>
      <c r="H52" s="2"/>
      <c r="I52" s="2"/>
      <c r="J52" s="84"/>
      <c r="K52" s="3"/>
      <c r="L52" s="3"/>
      <c r="M52" s="169"/>
      <c r="N52" s="84" t="s">
        <v>110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4"/>
      <c r="AB52" s="645" t="s">
        <v>50</v>
      </c>
      <c r="AC52" s="646"/>
      <c r="AD52" s="646"/>
      <c r="AE52" s="4"/>
    </row>
    <row r="53" spans="1:31" s="17" customFormat="1" ht="12" customHeight="1" x14ac:dyDescent="0.2">
      <c r="A53" s="137" t="s">
        <v>8</v>
      </c>
      <c r="B53" s="138" t="s">
        <v>91</v>
      </c>
      <c r="C53" s="78"/>
      <c r="D53" s="170" t="s">
        <v>126</v>
      </c>
      <c r="E53" s="138"/>
      <c r="J53" s="76"/>
      <c r="K53" s="85"/>
      <c r="L53" s="76"/>
      <c r="M53" s="171"/>
      <c r="N53" s="159" t="s">
        <v>8</v>
      </c>
      <c r="O53" s="120" t="s">
        <v>127</v>
      </c>
      <c r="Z53" s="77"/>
      <c r="AB53" s="463"/>
      <c r="AC53" s="639"/>
      <c r="AD53" s="639"/>
      <c r="AE53" s="77"/>
    </row>
    <row r="54" spans="1:31" s="17" customFormat="1" ht="12" customHeight="1" x14ac:dyDescent="0.2">
      <c r="A54" s="75"/>
      <c r="B54" s="138" t="s">
        <v>107</v>
      </c>
      <c r="C54" s="78"/>
      <c r="D54" s="170" t="s">
        <v>133</v>
      </c>
      <c r="E54" s="138"/>
      <c r="J54" s="76"/>
      <c r="K54" s="85"/>
      <c r="L54" s="76"/>
      <c r="M54" s="171"/>
      <c r="N54" s="159" t="s">
        <v>9</v>
      </c>
      <c r="O54" s="120" t="s">
        <v>128</v>
      </c>
      <c r="Z54" s="77"/>
      <c r="AB54" s="87" t="s">
        <v>10</v>
      </c>
      <c r="AC54" s="640"/>
      <c r="AD54" s="640"/>
      <c r="AE54" s="77"/>
    </row>
    <row r="55" spans="1:31" s="17" customFormat="1" ht="12" customHeight="1" x14ac:dyDescent="0.2">
      <c r="A55" s="75"/>
      <c r="B55" s="138" t="s">
        <v>108</v>
      </c>
      <c r="C55" s="78"/>
      <c r="D55" s="170" t="s">
        <v>115</v>
      </c>
      <c r="E55" s="138"/>
      <c r="M55" s="171"/>
      <c r="N55" s="159" t="s">
        <v>11</v>
      </c>
      <c r="O55" s="120" t="s">
        <v>129</v>
      </c>
      <c r="Z55" s="77"/>
      <c r="AB55" s="86" t="s">
        <v>173</v>
      </c>
      <c r="AC55" s="640"/>
      <c r="AD55" s="640"/>
      <c r="AE55" s="77"/>
    </row>
    <row r="56" spans="1:31" s="17" customFormat="1" ht="12" customHeight="1" x14ac:dyDescent="0.2">
      <c r="A56" s="137" t="s">
        <v>9</v>
      </c>
      <c r="B56" s="138" t="s">
        <v>109</v>
      </c>
      <c r="C56" s="78"/>
      <c r="D56" s="170" t="s">
        <v>168</v>
      </c>
      <c r="E56" s="138"/>
      <c r="M56" s="171"/>
      <c r="N56" s="159" t="s">
        <v>12</v>
      </c>
      <c r="O56" s="120" t="s">
        <v>130</v>
      </c>
      <c r="Z56" s="77"/>
      <c r="AB56" s="86" t="s">
        <v>174</v>
      </c>
      <c r="AC56" s="640"/>
      <c r="AD56" s="640"/>
      <c r="AE56" s="77"/>
    </row>
    <row r="57" spans="1:31" s="17" customFormat="1" ht="12" customHeight="1" x14ac:dyDescent="0.2">
      <c r="A57" s="137" t="s">
        <v>11</v>
      </c>
      <c r="B57" s="457" t="s">
        <v>123</v>
      </c>
      <c r="C57" s="457"/>
      <c r="D57" s="172"/>
      <c r="J57" s="7"/>
      <c r="K57" s="52"/>
      <c r="L57" s="76"/>
      <c r="M57" s="162"/>
      <c r="N57" s="159" t="s">
        <v>13</v>
      </c>
      <c r="O57" s="120" t="s">
        <v>131</v>
      </c>
      <c r="R57" s="76"/>
      <c r="V57" s="76"/>
      <c r="W57" s="78"/>
      <c r="Z57" s="77"/>
      <c r="AB57" s="86"/>
      <c r="AC57" s="640"/>
      <c r="AD57" s="640"/>
      <c r="AE57" s="77"/>
    </row>
    <row r="58" spans="1:31" s="17" customFormat="1" ht="12" customHeight="1" x14ac:dyDescent="0.2">
      <c r="A58" s="143"/>
      <c r="B58" s="457"/>
      <c r="C58" s="457"/>
      <c r="D58" s="172"/>
      <c r="J58" s="76"/>
      <c r="K58" s="85"/>
      <c r="L58" s="76"/>
      <c r="M58" s="162"/>
      <c r="N58" s="159" t="s">
        <v>111</v>
      </c>
      <c r="O58" s="120" t="s">
        <v>132</v>
      </c>
      <c r="R58" s="76"/>
      <c r="V58" s="76"/>
      <c r="W58" s="78"/>
      <c r="Z58" s="77"/>
      <c r="AB58" s="87" t="s">
        <v>19</v>
      </c>
      <c r="AC58" s="640"/>
      <c r="AD58" s="641"/>
      <c r="AE58" s="77"/>
    </row>
    <row r="59" spans="1:31" s="17" customFormat="1" ht="12.75" customHeight="1" x14ac:dyDescent="0.2">
      <c r="A59" s="143"/>
      <c r="B59" s="457"/>
      <c r="C59" s="457"/>
      <c r="D59" s="166" t="s">
        <v>116</v>
      </c>
      <c r="E59" s="7"/>
      <c r="J59" s="76"/>
      <c r="K59" s="85"/>
      <c r="L59" s="76"/>
      <c r="M59" s="162"/>
      <c r="N59" s="141"/>
      <c r="O59" s="142"/>
      <c r="P59" s="135"/>
      <c r="R59" s="76"/>
      <c r="V59" s="76"/>
      <c r="W59" s="78"/>
      <c r="Z59" s="77"/>
      <c r="AB59" s="86" t="s">
        <v>175</v>
      </c>
      <c r="AC59" s="640"/>
      <c r="AD59" s="641"/>
      <c r="AE59" s="77"/>
    </row>
    <row r="60" spans="1:31" s="17" customFormat="1" ht="12" customHeight="1" x14ac:dyDescent="0.2">
      <c r="A60" s="137" t="s">
        <v>12</v>
      </c>
      <c r="B60" s="457" t="s">
        <v>124</v>
      </c>
      <c r="C60" s="457"/>
      <c r="D60" s="172"/>
      <c r="J60" s="76"/>
      <c r="K60" s="85"/>
      <c r="L60" s="76"/>
      <c r="M60" s="162"/>
      <c r="N60" s="7" t="s">
        <v>46</v>
      </c>
      <c r="R60" s="76"/>
      <c r="V60" s="76"/>
      <c r="W60" s="78"/>
      <c r="Z60" s="77"/>
      <c r="AB60" s="86" t="s">
        <v>176</v>
      </c>
      <c r="AC60" s="640"/>
      <c r="AD60" s="640"/>
      <c r="AE60" s="77"/>
    </row>
    <row r="61" spans="1:31" s="17" customFormat="1" ht="12" customHeight="1" x14ac:dyDescent="0.2">
      <c r="A61" s="143"/>
      <c r="B61" s="457"/>
      <c r="C61" s="457"/>
      <c r="D61" s="166" t="s">
        <v>44</v>
      </c>
      <c r="E61" s="7"/>
      <c r="J61" s="76"/>
      <c r="K61" s="85"/>
      <c r="L61" s="76"/>
      <c r="M61" s="162"/>
      <c r="N61" s="144" t="s">
        <v>47</v>
      </c>
      <c r="V61" s="76"/>
      <c r="W61" s="78"/>
      <c r="Z61" s="77"/>
      <c r="AB61" s="143"/>
      <c r="AC61" s="640"/>
      <c r="AD61" s="640"/>
      <c r="AE61" s="77"/>
    </row>
    <row r="62" spans="1:31" s="17" customFormat="1" ht="12" customHeight="1" x14ac:dyDescent="0.2">
      <c r="A62" s="143"/>
      <c r="B62" s="457"/>
      <c r="C62" s="457"/>
      <c r="D62" s="151" t="s">
        <v>167</v>
      </c>
      <c r="E62" s="144"/>
      <c r="J62" s="76"/>
      <c r="M62" s="171"/>
      <c r="N62" s="144" t="s">
        <v>48</v>
      </c>
      <c r="V62" s="76"/>
      <c r="W62" s="78"/>
      <c r="Z62" s="77"/>
      <c r="AB62" s="86"/>
      <c r="AC62" s="640"/>
      <c r="AD62" s="640"/>
      <c r="AE62" s="77"/>
    </row>
    <row r="63" spans="1:31" s="17" customFormat="1" ht="12" customHeight="1" x14ac:dyDescent="0.2">
      <c r="A63" s="137" t="s">
        <v>13</v>
      </c>
      <c r="B63" s="457" t="s">
        <v>125</v>
      </c>
      <c r="C63" s="457"/>
      <c r="D63" s="151" t="s">
        <v>45</v>
      </c>
      <c r="E63" s="144"/>
      <c r="J63" s="76"/>
      <c r="M63" s="171"/>
      <c r="N63" s="144" t="s">
        <v>49</v>
      </c>
      <c r="V63" s="76"/>
      <c r="W63" s="78"/>
      <c r="Z63" s="77"/>
      <c r="AB63" s="86"/>
      <c r="AC63" s="642"/>
      <c r="AD63" s="642"/>
      <c r="AE63" s="77"/>
    </row>
    <row r="64" spans="1:31" s="17" customFormat="1" ht="12.75" customHeight="1" thickBot="1" x14ac:dyDescent="0.25">
      <c r="A64" s="79"/>
      <c r="B64" s="480"/>
      <c r="C64" s="480"/>
      <c r="D64" s="167"/>
      <c r="E64" s="80"/>
      <c r="F64" s="80"/>
      <c r="G64" s="80"/>
      <c r="H64" s="80"/>
      <c r="I64" s="80"/>
      <c r="J64" s="81"/>
      <c r="K64" s="80"/>
      <c r="L64" s="80"/>
      <c r="M64" s="173"/>
      <c r="N64" s="80"/>
      <c r="O64" s="80"/>
      <c r="P64" s="80"/>
      <c r="Q64" s="80"/>
      <c r="R64" s="80"/>
      <c r="S64" s="80"/>
      <c r="T64" s="80"/>
      <c r="U64" s="80"/>
      <c r="V64" s="81"/>
      <c r="W64" s="82"/>
      <c r="X64" s="80"/>
      <c r="Y64" s="80"/>
      <c r="Z64" s="83"/>
      <c r="AB64" s="79"/>
      <c r="AC64" s="80"/>
      <c r="AD64" s="80"/>
      <c r="AE64" s="83"/>
    </row>
    <row r="65" spans="1:36" s="133" customFormat="1" ht="18" customHeight="1" x14ac:dyDescent="0.2">
      <c r="A65" s="134" t="s">
        <v>119</v>
      </c>
      <c r="B65" s="145"/>
      <c r="C65" s="146"/>
      <c r="J65" s="147"/>
      <c r="V65" s="147"/>
      <c r="W65" s="148"/>
    </row>
    <row r="66" spans="1:36" s="18" customFormat="1" ht="15" customHeight="1" x14ac:dyDescent="0.2">
      <c r="A66" s="134" t="s">
        <v>122</v>
      </c>
      <c r="C66" s="19"/>
      <c r="AI66" s="19"/>
      <c r="AJ66" s="19"/>
    </row>
    <row r="67" spans="1:36" s="18" customFormat="1" ht="7.5" customHeight="1" x14ac:dyDescent="0.2">
      <c r="C67" s="19"/>
      <c r="AI67" s="19"/>
      <c r="AJ67" s="19"/>
    </row>
    <row r="68" spans="1:36" s="88" customFormat="1" ht="15" x14ac:dyDescent="0.25">
      <c r="B68" s="88" t="s">
        <v>53</v>
      </c>
      <c r="C68" s="89"/>
      <c r="F68" s="88" t="s">
        <v>54</v>
      </c>
      <c r="Y68" s="88" t="s">
        <v>55</v>
      </c>
      <c r="AI68" s="89"/>
      <c r="AJ68" s="89"/>
    </row>
    <row r="69" spans="1:36" s="18" customFormat="1" ht="21.75" customHeight="1" x14ac:dyDescent="0.2">
      <c r="C69" s="19"/>
      <c r="AI69" s="19"/>
      <c r="AJ69" s="19"/>
    </row>
    <row r="70" spans="1:36" s="18" customFormat="1" ht="22.5" customHeight="1" x14ac:dyDescent="0.2">
      <c r="C70" s="19"/>
      <c r="AI70" s="19"/>
      <c r="AJ70" s="19"/>
    </row>
    <row r="71" spans="1:36" s="18" customFormat="1" ht="17.25" customHeight="1" x14ac:dyDescent="0.2">
      <c r="B71" s="90"/>
      <c r="C71" s="19"/>
      <c r="F71" s="90"/>
      <c r="G71" s="90"/>
      <c r="H71" s="90"/>
      <c r="I71" s="90"/>
      <c r="J71" s="90"/>
      <c r="K71" s="90"/>
      <c r="L71" s="90"/>
      <c r="M71" s="90"/>
      <c r="Y71" s="90"/>
      <c r="Z71" s="90"/>
      <c r="AA71" s="90"/>
      <c r="AB71" s="90"/>
      <c r="AC71" s="90"/>
      <c r="AI71" s="19"/>
      <c r="AJ71" s="19"/>
    </row>
    <row r="72" spans="1:36" s="18" customFormat="1" ht="18" customHeight="1" x14ac:dyDescent="0.2">
      <c r="B72" s="18" t="s">
        <v>56</v>
      </c>
      <c r="C72" s="19"/>
      <c r="F72" s="18" t="s">
        <v>56</v>
      </c>
      <c r="Y72" s="18" t="s">
        <v>57</v>
      </c>
      <c r="AI72" s="19"/>
      <c r="AJ72" s="19"/>
    </row>
    <row r="73" spans="1:36" s="18" customFormat="1" ht="15.75" customHeight="1" x14ac:dyDescent="0.2">
      <c r="B73" s="18" t="s">
        <v>58</v>
      </c>
      <c r="C73" s="19"/>
      <c r="F73" s="18" t="s">
        <v>59</v>
      </c>
      <c r="Y73" s="18" t="s">
        <v>58</v>
      </c>
      <c r="AI73" s="19"/>
      <c r="AJ73" s="19"/>
    </row>
    <row r="74" spans="1:36" s="18" customFormat="1" ht="6" customHeight="1" thickBot="1" x14ac:dyDescent="0.25">
      <c r="C74" s="19"/>
      <c r="AI74" s="19"/>
      <c r="AJ74" s="19"/>
    </row>
    <row r="75" spans="1:36" s="88" customFormat="1" ht="30" customHeight="1" x14ac:dyDescent="0.25">
      <c r="A75" s="294">
        <v>21</v>
      </c>
      <c r="B75" s="295"/>
      <c r="C75" s="93"/>
      <c r="D75" s="295"/>
      <c r="E75" s="93"/>
      <c r="F75" s="313"/>
      <c r="G75" s="104"/>
      <c r="H75" s="105"/>
      <c r="I75" s="105"/>
      <c r="J75" s="106"/>
      <c r="K75" s="105"/>
      <c r="L75" s="105"/>
      <c r="M75" s="105"/>
      <c r="N75" s="104"/>
      <c r="O75" s="105"/>
      <c r="P75" s="105"/>
      <c r="Q75" s="105"/>
      <c r="R75" s="106"/>
      <c r="S75" s="104"/>
      <c r="T75" s="105"/>
      <c r="U75" s="105"/>
      <c r="V75" s="105"/>
      <c r="W75" s="107"/>
      <c r="X75" s="104"/>
      <c r="Y75" s="107"/>
      <c r="Z75" s="108"/>
      <c r="AB75" s="104"/>
      <c r="AC75" s="104"/>
      <c r="AD75" s="109"/>
      <c r="AE75" s="109"/>
    </row>
    <row r="76" spans="1:36" s="88" customFormat="1" ht="30" customHeight="1" x14ac:dyDescent="0.25">
      <c r="A76" s="95">
        <f>A75+1</f>
        <v>22</v>
      </c>
      <c r="B76" s="103"/>
      <c r="C76" s="97"/>
      <c r="D76" s="103"/>
      <c r="E76" s="97"/>
      <c r="F76" s="314"/>
      <c r="G76" s="111"/>
      <c r="H76" s="112"/>
      <c r="I76" s="112"/>
      <c r="J76" s="113"/>
      <c r="K76" s="112"/>
      <c r="L76" s="112"/>
      <c r="M76" s="112"/>
      <c r="N76" s="111"/>
      <c r="O76" s="112"/>
      <c r="P76" s="112"/>
      <c r="Q76" s="112"/>
      <c r="R76" s="113"/>
      <c r="S76" s="111"/>
      <c r="T76" s="112"/>
      <c r="U76" s="112"/>
      <c r="V76" s="112"/>
      <c r="W76" s="114"/>
      <c r="X76" s="111"/>
      <c r="Y76" s="114"/>
      <c r="Z76" s="115"/>
      <c r="AB76" s="111"/>
      <c r="AC76" s="111"/>
      <c r="AD76" s="110"/>
      <c r="AE76" s="110"/>
    </row>
    <row r="77" spans="1:36" s="88" customFormat="1" ht="30" customHeight="1" x14ac:dyDescent="0.25">
      <c r="A77" s="95">
        <f t="shared" ref="A77:A84" si="2">A76+1</f>
        <v>23</v>
      </c>
      <c r="B77" s="103"/>
      <c r="C77" s="97"/>
      <c r="D77" s="103"/>
      <c r="E77" s="97"/>
      <c r="F77" s="314"/>
      <c r="G77" s="111"/>
      <c r="H77" s="112"/>
      <c r="I77" s="112"/>
      <c r="J77" s="113"/>
      <c r="K77" s="112"/>
      <c r="L77" s="112"/>
      <c r="M77" s="112"/>
      <c r="N77" s="111"/>
      <c r="O77" s="112"/>
      <c r="P77" s="112"/>
      <c r="Q77" s="112"/>
      <c r="R77" s="113"/>
      <c r="S77" s="111"/>
      <c r="T77" s="112"/>
      <c r="U77" s="112"/>
      <c r="V77" s="112"/>
      <c r="W77" s="114"/>
      <c r="X77" s="111"/>
      <c r="Y77" s="114"/>
      <c r="Z77" s="115"/>
      <c r="AB77" s="111"/>
      <c r="AC77" s="111"/>
      <c r="AD77" s="110"/>
      <c r="AE77" s="110"/>
    </row>
    <row r="78" spans="1:36" s="88" customFormat="1" ht="30" customHeight="1" x14ac:dyDescent="0.25">
      <c r="A78" s="95">
        <f t="shared" si="2"/>
        <v>24</v>
      </c>
      <c r="B78" s="103"/>
      <c r="C78" s="97"/>
      <c r="D78" s="103"/>
      <c r="E78" s="97"/>
      <c r="F78" s="314"/>
      <c r="G78" s="111"/>
      <c r="H78" s="112"/>
      <c r="I78" s="112"/>
      <c r="J78" s="113"/>
      <c r="K78" s="112"/>
      <c r="L78" s="112"/>
      <c r="M78" s="112"/>
      <c r="N78" s="111"/>
      <c r="O78" s="112"/>
      <c r="P78" s="112"/>
      <c r="Q78" s="112"/>
      <c r="R78" s="113"/>
      <c r="S78" s="111"/>
      <c r="T78" s="112"/>
      <c r="U78" s="112"/>
      <c r="V78" s="112"/>
      <c r="W78" s="114"/>
      <c r="X78" s="111"/>
      <c r="Y78" s="114"/>
      <c r="Z78" s="115"/>
      <c r="AB78" s="111"/>
      <c r="AC78" s="111"/>
      <c r="AD78" s="110"/>
      <c r="AE78" s="110"/>
    </row>
    <row r="79" spans="1:36" s="88" customFormat="1" ht="30" customHeight="1" x14ac:dyDescent="0.25">
      <c r="A79" s="95">
        <f t="shared" si="2"/>
        <v>25</v>
      </c>
      <c r="B79" s="103"/>
      <c r="C79" s="97"/>
      <c r="D79" s="103"/>
      <c r="E79" s="97"/>
      <c r="F79" s="314"/>
      <c r="G79" s="111"/>
      <c r="H79" s="112"/>
      <c r="I79" s="112"/>
      <c r="J79" s="113"/>
      <c r="K79" s="112"/>
      <c r="L79" s="112"/>
      <c r="M79" s="112"/>
      <c r="N79" s="111"/>
      <c r="O79" s="112"/>
      <c r="P79" s="112"/>
      <c r="Q79" s="112"/>
      <c r="R79" s="113"/>
      <c r="S79" s="111"/>
      <c r="T79" s="112"/>
      <c r="U79" s="112"/>
      <c r="V79" s="112"/>
      <c r="W79" s="114"/>
      <c r="X79" s="111"/>
      <c r="Y79" s="114"/>
      <c r="Z79" s="115"/>
      <c r="AB79" s="111"/>
      <c r="AC79" s="111"/>
      <c r="AD79" s="110"/>
      <c r="AE79" s="110"/>
    </row>
    <row r="80" spans="1:36" s="88" customFormat="1" ht="30" customHeight="1" x14ac:dyDescent="0.25">
      <c r="A80" s="95">
        <f t="shared" si="2"/>
        <v>26</v>
      </c>
      <c r="B80" s="103"/>
      <c r="C80" s="97"/>
      <c r="D80" s="103"/>
      <c r="E80" s="97"/>
      <c r="F80" s="314"/>
      <c r="G80" s="111"/>
      <c r="H80" s="112"/>
      <c r="I80" s="112"/>
      <c r="J80" s="113"/>
      <c r="K80" s="112"/>
      <c r="L80" s="112"/>
      <c r="M80" s="112"/>
      <c r="N80" s="111"/>
      <c r="O80" s="112"/>
      <c r="P80" s="112"/>
      <c r="Q80" s="112"/>
      <c r="R80" s="113"/>
      <c r="S80" s="111"/>
      <c r="T80" s="112"/>
      <c r="U80" s="112"/>
      <c r="V80" s="112"/>
      <c r="W80" s="114"/>
      <c r="X80" s="111"/>
      <c r="Y80" s="114"/>
      <c r="Z80" s="115"/>
      <c r="AB80" s="111"/>
      <c r="AC80" s="111"/>
      <c r="AD80" s="110"/>
      <c r="AE80" s="110"/>
    </row>
    <row r="81" spans="1:31" s="88" customFormat="1" ht="30" customHeight="1" x14ac:dyDescent="0.25">
      <c r="A81" s="95">
        <f t="shared" si="2"/>
        <v>27</v>
      </c>
      <c r="B81" s="103"/>
      <c r="C81" s="97"/>
      <c r="D81" s="103"/>
      <c r="E81" s="97"/>
      <c r="F81" s="314"/>
      <c r="G81" s="111"/>
      <c r="H81" s="112"/>
      <c r="I81" s="112"/>
      <c r="J81" s="113"/>
      <c r="K81" s="112"/>
      <c r="L81" s="112"/>
      <c r="M81" s="112"/>
      <c r="N81" s="111"/>
      <c r="O81" s="112"/>
      <c r="P81" s="112"/>
      <c r="Q81" s="112"/>
      <c r="R81" s="113"/>
      <c r="S81" s="111"/>
      <c r="T81" s="112"/>
      <c r="U81" s="112"/>
      <c r="V81" s="112"/>
      <c r="W81" s="114"/>
      <c r="X81" s="111"/>
      <c r="Y81" s="114"/>
      <c r="Z81" s="115"/>
      <c r="AB81" s="111"/>
      <c r="AC81" s="111"/>
      <c r="AD81" s="110"/>
      <c r="AE81" s="110"/>
    </row>
    <row r="82" spans="1:31" s="88" customFormat="1" ht="30" customHeight="1" x14ac:dyDescent="0.25">
      <c r="A82" s="95">
        <f t="shared" si="2"/>
        <v>28</v>
      </c>
      <c r="B82" s="103"/>
      <c r="C82" s="97"/>
      <c r="D82" s="103"/>
      <c r="E82" s="97"/>
      <c r="F82" s="314"/>
      <c r="G82" s="111"/>
      <c r="H82" s="112"/>
      <c r="I82" s="112"/>
      <c r="J82" s="113"/>
      <c r="K82" s="112"/>
      <c r="L82" s="112"/>
      <c r="M82" s="112"/>
      <c r="N82" s="111"/>
      <c r="O82" s="112"/>
      <c r="P82" s="112"/>
      <c r="Q82" s="112"/>
      <c r="R82" s="113"/>
      <c r="S82" s="111"/>
      <c r="T82" s="112"/>
      <c r="U82" s="112"/>
      <c r="V82" s="112"/>
      <c r="W82" s="114"/>
      <c r="X82" s="111"/>
      <c r="Y82" s="114"/>
      <c r="Z82" s="115"/>
      <c r="AB82" s="111"/>
      <c r="AC82" s="111"/>
      <c r="AD82" s="110"/>
      <c r="AE82" s="110"/>
    </row>
    <row r="83" spans="1:31" s="88" customFormat="1" ht="30" customHeight="1" x14ac:dyDescent="0.25">
      <c r="A83" s="95">
        <f t="shared" si="2"/>
        <v>29</v>
      </c>
      <c r="B83" s="103"/>
      <c r="C83" s="97"/>
      <c r="D83" s="103"/>
      <c r="E83" s="103"/>
      <c r="F83" s="293"/>
      <c r="G83" s="111"/>
      <c r="H83" s="112"/>
      <c r="I83" s="112"/>
      <c r="J83" s="113"/>
      <c r="K83" s="112"/>
      <c r="L83" s="112"/>
      <c r="M83" s="112"/>
      <c r="N83" s="111"/>
      <c r="O83" s="112"/>
      <c r="P83" s="112"/>
      <c r="Q83" s="112"/>
      <c r="R83" s="113"/>
      <c r="S83" s="111"/>
      <c r="T83" s="112"/>
      <c r="U83" s="112"/>
      <c r="V83" s="112"/>
      <c r="W83" s="114"/>
      <c r="X83" s="111"/>
      <c r="Y83" s="114"/>
      <c r="Z83" s="115"/>
      <c r="AB83" s="111"/>
      <c r="AC83" s="111"/>
      <c r="AD83" s="110"/>
      <c r="AE83" s="110"/>
    </row>
    <row r="84" spans="1:31" s="88" customFormat="1" ht="30" customHeight="1" thickBot="1" x14ac:dyDescent="0.3">
      <c r="A84" s="95">
        <f t="shared" si="2"/>
        <v>30</v>
      </c>
      <c r="B84" s="103"/>
      <c r="C84" s="97"/>
      <c r="D84" s="103"/>
      <c r="E84" s="103"/>
      <c r="F84" s="296"/>
      <c r="G84" s="111"/>
      <c r="H84" s="112"/>
      <c r="I84" s="112"/>
      <c r="J84" s="113"/>
      <c r="K84" s="112"/>
      <c r="L84" s="112"/>
      <c r="M84" s="112"/>
      <c r="N84" s="111"/>
      <c r="O84" s="112"/>
      <c r="P84" s="112"/>
      <c r="Q84" s="112"/>
      <c r="R84" s="113"/>
      <c r="S84" s="111"/>
      <c r="T84" s="112"/>
      <c r="U84" s="112"/>
      <c r="V84" s="112"/>
      <c r="W84" s="114"/>
      <c r="X84" s="111"/>
      <c r="Y84" s="114"/>
      <c r="Z84" s="115"/>
      <c r="AB84" s="643"/>
      <c r="AC84" s="643"/>
      <c r="AD84" s="644"/>
      <c r="AE84" s="644"/>
    </row>
    <row r="85" spans="1:31" s="5" customFormat="1" ht="18.75" customHeight="1" x14ac:dyDescent="0.2">
      <c r="A85" s="74" t="s">
        <v>106</v>
      </c>
      <c r="B85" s="2"/>
      <c r="C85" s="44"/>
      <c r="D85" s="168"/>
      <c r="E85" s="2"/>
      <c r="F85" s="2"/>
      <c r="G85" s="2"/>
      <c r="H85" s="2"/>
      <c r="I85" s="2"/>
      <c r="J85" s="84"/>
      <c r="K85" s="3"/>
      <c r="L85" s="3"/>
      <c r="M85" s="169"/>
      <c r="N85" s="84" t="s">
        <v>110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4"/>
      <c r="AB85" s="645" t="s">
        <v>50</v>
      </c>
      <c r="AC85" s="646"/>
      <c r="AD85" s="646"/>
      <c r="AE85" s="4"/>
    </row>
    <row r="86" spans="1:31" s="17" customFormat="1" ht="12" customHeight="1" x14ac:dyDescent="0.2">
      <c r="A86" s="137" t="s">
        <v>8</v>
      </c>
      <c r="B86" s="138" t="s">
        <v>91</v>
      </c>
      <c r="C86" s="78"/>
      <c r="D86" s="170" t="s">
        <v>126</v>
      </c>
      <c r="E86" s="138"/>
      <c r="J86" s="76"/>
      <c r="K86" s="85"/>
      <c r="L86" s="76"/>
      <c r="M86" s="171"/>
      <c r="N86" s="159" t="s">
        <v>8</v>
      </c>
      <c r="O86" s="120" t="s">
        <v>127</v>
      </c>
      <c r="Z86" s="77"/>
      <c r="AB86" s="463"/>
      <c r="AC86" s="639"/>
      <c r="AD86" s="639"/>
      <c r="AE86" s="77"/>
    </row>
    <row r="87" spans="1:31" s="17" customFormat="1" ht="12" customHeight="1" x14ac:dyDescent="0.2">
      <c r="A87" s="75"/>
      <c r="B87" s="138" t="s">
        <v>107</v>
      </c>
      <c r="C87" s="78"/>
      <c r="D87" s="170" t="s">
        <v>133</v>
      </c>
      <c r="E87" s="138"/>
      <c r="J87" s="76"/>
      <c r="K87" s="85"/>
      <c r="L87" s="76"/>
      <c r="M87" s="171"/>
      <c r="N87" s="159" t="s">
        <v>9</v>
      </c>
      <c r="O87" s="120" t="s">
        <v>128</v>
      </c>
      <c r="Z87" s="77"/>
      <c r="AB87" s="87" t="s">
        <v>10</v>
      </c>
      <c r="AC87" s="640"/>
      <c r="AD87" s="640"/>
      <c r="AE87" s="77"/>
    </row>
    <row r="88" spans="1:31" s="17" customFormat="1" ht="12" customHeight="1" x14ac:dyDescent="0.2">
      <c r="A88" s="75"/>
      <c r="B88" s="138" t="s">
        <v>108</v>
      </c>
      <c r="C88" s="78"/>
      <c r="D88" s="170" t="s">
        <v>115</v>
      </c>
      <c r="E88" s="138"/>
      <c r="M88" s="171"/>
      <c r="N88" s="159" t="s">
        <v>11</v>
      </c>
      <c r="O88" s="120" t="s">
        <v>129</v>
      </c>
      <c r="Z88" s="77"/>
      <c r="AB88" s="86" t="s">
        <v>173</v>
      </c>
      <c r="AC88" s="640"/>
      <c r="AD88" s="640"/>
      <c r="AE88" s="77"/>
    </row>
    <row r="89" spans="1:31" s="17" customFormat="1" ht="12" customHeight="1" x14ac:dyDescent="0.2">
      <c r="A89" s="137" t="s">
        <v>9</v>
      </c>
      <c r="B89" s="138" t="s">
        <v>109</v>
      </c>
      <c r="C89" s="78"/>
      <c r="D89" s="170" t="s">
        <v>168</v>
      </c>
      <c r="E89" s="138"/>
      <c r="M89" s="171"/>
      <c r="N89" s="159" t="s">
        <v>12</v>
      </c>
      <c r="O89" s="120" t="s">
        <v>130</v>
      </c>
      <c r="Z89" s="77"/>
      <c r="AB89" s="86" t="s">
        <v>174</v>
      </c>
      <c r="AC89" s="640"/>
      <c r="AD89" s="640"/>
      <c r="AE89" s="77"/>
    </row>
    <row r="90" spans="1:31" s="17" customFormat="1" ht="12" customHeight="1" x14ac:dyDescent="0.2">
      <c r="A90" s="137" t="s">
        <v>11</v>
      </c>
      <c r="B90" s="457" t="s">
        <v>123</v>
      </c>
      <c r="C90" s="457"/>
      <c r="D90" s="172"/>
      <c r="J90" s="7"/>
      <c r="K90" s="52"/>
      <c r="L90" s="76"/>
      <c r="M90" s="162"/>
      <c r="N90" s="159" t="s">
        <v>13</v>
      </c>
      <c r="O90" s="120" t="s">
        <v>131</v>
      </c>
      <c r="R90" s="76"/>
      <c r="V90" s="76"/>
      <c r="W90" s="78"/>
      <c r="Z90" s="77"/>
      <c r="AB90" s="86"/>
      <c r="AC90" s="640"/>
      <c r="AD90" s="640"/>
      <c r="AE90" s="77"/>
    </row>
    <row r="91" spans="1:31" s="17" customFormat="1" ht="12" customHeight="1" x14ac:dyDescent="0.2">
      <c r="A91" s="143"/>
      <c r="B91" s="457"/>
      <c r="C91" s="457"/>
      <c r="D91" s="172"/>
      <c r="J91" s="76"/>
      <c r="K91" s="85"/>
      <c r="L91" s="76"/>
      <c r="M91" s="162"/>
      <c r="N91" s="159" t="s">
        <v>111</v>
      </c>
      <c r="O91" s="120" t="s">
        <v>132</v>
      </c>
      <c r="R91" s="76"/>
      <c r="V91" s="76"/>
      <c r="W91" s="78"/>
      <c r="Z91" s="77"/>
      <c r="AB91" s="87" t="s">
        <v>19</v>
      </c>
      <c r="AC91" s="640"/>
      <c r="AD91" s="641"/>
      <c r="AE91" s="77"/>
    </row>
    <row r="92" spans="1:31" s="17" customFormat="1" ht="12.75" customHeight="1" x14ac:dyDescent="0.2">
      <c r="A92" s="143"/>
      <c r="B92" s="457"/>
      <c r="C92" s="457"/>
      <c r="D92" s="166" t="s">
        <v>116</v>
      </c>
      <c r="E92" s="7"/>
      <c r="J92" s="76"/>
      <c r="K92" s="85"/>
      <c r="L92" s="76"/>
      <c r="M92" s="162"/>
      <c r="N92" s="141"/>
      <c r="O92" s="142"/>
      <c r="P92" s="135"/>
      <c r="R92" s="76"/>
      <c r="V92" s="76"/>
      <c r="W92" s="78"/>
      <c r="Z92" s="77"/>
      <c r="AB92" s="86" t="s">
        <v>175</v>
      </c>
      <c r="AC92" s="640"/>
      <c r="AD92" s="641"/>
      <c r="AE92" s="77"/>
    </row>
    <row r="93" spans="1:31" s="17" customFormat="1" ht="12" customHeight="1" x14ac:dyDescent="0.2">
      <c r="A93" s="137" t="s">
        <v>12</v>
      </c>
      <c r="B93" s="457" t="s">
        <v>124</v>
      </c>
      <c r="C93" s="457"/>
      <c r="D93" s="172"/>
      <c r="J93" s="76"/>
      <c r="K93" s="85"/>
      <c r="L93" s="76"/>
      <c r="M93" s="162"/>
      <c r="N93" s="7" t="s">
        <v>46</v>
      </c>
      <c r="R93" s="76"/>
      <c r="V93" s="76"/>
      <c r="W93" s="78"/>
      <c r="Z93" s="77"/>
      <c r="AB93" s="86" t="s">
        <v>176</v>
      </c>
      <c r="AC93" s="640"/>
      <c r="AD93" s="640"/>
      <c r="AE93" s="77"/>
    </row>
    <row r="94" spans="1:31" s="17" customFormat="1" ht="12" customHeight="1" x14ac:dyDescent="0.2">
      <c r="A94" s="143"/>
      <c r="B94" s="457"/>
      <c r="C94" s="457"/>
      <c r="D94" s="166" t="s">
        <v>44</v>
      </c>
      <c r="E94" s="7"/>
      <c r="J94" s="76"/>
      <c r="K94" s="85"/>
      <c r="L94" s="76"/>
      <c r="M94" s="162"/>
      <c r="N94" s="144" t="s">
        <v>47</v>
      </c>
      <c r="V94" s="76"/>
      <c r="W94" s="78"/>
      <c r="Z94" s="77"/>
      <c r="AB94" s="143"/>
      <c r="AC94" s="640"/>
      <c r="AD94" s="640"/>
      <c r="AE94" s="77"/>
    </row>
    <row r="95" spans="1:31" s="17" customFormat="1" ht="12" customHeight="1" x14ac:dyDescent="0.2">
      <c r="A95" s="143"/>
      <c r="B95" s="457"/>
      <c r="C95" s="457"/>
      <c r="D95" s="151" t="s">
        <v>167</v>
      </c>
      <c r="E95" s="144"/>
      <c r="J95" s="76"/>
      <c r="M95" s="171"/>
      <c r="N95" s="144" t="s">
        <v>48</v>
      </c>
      <c r="V95" s="76"/>
      <c r="W95" s="78"/>
      <c r="Z95" s="77"/>
      <c r="AB95" s="86"/>
      <c r="AC95" s="640"/>
      <c r="AD95" s="640"/>
      <c r="AE95" s="77"/>
    </row>
    <row r="96" spans="1:31" s="17" customFormat="1" ht="12" customHeight="1" x14ac:dyDescent="0.2">
      <c r="A96" s="137" t="s">
        <v>13</v>
      </c>
      <c r="B96" s="457" t="s">
        <v>125</v>
      </c>
      <c r="C96" s="457"/>
      <c r="D96" s="151" t="s">
        <v>45</v>
      </c>
      <c r="E96" s="144"/>
      <c r="J96" s="76"/>
      <c r="M96" s="171"/>
      <c r="N96" s="144" t="s">
        <v>49</v>
      </c>
      <c r="V96" s="76"/>
      <c r="W96" s="78"/>
      <c r="Z96" s="77"/>
      <c r="AB96" s="86"/>
      <c r="AC96" s="642"/>
      <c r="AD96" s="642"/>
      <c r="AE96" s="77"/>
    </row>
    <row r="97" spans="1:36" s="17" customFormat="1" ht="12.75" customHeight="1" thickBot="1" x14ac:dyDescent="0.25">
      <c r="A97" s="79"/>
      <c r="B97" s="480"/>
      <c r="C97" s="480"/>
      <c r="D97" s="167"/>
      <c r="E97" s="80"/>
      <c r="F97" s="80"/>
      <c r="G97" s="80"/>
      <c r="H97" s="80"/>
      <c r="I97" s="80"/>
      <c r="J97" s="81"/>
      <c r="K97" s="80"/>
      <c r="L97" s="80"/>
      <c r="M97" s="173"/>
      <c r="N97" s="80"/>
      <c r="O97" s="80"/>
      <c r="P97" s="80"/>
      <c r="Q97" s="80"/>
      <c r="R97" s="80"/>
      <c r="S97" s="80"/>
      <c r="T97" s="80"/>
      <c r="U97" s="80"/>
      <c r="V97" s="81"/>
      <c r="W97" s="82"/>
      <c r="X97" s="80"/>
      <c r="Y97" s="80"/>
      <c r="Z97" s="83"/>
      <c r="AB97" s="79"/>
      <c r="AC97" s="80"/>
      <c r="AD97" s="80"/>
      <c r="AE97" s="83"/>
    </row>
    <row r="98" spans="1:36" s="133" customFormat="1" ht="18" customHeight="1" x14ac:dyDescent="0.2">
      <c r="A98" s="134" t="s">
        <v>119</v>
      </c>
      <c r="B98" s="145"/>
      <c r="C98" s="146"/>
      <c r="J98" s="147"/>
      <c r="V98" s="147"/>
      <c r="W98" s="148"/>
    </row>
    <row r="99" spans="1:36" s="18" customFormat="1" ht="15" customHeight="1" x14ac:dyDescent="0.2">
      <c r="A99" s="134" t="s">
        <v>122</v>
      </c>
      <c r="C99" s="19"/>
      <c r="AI99" s="19"/>
      <c r="AJ99" s="19"/>
    </row>
    <row r="100" spans="1:36" s="18" customFormat="1" ht="7.5" customHeight="1" x14ac:dyDescent="0.2">
      <c r="C100" s="19"/>
      <c r="AI100" s="19"/>
      <c r="AJ100" s="19"/>
    </row>
    <row r="101" spans="1:36" s="88" customFormat="1" ht="15" x14ac:dyDescent="0.25">
      <c r="B101" s="88" t="s">
        <v>53</v>
      </c>
      <c r="C101" s="89"/>
      <c r="F101" s="88" t="s">
        <v>54</v>
      </c>
      <c r="Y101" s="88" t="s">
        <v>55</v>
      </c>
      <c r="AI101" s="89"/>
      <c r="AJ101" s="89"/>
    </row>
    <row r="102" spans="1:36" s="18" customFormat="1" ht="21.75" customHeight="1" x14ac:dyDescent="0.2">
      <c r="C102" s="19"/>
      <c r="AI102" s="19"/>
      <c r="AJ102" s="19"/>
    </row>
    <row r="103" spans="1:36" s="18" customFormat="1" ht="22.5" customHeight="1" x14ac:dyDescent="0.2">
      <c r="C103" s="19"/>
      <c r="AI103" s="19"/>
      <c r="AJ103" s="19"/>
    </row>
    <row r="104" spans="1:36" s="18" customFormat="1" ht="17.25" customHeight="1" x14ac:dyDescent="0.2">
      <c r="B104" s="90"/>
      <c r="C104" s="19"/>
      <c r="F104" s="90"/>
      <c r="G104" s="90"/>
      <c r="H104" s="90"/>
      <c r="I104" s="90"/>
      <c r="J104" s="90"/>
      <c r="K104" s="90"/>
      <c r="L104" s="90"/>
      <c r="M104" s="90"/>
      <c r="Y104" s="90"/>
      <c r="Z104" s="90"/>
      <c r="AA104" s="90"/>
      <c r="AB104" s="90"/>
      <c r="AC104" s="90"/>
      <c r="AI104" s="19"/>
      <c r="AJ104" s="19"/>
    </row>
    <row r="105" spans="1:36" s="18" customFormat="1" ht="18" customHeight="1" x14ac:dyDescent="0.2">
      <c r="B105" s="18" t="s">
        <v>56</v>
      </c>
      <c r="C105" s="19"/>
      <c r="F105" s="18" t="s">
        <v>56</v>
      </c>
      <c r="Y105" s="18" t="s">
        <v>57</v>
      </c>
      <c r="AI105" s="19"/>
      <c r="AJ105" s="19"/>
    </row>
    <row r="106" spans="1:36" s="18" customFormat="1" ht="15.75" customHeight="1" x14ac:dyDescent="0.2">
      <c r="B106" s="18" t="s">
        <v>58</v>
      </c>
      <c r="C106" s="19"/>
      <c r="F106" s="18" t="s">
        <v>59</v>
      </c>
      <c r="Y106" s="18" t="s">
        <v>58</v>
      </c>
      <c r="AI106" s="19"/>
      <c r="AJ106" s="19"/>
    </row>
    <row r="107" spans="1:36" s="18" customFormat="1" ht="6" customHeight="1" thickBot="1" x14ac:dyDescent="0.25">
      <c r="C107" s="19"/>
      <c r="AI107" s="19"/>
      <c r="AJ107" s="19"/>
    </row>
    <row r="108" spans="1:36" s="88" customFormat="1" ht="30" customHeight="1" x14ac:dyDescent="0.25">
      <c r="A108" s="294">
        <v>31</v>
      </c>
      <c r="B108" s="295"/>
      <c r="C108" s="93"/>
      <c r="D108" s="295"/>
      <c r="E108" s="93"/>
      <c r="F108" s="313"/>
      <c r="G108" s="104"/>
      <c r="H108" s="105"/>
      <c r="I108" s="105"/>
      <c r="J108" s="106"/>
      <c r="K108" s="105"/>
      <c r="L108" s="105"/>
      <c r="M108" s="105"/>
      <c r="N108" s="104"/>
      <c r="O108" s="105"/>
      <c r="P108" s="105"/>
      <c r="Q108" s="105"/>
      <c r="R108" s="106"/>
      <c r="S108" s="104"/>
      <c r="T108" s="105"/>
      <c r="U108" s="105"/>
      <c r="V108" s="105"/>
      <c r="W108" s="107"/>
      <c r="X108" s="104"/>
      <c r="Y108" s="107"/>
      <c r="Z108" s="108"/>
      <c r="AB108" s="104"/>
      <c r="AC108" s="104"/>
      <c r="AD108" s="109"/>
      <c r="AE108" s="109"/>
    </row>
    <row r="109" spans="1:36" s="88" customFormat="1" ht="30" customHeight="1" x14ac:dyDescent="0.25">
      <c r="A109" s="95">
        <f>A108+1</f>
        <v>32</v>
      </c>
      <c r="B109" s="103"/>
      <c r="C109" s="97"/>
      <c r="D109" s="103"/>
      <c r="E109" s="97"/>
      <c r="F109" s="314"/>
      <c r="G109" s="111"/>
      <c r="H109" s="112"/>
      <c r="I109" s="112"/>
      <c r="J109" s="113"/>
      <c r="K109" s="112"/>
      <c r="L109" s="112"/>
      <c r="M109" s="112"/>
      <c r="N109" s="111"/>
      <c r="O109" s="112"/>
      <c r="P109" s="112"/>
      <c r="Q109" s="112"/>
      <c r="R109" s="113"/>
      <c r="S109" s="111"/>
      <c r="T109" s="112"/>
      <c r="U109" s="112"/>
      <c r="V109" s="112"/>
      <c r="W109" s="114"/>
      <c r="X109" s="111"/>
      <c r="Y109" s="114"/>
      <c r="Z109" s="115"/>
      <c r="AB109" s="111"/>
      <c r="AC109" s="111"/>
      <c r="AD109" s="110"/>
      <c r="AE109" s="110"/>
    </row>
    <row r="110" spans="1:36" s="88" customFormat="1" ht="30" customHeight="1" x14ac:dyDescent="0.25">
      <c r="A110" s="95">
        <f t="shared" ref="A110:A117" si="3">A109+1</f>
        <v>33</v>
      </c>
      <c r="B110" s="103"/>
      <c r="C110" s="97"/>
      <c r="D110" s="103"/>
      <c r="E110" s="97"/>
      <c r="F110" s="314"/>
      <c r="G110" s="111"/>
      <c r="H110" s="112"/>
      <c r="I110" s="112"/>
      <c r="J110" s="113"/>
      <c r="K110" s="112"/>
      <c r="L110" s="112"/>
      <c r="M110" s="112"/>
      <c r="N110" s="111"/>
      <c r="O110" s="112"/>
      <c r="P110" s="112"/>
      <c r="Q110" s="112"/>
      <c r="R110" s="113"/>
      <c r="S110" s="111"/>
      <c r="T110" s="112"/>
      <c r="U110" s="112"/>
      <c r="V110" s="112"/>
      <c r="W110" s="114"/>
      <c r="X110" s="111"/>
      <c r="Y110" s="114"/>
      <c r="Z110" s="115"/>
      <c r="AB110" s="111"/>
      <c r="AC110" s="111"/>
      <c r="AD110" s="110"/>
      <c r="AE110" s="110"/>
    </row>
    <row r="111" spans="1:36" s="88" customFormat="1" ht="30" customHeight="1" x14ac:dyDescent="0.25">
      <c r="A111" s="95">
        <f t="shared" si="3"/>
        <v>34</v>
      </c>
      <c r="B111" s="103"/>
      <c r="C111" s="97"/>
      <c r="D111" s="103"/>
      <c r="E111" s="97"/>
      <c r="F111" s="314"/>
      <c r="G111" s="111"/>
      <c r="H111" s="112"/>
      <c r="I111" s="112"/>
      <c r="J111" s="113"/>
      <c r="K111" s="112"/>
      <c r="L111" s="112"/>
      <c r="M111" s="112"/>
      <c r="N111" s="111"/>
      <c r="O111" s="112"/>
      <c r="P111" s="112"/>
      <c r="Q111" s="112"/>
      <c r="R111" s="113"/>
      <c r="S111" s="111"/>
      <c r="T111" s="112"/>
      <c r="U111" s="112"/>
      <c r="V111" s="112"/>
      <c r="W111" s="114"/>
      <c r="X111" s="111"/>
      <c r="Y111" s="114"/>
      <c r="Z111" s="115"/>
      <c r="AB111" s="111"/>
      <c r="AC111" s="111"/>
      <c r="AD111" s="110"/>
      <c r="AE111" s="110"/>
    </row>
    <row r="112" spans="1:36" s="88" customFormat="1" ht="30" customHeight="1" x14ac:dyDescent="0.25">
      <c r="A112" s="95">
        <f t="shared" si="3"/>
        <v>35</v>
      </c>
      <c r="B112" s="103"/>
      <c r="C112" s="97"/>
      <c r="D112" s="103"/>
      <c r="E112" s="97"/>
      <c r="F112" s="314"/>
      <c r="G112" s="111"/>
      <c r="H112" s="112"/>
      <c r="I112" s="112"/>
      <c r="J112" s="113"/>
      <c r="K112" s="112"/>
      <c r="L112" s="112"/>
      <c r="M112" s="112"/>
      <c r="N112" s="111"/>
      <c r="O112" s="112"/>
      <c r="P112" s="112"/>
      <c r="Q112" s="112"/>
      <c r="R112" s="113"/>
      <c r="S112" s="111"/>
      <c r="T112" s="112"/>
      <c r="U112" s="112"/>
      <c r="V112" s="112"/>
      <c r="W112" s="114"/>
      <c r="X112" s="111"/>
      <c r="Y112" s="114"/>
      <c r="Z112" s="115"/>
      <c r="AB112" s="111"/>
      <c r="AC112" s="111"/>
      <c r="AD112" s="110"/>
      <c r="AE112" s="110"/>
    </row>
    <row r="113" spans="1:31" s="88" customFormat="1" ht="30" customHeight="1" x14ac:dyDescent="0.25">
      <c r="A113" s="95">
        <f t="shared" si="3"/>
        <v>36</v>
      </c>
      <c r="B113" s="103"/>
      <c r="C113" s="97"/>
      <c r="D113" s="103"/>
      <c r="E113" s="97"/>
      <c r="F113" s="314"/>
      <c r="G113" s="111"/>
      <c r="H113" s="112"/>
      <c r="I113" s="112"/>
      <c r="J113" s="113"/>
      <c r="K113" s="112"/>
      <c r="L113" s="112"/>
      <c r="M113" s="112"/>
      <c r="N113" s="111"/>
      <c r="O113" s="112"/>
      <c r="P113" s="112"/>
      <c r="Q113" s="112"/>
      <c r="R113" s="113"/>
      <c r="S113" s="111"/>
      <c r="T113" s="112"/>
      <c r="U113" s="112"/>
      <c r="V113" s="112"/>
      <c r="W113" s="114"/>
      <c r="X113" s="111"/>
      <c r="Y113" s="114"/>
      <c r="Z113" s="115"/>
      <c r="AB113" s="111"/>
      <c r="AC113" s="111"/>
      <c r="AD113" s="110"/>
      <c r="AE113" s="110"/>
    </row>
    <row r="114" spans="1:31" s="88" customFormat="1" ht="30" customHeight="1" x14ac:dyDescent="0.25">
      <c r="A114" s="95">
        <f t="shared" si="3"/>
        <v>37</v>
      </c>
      <c r="B114" s="103"/>
      <c r="C114" s="97"/>
      <c r="D114" s="103"/>
      <c r="E114" s="97"/>
      <c r="F114" s="314"/>
      <c r="G114" s="111"/>
      <c r="H114" s="112"/>
      <c r="I114" s="112"/>
      <c r="J114" s="113"/>
      <c r="K114" s="112"/>
      <c r="L114" s="112"/>
      <c r="M114" s="112"/>
      <c r="N114" s="111"/>
      <c r="O114" s="112"/>
      <c r="P114" s="112"/>
      <c r="Q114" s="112"/>
      <c r="R114" s="113"/>
      <c r="S114" s="111"/>
      <c r="T114" s="112"/>
      <c r="U114" s="112"/>
      <c r="V114" s="112"/>
      <c r="W114" s="114"/>
      <c r="X114" s="111"/>
      <c r="Y114" s="114"/>
      <c r="Z114" s="115"/>
      <c r="AB114" s="111"/>
      <c r="AC114" s="111"/>
      <c r="AD114" s="110"/>
      <c r="AE114" s="110"/>
    </row>
    <row r="115" spans="1:31" s="88" customFormat="1" ht="30" customHeight="1" x14ac:dyDescent="0.25">
      <c r="A115" s="95">
        <f t="shared" si="3"/>
        <v>38</v>
      </c>
      <c r="B115" s="103"/>
      <c r="C115" s="97"/>
      <c r="D115" s="103"/>
      <c r="E115" s="97"/>
      <c r="F115" s="314"/>
      <c r="G115" s="111"/>
      <c r="H115" s="112"/>
      <c r="I115" s="112"/>
      <c r="J115" s="113"/>
      <c r="K115" s="112"/>
      <c r="L115" s="112"/>
      <c r="M115" s="112"/>
      <c r="N115" s="111"/>
      <c r="O115" s="112"/>
      <c r="P115" s="112"/>
      <c r="Q115" s="112"/>
      <c r="R115" s="113"/>
      <c r="S115" s="111"/>
      <c r="T115" s="112"/>
      <c r="U115" s="112"/>
      <c r="V115" s="112"/>
      <c r="W115" s="114"/>
      <c r="X115" s="111"/>
      <c r="Y115" s="114"/>
      <c r="Z115" s="115"/>
      <c r="AB115" s="111"/>
      <c r="AC115" s="111"/>
      <c r="AD115" s="110"/>
      <c r="AE115" s="110"/>
    </row>
    <row r="116" spans="1:31" s="88" customFormat="1" ht="30" customHeight="1" x14ac:dyDescent="0.25">
      <c r="A116" s="95">
        <f t="shared" si="3"/>
        <v>39</v>
      </c>
      <c r="B116" s="103"/>
      <c r="C116" s="97"/>
      <c r="D116" s="103"/>
      <c r="E116" s="103"/>
      <c r="F116" s="293"/>
      <c r="G116" s="111"/>
      <c r="H116" s="112"/>
      <c r="I116" s="112"/>
      <c r="J116" s="113"/>
      <c r="K116" s="112"/>
      <c r="L116" s="112"/>
      <c r="M116" s="112"/>
      <c r="N116" s="111"/>
      <c r="O116" s="112"/>
      <c r="P116" s="112"/>
      <c r="Q116" s="112"/>
      <c r="R116" s="113"/>
      <c r="S116" s="111"/>
      <c r="T116" s="112"/>
      <c r="U116" s="112"/>
      <c r="V116" s="112"/>
      <c r="W116" s="114"/>
      <c r="X116" s="111"/>
      <c r="Y116" s="114"/>
      <c r="Z116" s="115"/>
      <c r="AB116" s="111"/>
      <c r="AC116" s="111"/>
      <c r="AD116" s="110"/>
      <c r="AE116" s="110"/>
    </row>
    <row r="117" spans="1:31" s="88" customFormat="1" ht="30" customHeight="1" thickBot="1" x14ac:dyDescent="0.3">
      <c r="A117" s="95">
        <f t="shared" si="3"/>
        <v>40</v>
      </c>
      <c r="B117" s="103"/>
      <c r="C117" s="97"/>
      <c r="D117" s="103"/>
      <c r="E117" s="103"/>
      <c r="F117" s="296"/>
      <c r="G117" s="111"/>
      <c r="H117" s="112"/>
      <c r="I117" s="112"/>
      <c r="J117" s="113"/>
      <c r="K117" s="112"/>
      <c r="L117" s="112"/>
      <c r="M117" s="112"/>
      <c r="N117" s="111"/>
      <c r="O117" s="112"/>
      <c r="P117" s="112"/>
      <c r="Q117" s="112"/>
      <c r="R117" s="113"/>
      <c r="S117" s="111"/>
      <c r="T117" s="112"/>
      <c r="U117" s="112"/>
      <c r="V117" s="112"/>
      <c r="W117" s="114"/>
      <c r="X117" s="111"/>
      <c r="Y117" s="114"/>
      <c r="Z117" s="115"/>
      <c r="AB117" s="643"/>
      <c r="AC117" s="643"/>
      <c r="AD117" s="644"/>
      <c r="AE117" s="644"/>
    </row>
    <row r="118" spans="1:31" s="5" customFormat="1" ht="18.75" customHeight="1" x14ac:dyDescent="0.2">
      <c r="A118" s="74" t="s">
        <v>106</v>
      </c>
      <c r="B118" s="2"/>
      <c r="C118" s="44"/>
      <c r="D118" s="168"/>
      <c r="E118" s="2"/>
      <c r="F118" s="2"/>
      <c r="G118" s="2"/>
      <c r="H118" s="2"/>
      <c r="I118" s="2"/>
      <c r="J118" s="84"/>
      <c r="K118" s="3"/>
      <c r="L118" s="3"/>
      <c r="M118" s="169"/>
      <c r="N118" s="84" t="s">
        <v>110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4"/>
      <c r="AB118" s="645" t="s">
        <v>50</v>
      </c>
      <c r="AC118" s="646"/>
      <c r="AD118" s="646"/>
      <c r="AE118" s="4"/>
    </row>
    <row r="119" spans="1:31" s="17" customFormat="1" ht="12" customHeight="1" x14ac:dyDescent="0.2">
      <c r="A119" s="137" t="s">
        <v>8</v>
      </c>
      <c r="B119" s="138" t="s">
        <v>91</v>
      </c>
      <c r="C119" s="78"/>
      <c r="D119" s="170" t="s">
        <v>126</v>
      </c>
      <c r="E119" s="138"/>
      <c r="J119" s="76"/>
      <c r="K119" s="85"/>
      <c r="L119" s="76"/>
      <c r="M119" s="171"/>
      <c r="N119" s="159" t="s">
        <v>8</v>
      </c>
      <c r="O119" s="120" t="s">
        <v>127</v>
      </c>
      <c r="Z119" s="77"/>
      <c r="AB119" s="463"/>
      <c r="AC119" s="639"/>
      <c r="AD119" s="639"/>
      <c r="AE119" s="77"/>
    </row>
    <row r="120" spans="1:31" s="17" customFormat="1" ht="12" customHeight="1" x14ac:dyDescent="0.2">
      <c r="A120" s="75"/>
      <c r="B120" s="138" t="s">
        <v>107</v>
      </c>
      <c r="C120" s="78"/>
      <c r="D120" s="170" t="s">
        <v>133</v>
      </c>
      <c r="E120" s="138"/>
      <c r="J120" s="76"/>
      <c r="K120" s="85"/>
      <c r="L120" s="76"/>
      <c r="M120" s="171"/>
      <c r="N120" s="159" t="s">
        <v>9</v>
      </c>
      <c r="O120" s="120" t="s">
        <v>128</v>
      </c>
      <c r="Z120" s="77"/>
      <c r="AB120" s="87" t="s">
        <v>10</v>
      </c>
      <c r="AC120" s="640"/>
      <c r="AD120" s="640"/>
      <c r="AE120" s="77"/>
    </row>
    <row r="121" spans="1:31" s="17" customFormat="1" ht="12" customHeight="1" x14ac:dyDescent="0.2">
      <c r="A121" s="75"/>
      <c r="B121" s="138" t="s">
        <v>108</v>
      </c>
      <c r="C121" s="78"/>
      <c r="D121" s="170" t="s">
        <v>115</v>
      </c>
      <c r="E121" s="138"/>
      <c r="M121" s="171"/>
      <c r="N121" s="159" t="s">
        <v>11</v>
      </c>
      <c r="O121" s="120" t="s">
        <v>129</v>
      </c>
      <c r="Z121" s="77"/>
      <c r="AB121" s="86" t="s">
        <v>173</v>
      </c>
      <c r="AC121" s="640"/>
      <c r="AD121" s="640"/>
      <c r="AE121" s="77"/>
    </row>
    <row r="122" spans="1:31" s="17" customFormat="1" ht="12" customHeight="1" x14ac:dyDescent="0.2">
      <c r="A122" s="137" t="s">
        <v>9</v>
      </c>
      <c r="B122" s="138" t="s">
        <v>109</v>
      </c>
      <c r="C122" s="78"/>
      <c r="D122" s="170" t="s">
        <v>168</v>
      </c>
      <c r="E122" s="138"/>
      <c r="M122" s="171"/>
      <c r="N122" s="159" t="s">
        <v>12</v>
      </c>
      <c r="O122" s="120" t="s">
        <v>130</v>
      </c>
      <c r="Z122" s="77"/>
      <c r="AB122" s="86" t="s">
        <v>174</v>
      </c>
      <c r="AC122" s="640"/>
      <c r="AD122" s="640"/>
      <c r="AE122" s="77"/>
    </row>
    <row r="123" spans="1:31" s="17" customFormat="1" ht="12" customHeight="1" x14ac:dyDescent="0.2">
      <c r="A123" s="137" t="s">
        <v>11</v>
      </c>
      <c r="B123" s="457" t="s">
        <v>123</v>
      </c>
      <c r="C123" s="457"/>
      <c r="D123" s="172"/>
      <c r="J123" s="7"/>
      <c r="K123" s="52"/>
      <c r="L123" s="76"/>
      <c r="M123" s="162"/>
      <c r="N123" s="159" t="s">
        <v>13</v>
      </c>
      <c r="O123" s="120" t="s">
        <v>131</v>
      </c>
      <c r="R123" s="76"/>
      <c r="V123" s="76"/>
      <c r="W123" s="78"/>
      <c r="Z123" s="77"/>
      <c r="AB123" s="86"/>
      <c r="AC123" s="640"/>
      <c r="AD123" s="640"/>
      <c r="AE123" s="77"/>
    </row>
    <row r="124" spans="1:31" s="17" customFormat="1" ht="12" customHeight="1" x14ac:dyDescent="0.2">
      <c r="A124" s="143"/>
      <c r="B124" s="457"/>
      <c r="C124" s="457"/>
      <c r="D124" s="172"/>
      <c r="J124" s="76"/>
      <c r="K124" s="85"/>
      <c r="L124" s="76"/>
      <c r="M124" s="162"/>
      <c r="N124" s="159" t="s">
        <v>111</v>
      </c>
      <c r="O124" s="120" t="s">
        <v>132</v>
      </c>
      <c r="R124" s="76"/>
      <c r="V124" s="76"/>
      <c r="W124" s="78"/>
      <c r="Z124" s="77"/>
      <c r="AB124" s="87" t="s">
        <v>19</v>
      </c>
      <c r="AC124" s="640"/>
      <c r="AD124" s="641"/>
      <c r="AE124" s="77"/>
    </row>
    <row r="125" spans="1:31" s="17" customFormat="1" ht="12.75" customHeight="1" x14ac:dyDescent="0.2">
      <c r="A125" s="143"/>
      <c r="B125" s="457"/>
      <c r="C125" s="457"/>
      <c r="D125" s="166" t="s">
        <v>116</v>
      </c>
      <c r="E125" s="7"/>
      <c r="J125" s="76"/>
      <c r="K125" s="85"/>
      <c r="L125" s="76"/>
      <c r="M125" s="162"/>
      <c r="N125" s="141"/>
      <c r="O125" s="142"/>
      <c r="P125" s="135"/>
      <c r="R125" s="76"/>
      <c r="V125" s="76"/>
      <c r="W125" s="78"/>
      <c r="Z125" s="77"/>
      <c r="AB125" s="86" t="s">
        <v>175</v>
      </c>
      <c r="AC125" s="640"/>
      <c r="AD125" s="641"/>
      <c r="AE125" s="77"/>
    </row>
    <row r="126" spans="1:31" s="17" customFormat="1" ht="12" customHeight="1" x14ac:dyDescent="0.2">
      <c r="A126" s="137" t="s">
        <v>12</v>
      </c>
      <c r="B126" s="457" t="s">
        <v>124</v>
      </c>
      <c r="C126" s="457"/>
      <c r="D126" s="172"/>
      <c r="J126" s="76"/>
      <c r="K126" s="85"/>
      <c r="L126" s="76"/>
      <c r="M126" s="162"/>
      <c r="N126" s="7" t="s">
        <v>46</v>
      </c>
      <c r="R126" s="76"/>
      <c r="V126" s="76"/>
      <c r="W126" s="78"/>
      <c r="Z126" s="77"/>
      <c r="AB126" s="86" t="s">
        <v>176</v>
      </c>
      <c r="AC126" s="640"/>
      <c r="AD126" s="640"/>
      <c r="AE126" s="77"/>
    </row>
    <row r="127" spans="1:31" s="17" customFormat="1" ht="12" customHeight="1" x14ac:dyDescent="0.2">
      <c r="A127" s="143"/>
      <c r="B127" s="457"/>
      <c r="C127" s="457"/>
      <c r="D127" s="166" t="s">
        <v>44</v>
      </c>
      <c r="E127" s="7"/>
      <c r="J127" s="76"/>
      <c r="K127" s="85"/>
      <c r="L127" s="76"/>
      <c r="M127" s="162"/>
      <c r="N127" s="144" t="s">
        <v>47</v>
      </c>
      <c r="V127" s="76"/>
      <c r="W127" s="78"/>
      <c r="Z127" s="77"/>
      <c r="AB127" s="143"/>
      <c r="AC127" s="640"/>
      <c r="AD127" s="640"/>
      <c r="AE127" s="77"/>
    </row>
    <row r="128" spans="1:31" s="17" customFormat="1" ht="12" customHeight="1" x14ac:dyDescent="0.2">
      <c r="A128" s="143"/>
      <c r="B128" s="457"/>
      <c r="C128" s="457"/>
      <c r="D128" s="151" t="s">
        <v>167</v>
      </c>
      <c r="E128" s="144"/>
      <c r="J128" s="76"/>
      <c r="M128" s="171"/>
      <c r="N128" s="144" t="s">
        <v>48</v>
      </c>
      <c r="V128" s="76"/>
      <c r="W128" s="78"/>
      <c r="Z128" s="77"/>
      <c r="AB128" s="86"/>
      <c r="AC128" s="640"/>
      <c r="AD128" s="640"/>
      <c r="AE128" s="77"/>
    </row>
    <row r="129" spans="1:36" s="17" customFormat="1" ht="12" customHeight="1" x14ac:dyDescent="0.2">
      <c r="A129" s="137" t="s">
        <v>13</v>
      </c>
      <c r="B129" s="457" t="s">
        <v>125</v>
      </c>
      <c r="C129" s="457"/>
      <c r="D129" s="151" t="s">
        <v>45</v>
      </c>
      <c r="E129" s="144"/>
      <c r="J129" s="76"/>
      <c r="M129" s="171"/>
      <c r="N129" s="144" t="s">
        <v>49</v>
      </c>
      <c r="V129" s="76"/>
      <c r="W129" s="78"/>
      <c r="Z129" s="77"/>
      <c r="AB129" s="86"/>
      <c r="AC129" s="642"/>
      <c r="AD129" s="642"/>
      <c r="AE129" s="77"/>
    </row>
    <row r="130" spans="1:36" s="17" customFormat="1" ht="12.75" customHeight="1" thickBot="1" x14ac:dyDescent="0.25">
      <c r="A130" s="79"/>
      <c r="B130" s="480"/>
      <c r="C130" s="480"/>
      <c r="D130" s="167"/>
      <c r="E130" s="80"/>
      <c r="F130" s="80"/>
      <c r="G130" s="80"/>
      <c r="H130" s="80"/>
      <c r="I130" s="80"/>
      <c r="J130" s="81"/>
      <c r="K130" s="80"/>
      <c r="L130" s="80"/>
      <c r="M130" s="173"/>
      <c r="N130" s="80"/>
      <c r="O130" s="80"/>
      <c r="P130" s="80"/>
      <c r="Q130" s="80"/>
      <c r="R130" s="80"/>
      <c r="S130" s="80"/>
      <c r="T130" s="80"/>
      <c r="U130" s="80"/>
      <c r="V130" s="81"/>
      <c r="W130" s="82"/>
      <c r="X130" s="80"/>
      <c r="Y130" s="80"/>
      <c r="Z130" s="83"/>
      <c r="AB130" s="79"/>
      <c r="AC130" s="80"/>
      <c r="AD130" s="80"/>
      <c r="AE130" s="83"/>
    </row>
    <row r="131" spans="1:36" s="133" customFormat="1" ht="18" customHeight="1" x14ac:dyDescent="0.2">
      <c r="A131" s="134" t="s">
        <v>119</v>
      </c>
      <c r="B131" s="145"/>
      <c r="C131" s="146"/>
      <c r="J131" s="147"/>
      <c r="V131" s="147"/>
      <c r="W131" s="148"/>
    </row>
    <row r="132" spans="1:36" s="18" customFormat="1" ht="15" customHeight="1" x14ac:dyDescent="0.2">
      <c r="A132" s="134" t="s">
        <v>122</v>
      </c>
      <c r="C132" s="19"/>
      <c r="AI132" s="19"/>
      <c r="AJ132" s="19"/>
    </row>
    <row r="133" spans="1:36" s="18" customFormat="1" ht="7.5" customHeight="1" x14ac:dyDescent="0.2">
      <c r="C133" s="19"/>
      <c r="AI133" s="19"/>
      <c r="AJ133" s="19"/>
    </row>
    <row r="134" spans="1:36" s="88" customFormat="1" ht="15" x14ac:dyDescent="0.25">
      <c r="B134" s="88" t="s">
        <v>53</v>
      </c>
      <c r="C134" s="89"/>
      <c r="F134" s="88" t="s">
        <v>54</v>
      </c>
      <c r="Y134" s="88" t="s">
        <v>55</v>
      </c>
      <c r="AI134" s="89"/>
      <c r="AJ134" s="89"/>
    </row>
    <row r="135" spans="1:36" s="18" customFormat="1" ht="21.75" customHeight="1" x14ac:dyDescent="0.2">
      <c r="C135" s="19"/>
      <c r="AI135" s="19"/>
      <c r="AJ135" s="19"/>
    </row>
    <row r="136" spans="1:36" s="18" customFormat="1" ht="22.5" customHeight="1" x14ac:dyDescent="0.2">
      <c r="C136" s="19"/>
      <c r="AI136" s="19"/>
      <c r="AJ136" s="19"/>
    </row>
    <row r="137" spans="1:36" s="18" customFormat="1" ht="17.25" customHeight="1" x14ac:dyDescent="0.2">
      <c r="B137" s="90"/>
      <c r="C137" s="19"/>
      <c r="F137" s="90"/>
      <c r="G137" s="90"/>
      <c r="H137" s="90"/>
      <c r="I137" s="90"/>
      <c r="J137" s="90"/>
      <c r="K137" s="90"/>
      <c r="L137" s="90"/>
      <c r="M137" s="90"/>
      <c r="Y137" s="90"/>
      <c r="Z137" s="90"/>
      <c r="AA137" s="90"/>
      <c r="AB137" s="90"/>
      <c r="AC137" s="90"/>
      <c r="AI137" s="19"/>
      <c r="AJ137" s="19"/>
    </row>
    <row r="138" spans="1:36" s="18" customFormat="1" ht="18" customHeight="1" x14ac:dyDescent="0.2">
      <c r="B138" s="18" t="s">
        <v>56</v>
      </c>
      <c r="C138" s="19"/>
      <c r="F138" s="18" t="s">
        <v>56</v>
      </c>
      <c r="Y138" s="18" t="s">
        <v>57</v>
      </c>
      <c r="AI138" s="19"/>
      <c r="AJ138" s="19"/>
    </row>
    <row r="139" spans="1:36" s="18" customFormat="1" ht="15.75" customHeight="1" x14ac:dyDescent="0.2">
      <c r="B139" s="18" t="s">
        <v>58</v>
      </c>
      <c r="C139" s="19"/>
      <c r="F139" s="18" t="s">
        <v>59</v>
      </c>
      <c r="Y139" s="18" t="s">
        <v>58</v>
      </c>
      <c r="AI139" s="19"/>
      <c r="AJ139" s="19"/>
    </row>
    <row r="140" spans="1:36" s="18" customFormat="1" ht="6" customHeight="1" thickBot="1" x14ac:dyDescent="0.25">
      <c r="C140" s="19"/>
      <c r="AI140" s="19"/>
      <c r="AJ140" s="19"/>
    </row>
    <row r="141" spans="1:36" s="88" customFormat="1" ht="30" customHeight="1" x14ac:dyDescent="0.25">
      <c r="A141" s="294">
        <v>41</v>
      </c>
      <c r="B141" s="295"/>
      <c r="C141" s="93"/>
      <c r="D141" s="295"/>
      <c r="E141" s="93"/>
      <c r="F141" s="313"/>
      <c r="G141" s="104"/>
      <c r="H141" s="105"/>
      <c r="I141" s="105"/>
      <c r="J141" s="106"/>
      <c r="K141" s="105"/>
      <c r="L141" s="105"/>
      <c r="M141" s="105"/>
      <c r="N141" s="104"/>
      <c r="O141" s="105"/>
      <c r="P141" s="105"/>
      <c r="Q141" s="105"/>
      <c r="R141" s="106"/>
      <c r="S141" s="104"/>
      <c r="T141" s="105"/>
      <c r="U141" s="105"/>
      <c r="V141" s="105"/>
      <c r="W141" s="107"/>
      <c r="X141" s="104"/>
      <c r="Y141" s="107"/>
      <c r="Z141" s="108"/>
      <c r="AB141" s="104"/>
      <c r="AC141" s="104"/>
      <c r="AD141" s="109"/>
      <c r="AE141" s="109"/>
    </row>
    <row r="142" spans="1:36" s="88" customFormat="1" ht="30" customHeight="1" x14ac:dyDescent="0.25">
      <c r="A142" s="95">
        <f>A141+1</f>
        <v>42</v>
      </c>
      <c r="B142" s="103"/>
      <c r="C142" s="97"/>
      <c r="D142" s="103"/>
      <c r="E142" s="97"/>
      <c r="F142" s="314"/>
      <c r="G142" s="111"/>
      <c r="H142" s="112"/>
      <c r="I142" s="112"/>
      <c r="J142" s="113"/>
      <c r="K142" s="112"/>
      <c r="L142" s="112"/>
      <c r="M142" s="112"/>
      <c r="N142" s="111"/>
      <c r="O142" s="112"/>
      <c r="P142" s="112"/>
      <c r="Q142" s="112"/>
      <c r="R142" s="113"/>
      <c r="S142" s="111"/>
      <c r="T142" s="112"/>
      <c r="U142" s="112"/>
      <c r="V142" s="112"/>
      <c r="W142" s="114"/>
      <c r="X142" s="111"/>
      <c r="Y142" s="114"/>
      <c r="Z142" s="115"/>
      <c r="AB142" s="111"/>
      <c r="AC142" s="111"/>
      <c r="AD142" s="110"/>
      <c r="AE142" s="110"/>
    </row>
    <row r="143" spans="1:36" s="88" customFormat="1" ht="30" customHeight="1" x14ac:dyDescent="0.25">
      <c r="A143" s="95">
        <f t="shared" ref="A143:A150" si="4">A142+1</f>
        <v>43</v>
      </c>
      <c r="B143" s="103"/>
      <c r="C143" s="97"/>
      <c r="D143" s="103"/>
      <c r="E143" s="97"/>
      <c r="F143" s="314"/>
      <c r="G143" s="111"/>
      <c r="H143" s="112"/>
      <c r="I143" s="112"/>
      <c r="J143" s="113"/>
      <c r="K143" s="112"/>
      <c r="L143" s="112"/>
      <c r="M143" s="112"/>
      <c r="N143" s="111"/>
      <c r="O143" s="112"/>
      <c r="P143" s="112"/>
      <c r="Q143" s="112"/>
      <c r="R143" s="113"/>
      <c r="S143" s="111"/>
      <c r="T143" s="112"/>
      <c r="U143" s="112"/>
      <c r="V143" s="112"/>
      <c r="W143" s="114"/>
      <c r="X143" s="111"/>
      <c r="Y143" s="114"/>
      <c r="Z143" s="115"/>
      <c r="AB143" s="111"/>
      <c r="AC143" s="111"/>
      <c r="AD143" s="110"/>
      <c r="AE143" s="110"/>
    </row>
    <row r="144" spans="1:36" s="88" customFormat="1" ht="30" customHeight="1" x14ac:dyDescent="0.25">
      <c r="A144" s="95">
        <f t="shared" si="4"/>
        <v>44</v>
      </c>
      <c r="B144" s="103"/>
      <c r="C144" s="97"/>
      <c r="D144" s="103"/>
      <c r="E144" s="97"/>
      <c r="F144" s="314"/>
      <c r="G144" s="111"/>
      <c r="H144" s="112"/>
      <c r="I144" s="112"/>
      <c r="J144" s="113"/>
      <c r="K144" s="112"/>
      <c r="L144" s="112"/>
      <c r="M144" s="112"/>
      <c r="N144" s="111"/>
      <c r="O144" s="112"/>
      <c r="P144" s="112"/>
      <c r="Q144" s="112"/>
      <c r="R144" s="113"/>
      <c r="S144" s="111"/>
      <c r="T144" s="112"/>
      <c r="U144" s="112"/>
      <c r="V144" s="112"/>
      <c r="W144" s="114"/>
      <c r="X144" s="111"/>
      <c r="Y144" s="114"/>
      <c r="Z144" s="115"/>
      <c r="AB144" s="111"/>
      <c r="AC144" s="111"/>
      <c r="AD144" s="110"/>
      <c r="AE144" s="110"/>
    </row>
    <row r="145" spans="1:31" s="88" customFormat="1" ht="30" customHeight="1" x14ac:dyDescent="0.25">
      <c r="A145" s="95">
        <f t="shared" si="4"/>
        <v>45</v>
      </c>
      <c r="B145" s="103"/>
      <c r="C145" s="97"/>
      <c r="D145" s="103"/>
      <c r="E145" s="97"/>
      <c r="F145" s="314"/>
      <c r="G145" s="111"/>
      <c r="H145" s="112"/>
      <c r="I145" s="112"/>
      <c r="J145" s="113"/>
      <c r="K145" s="112"/>
      <c r="L145" s="112"/>
      <c r="M145" s="112"/>
      <c r="N145" s="111"/>
      <c r="O145" s="112"/>
      <c r="P145" s="112"/>
      <c r="Q145" s="112"/>
      <c r="R145" s="113"/>
      <c r="S145" s="111"/>
      <c r="T145" s="112"/>
      <c r="U145" s="112"/>
      <c r="V145" s="112"/>
      <c r="W145" s="114"/>
      <c r="X145" s="111"/>
      <c r="Y145" s="114"/>
      <c r="Z145" s="115"/>
      <c r="AB145" s="111"/>
      <c r="AC145" s="111"/>
      <c r="AD145" s="110"/>
      <c r="AE145" s="110"/>
    </row>
    <row r="146" spans="1:31" s="88" customFormat="1" ht="30" customHeight="1" x14ac:dyDescent="0.25">
      <c r="A146" s="95">
        <f t="shared" si="4"/>
        <v>46</v>
      </c>
      <c r="B146" s="103"/>
      <c r="C146" s="97"/>
      <c r="D146" s="103"/>
      <c r="E146" s="97"/>
      <c r="F146" s="314"/>
      <c r="G146" s="111"/>
      <c r="H146" s="112"/>
      <c r="I146" s="112"/>
      <c r="J146" s="113"/>
      <c r="K146" s="112"/>
      <c r="L146" s="112"/>
      <c r="M146" s="112"/>
      <c r="N146" s="111"/>
      <c r="O146" s="112"/>
      <c r="P146" s="112"/>
      <c r="Q146" s="112"/>
      <c r="R146" s="113"/>
      <c r="S146" s="111"/>
      <c r="T146" s="112"/>
      <c r="U146" s="112"/>
      <c r="V146" s="112"/>
      <c r="W146" s="114"/>
      <c r="X146" s="111"/>
      <c r="Y146" s="114"/>
      <c r="Z146" s="115"/>
      <c r="AB146" s="111"/>
      <c r="AC146" s="111"/>
      <c r="AD146" s="110"/>
      <c r="AE146" s="110"/>
    </row>
    <row r="147" spans="1:31" s="88" customFormat="1" ht="30" customHeight="1" x14ac:dyDescent="0.25">
      <c r="A147" s="95">
        <f t="shared" si="4"/>
        <v>47</v>
      </c>
      <c r="B147" s="103"/>
      <c r="C147" s="97"/>
      <c r="D147" s="103"/>
      <c r="E147" s="97"/>
      <c r="F147" s="314"/>
      <c r="G147" s="111"/>
      <c r="H147" s="112"/>
      <c r="I147" s="112"/>
      <c r="J147" s="113"/>
      <c r="K147" s="112"/>
      <c r="L147" s="112"/>
      <c r="M147" s="112"/>
      <c r="N147" s="111"/>
      <c r="O147" s="112"/>
      <c r="P147" s="112"/>
      <c r="Q147" s="112"/>
      <c r="R147" s="113"/>
      <c r="S147" s="111"/>
      <c r="T147" s="112"/>
      <c r="U147" s="112"/>
      <c r="V147" s="112"/>
      <c r="W147" s="114"/>
      <c r="X147" s="111"/>
      <c r="Y147" s="114"/>
      <c r="Z147" s="115"/>
      <c r="AB147" s="111"/>
      <c r="AC147" s="111"/>
      <c r="AD147" s="110"/>
      <c r="AE147" s="110"/>
    </row>
    <row r="148" spans="1:31" s="88" customFormat="1" ht="30" customHeight="1" x14ac:dyDescent="0.25">
      <c r="A148" s="95">
        <f t="shared" si="4"/>
        <v>48</v>
      </c>
      <c r="B148" s="103"/>
      <c r="C148" s="97"/>
      <c r="D148" s="103"/>
      <c r="E148" s="97"/>
      <c r="F148" s="314"/>
      <c r="G148" s="111"/>
      <c r="H148" s="112"/>
      <c r="I148" s="112"/>
      <c r="J148" s="113"/>
      <c r="K148" s="112"/>
      <c r="L148" s="112"/>
      <c r="M148" s="112"/>
      <c r="N148" s="111"/>
      <c r="O148" s="112"/>
      <c r="P148" s="112"/>
      <c r="Q148" s="112"/>
      <c r="R148" s="113"/>
      <c r="S148" s="111"/>
      <c r="T148" s="112"/>
      <c r="U148" s="112"/>
      <c r="V148" s="112"/>
      <c r="W148" s="114"/>
      <c r="X148" s="111"/>
      <c r="Y148" s="114"/>
      <c r="Z148" s="115"/>
      <c r="AB148" s="111"/>
      <c r="AC148" s="111"/>
      <c r="AD148" s="110"/>
      <c r="AE148" s="110"/>
    </row>
    <row r="149" spans="1:31" s="88" customFormat="1" ht="30" customHeight="1" x14ac:dyDescent="0.25">
      <c r="A149" s="95">
        <f t="shared" si="4"/>
        <v>49</v>
      </c>
      <c r="B149" s="103"/>
      <c r="C149" s="97"/>
      <c r="D149" s="103"/>
      <c r="E149" s="103"/>
      <c r="F149" s="293"/>
      <c r="G149" s="111"/>
      <c r="H149" s="112"/>
      <c r="I149" s="112"/>
      <c r="J149" s="113"/>
      <c r="K149" s="112"/>
      <c r="L149" s="112"/>
      <c r="M149" s="112"/>
      <c r="N149" s="111"/>
      <c r="O149" s="112"/>
      <c r="P149" s="112"/>
      <c r="Q149" s="112"/>
      <c r="R149" s="113"/>
      <c r="S149" s="111"/>
      <c r="T149" s="112"/>
      <c r="U149" s="112"/>
      <c r="V149" s="112"/>
      <c r="W149" s="114"/>
      <c r="X149" s="111"/>
      <c r="Y149" s="114"/>
      <c r="Z149" s="115"/>
      <c r="AB149" s="111"/>
      <c r="AC149" s="111"/>
      <c r="AD149" s="110"/>
      <c r="AE149" s="110"/>
    </row>
    <row r="150" spans="1:31" s="88" customFormat="1" ht="30" customHeight="1" thickBot="1" x14ac:dyDescent="0.3">
      <c r="A150" s="95">
        <f t="shared" si="4"/>
        <v>50</v>
      </c>
      <c r="B150" s="103"/>
      <c r="C150" s="97"/>
      <c r="D150" s="103"/>
      <c r="E150" s="103"/>
      <c r="F150" s="296"/>
      <c r="G150" s="111"/>
      <c r="H150" s="112"/>
      <c r="I150" s="112"/>
      <c r="J150" s="113"/>
      <c r="K150" s="112"/>
      <c r="L150" s="112"/>
      <c r="M150" s="112"/>
      <c r="N150" s="111"/>
      <c r="O150" s="112"/>
      <c r="P150" s="112"/>
      <c r="Q150" s="112"/>
      <c r="R150" s="113"/>
      <c r="S150" s="111"/>
      <c r="T150" s="112"/>
      <c r="U150" s="112"/>
      <c r="V150" s="112"/>
      <c r="W150" s="114"/>
      <c r="X150" s="111"/>
      <c r="Y150" s="114"/>
      <c r="Z150" s="115"/>
      <c r="AB150" s="643"/>
      <c r="AC150" s="643"/>
      <c r="AD150" s="644"/>
      <c r="AE150" s="644"/>
    </row>
    <row r="151" spans="1:31" s="5" customFormat="1" ht="18.75" customHeight="1" x14ac:dyDescent="0.2">
      <c r="A151" s="74" t="s">
        <v>106</v>
      </c>
      <c r="B151" s="2"/>
      <c r="C151" s="44"/>
      <c r="D151" s="168"/>
      <c r="E151" s="2"/>
      <c r="F151" s="2"/>
      <c r="G151" s="2"/>
      <c r="H151" s="2"/>
      <c r="I151" s="2"/>
      <c r="J151" s="84"/>
      <c r="K151" s="3"/>
      <c r="L151" s="3"/>
      <c r="M151" s="169"/>
      <c r="N151" s="84" t="s">
        <v>110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4"/>
      <c r="AB151" s="645" t="s">
        <v>50</v>
      </c>
      <c r="AC151" s="646"/>
      <c r="AD151" s="646"/>
      <c r="AE151" s="4"/>
    </row>
    <row r="152" spans="1:31" s="17" customFormat="1" ht="12" customHeight="1" x14ac:dyDescent="0.2">
      <c r="A152" s="137" t="s">
        <v>8</v>
      </c>
      <c r="B152" s="138" t="s">
        <v>91</v>
      </c>
      <c r="C152" s="78"/>
      <c r="D152" s="170" t="s">
        <v>126</v>
      </c>
      <c r="E152" s="138"/>
      <c r="J152" s="76"/>
      <c r="K152" s="85"/>
      <c r="L152" s="76"/>
      <c r="M152" s="171"/>
      <c r="N152" s="159" t="s">
        <v>8</v>
      </c>
      <c r="O152" s="120" t="s">
        <v>127</v>
      </c>
      <c r="Z152" s="77"/>
      <c r="AB152" s="463"/>
      <c r="AC152" s="639"/>
      <c r="AD152" s="639"/>
      <c r="AE152" s="77"/>
    </row>
    <row r="153" spans="1:31" s="17" customFormat="1" ht="12" customHeight="1" x14ac:dyDescent="0.2">
      <c r="A153" s="75"/>
      <c r="B153" s="138" t="s">
        <v>107</v>
      </c>
      <c r="C153" s="78"/>
      <c r="D153" s="170" t="s">
        <v>133</v>
      </c>
      <c r="E153" s="138"/>
      <c r="J153" s="76"/>
      <c r="K153" s="85"/>
      <c r="L153" s="76"/>
      <c r="M153" s="171"/>
      <c r="N153" s="159" t="s">
        <v>9</v>
      </c>
      <c r="O153" s="120" t="s">
        <v>128</v>
      </c>
      <c r="Z153" s="77"/>
      <c r="AB153" s="87" t="s">
        <v>10</v>
      </c>
      <c r="AC153" s="640"/>
      <c r="AD153" s="640"/>
      <c r="AE153" s="77"/>
    </row>
    <row r="154" spans="1:31" s="17" customFormat="1" ht="12" customHeight="1" x14ac:dyDescent="0.2">
      <c r="A154" s="75"/>
      <c r="B154" s="138" t="s">
        <v>108</v>
      </c>
      <c r="C154" s="78"/>
      <c r="D154" s="170" t="s">
        <v>115</v>
      </c>
      <c r="E154" s="138"/>
      <c r="M154" s="171"/>
      <c r="N154" s="159" t="s">
        <v>11</v>
      </c>
      <c r="O154" s="120" t="s">
        <v>129</v>
      </c>
      <c r="Z154" s="77"/>
      <c r="AB154" s="86" t="s">
        <v>173</v>
      </c>
      <c r="AC154" s="640"/>
      <c r="AD154" s="640"/>
      <c r="AE154" s="77"/>
    </row>
    <row r="155" spans="1:31" s="17" customFormat="1" ht="12" customHeight="1" x14ac:dyDescent="0.2">
      <c r="A155" s="137" t="s">
        <v>9</v>
      </c>
      <c r="B155" s="138" t="s">
        <v>109</v>
      </c>
      <c r="C155" s="78"/>
      <c r="D155" s="170" t="s">
        <v>168</v>
      </c>
      <c r="E155" s="138"/>
      <c r="M155" s="171"/>
      <c r="N155" s="159" t="s">
        <v>12</v>
      </c>
      <c r="O155" s="120" t="s">
        <v>130</v>
      </c>
      <c r="Z155" s="77"/>
      <c r="AB155" s="86" t="s">
        <v>174</v>
      </c>
      <c r="AC155" s="640"/>
      <c r="AD155" s="640"/>
      <c r="AE155" s="77"/>
    </row>
    <row r="156" spans="1:31" s="17" customFormat="1" ht="12" customHeight="1" x14ac:dyDescent="0.2">
      <c r="A156" s="137" t="s">
        <v>11</v>
      </c>
      <c r="B156" s="457" t="s">
        <v>123</v>
      </c>
      <c r="C156" s="457"/>
      <c r="D156" s="172"/>
      <c r="J156" s="7"/>
      <c r="K156" s="52"/>
      <c r="L156" s="76"/>
      <c r="M156" s="162"/>
      <c r="N156" s="159" t="s">
        <v>13</v>
      </c>
      <c r="O156" s="120" t="s">
        <v>131</v>
      </c>
      <c r="R156" s="76"/>
      <c r="V156" s="76"/>
      <c r="W156" s="78"/>
      <c r="Z156" s="77"/>
      <c r="AB156" s="86"/>
      <c r="AC156" s="640"/>
      <c r="AD156" s="640"/>
      <c r="AE156" s="77"/>
    </row>
    <row r="157" spans="1:31" s="17" customFormat="1" ht="12" customHeight="1" x14ac:dyDescent="0.2">
      <c r="A157" s="143"/>
      <c r="B157" s="457"/>
      <c r="C157" s="457"/>
      <c r="D157" s="172"/>
      <c r="J157" s="76"/>
      <c r="K157" s="85"/>
      <c r="L157" s="76"/>
      <c r="M157" s="162"/>
      <c r="N157" s="159" t="s">
        <v>111</v>
      </c>
      <c r="O157" s="120" t="s">
        <v>132</v>
      </c>
      <c r="R157" s="76"/>
      <c r="V157" s="76"/>
      <c r="W157" s="78"/>
      <c r="Z157" s="77"/>
      <c r="AB157" s="87" t="s">
        <v>19</v>
      </c>
      <c r="AC157" s="640"/>
      <c r="AD157" s="641"/>
      <c r="AE157" s="77"/>
    </row>
    <row r="158" spans="1:31" s="17" customFormat="1" ht="12.75" customHeight="1" x14ac:dyDescent="0.2">
      <c r="A158" s="143"/>
      <c r="B158" s="457"/>
      <c r="C158" s="457"/>
      <c r="D158" s="166" t="s">
        <v>116</v>
      </c>
      <c r="E158" s="7"/>
      <c r="J158" s="76"/>
      <c r="K158" s="85"/>
      <c r="L158" s="76"/>
      <c r="M158" s="162"/>
      <c r="N158" s="141"/>
      <c r="O158" s="142"/>
      <c r="P158" s="135"/>
      <c r="R158" s="76"/>
      <c r="V158" s="76"/>
      <c r="W158" s="78"/>
      <c r="Z158" s="77"/>
      <c r="AB158" s="86" t="s">
        <v>175</v>
      </c>
      <c r="AC158" s="640"/>
      <c r="AD158" s="641"/>
      <c r="AE158" s="77"/>
    </row>
    <row r="159" spans="1:31" s="17" customFormat="1" ht="12" customHeight="1" x14ac:dyDescent="0.2">
      <c r="A159" s="137" t="s">
        <v>12</v>
      </c>
      <c r="B159" s="457" t="s">
        <v>124</v>
      </c>
      <c r="C159" s="457"/>
      <c r="D159" s="172"/>
      <c r="J159" s="76"/>
      <c r="K159" s="85"/>
      <c r="L159" s="76"/>
      <c r="M159" s="162"/>
      <c r="N159" s="7" t="s">
        <v>46</v>
      </c>
      <c r="R159" s="76"/>
      <c r="V159" s="76"/>
      <c r="W159" s="78"/>
      <c r="Z159" s="77"/>
      <c r="AB159" s="86" t="s">
        <v>176</v>
      </c>
      <c r="AC159" s="640"/>
      <c r="AD159" s="640"/>
      <c r="AE159" s="77"/>
    </row>
    <row r="160" spans="1:31" s="17" customFormat="1" ht="12" customHeight="1" x14ac:dyDescent="0.2">
      <c r="A160" s="143"/>
      <c r="B160" s="457"/>
      <c r="C160" s="457"/>
      <c r="D160" s="166" t="s">
        <v>44</v>
      </c>
      <c r="E160" s="7"/>
      <c r="J160" s="76"/>
      <c r="K160" s="85"/>
      <c r="L160" s="76"/>
      <c r="M160" s="162"/>
      <c r="N160" s="144" t="s">
        <v>47</v>
      </c>
      <c r="V160" s="76"/>
      <c r="W160" s="78"/>
      <c r="Z160" s="77"/>
      <c r="AB160" s="143"/>
      <c r="AC160" s="640"/>
      <c r="AD160" s="640"/>
      <c r="AE160" s="77"/>
    </row>
    <row r="161" spans="1:36" s="17" customFormat="1" ht="12" customHeight="1" x14ac:dyDescent="0.2">
      <c r="A161" s="143"/>
      <c r="B161" s="457"/>
      <c r="C161" s="457"/>
      <c r="D161" s="151" t="s">
        <v>167</v>
      </c>
      <c r="E161" s="144"/>
      <c r="J161" s="76"/>
      <c r="M161" s="171"/>
      <c r="N161" s="144" t="s">
        <v>48</v>
      </c>
      <c r="V161" s="76"/>
      <c r="W161" s="78"/>
      <c r="Z161" s="77"/>
      <c r="AB161" s="86"/>
      <c r="AC161" s="640"/>
      <c r="AD161" s="640"/>
      <c r="AE161" s="77"/>
    </row>
    <row r="162" spans="1:36" s="17" customFormat="1" ht="12" customHeight="1" x14ac:dyDescent="0.2">
      <c r="A162" s="137" t="s">
        <v>13</v>
      </c>
      <c r="B162" s="457" t="s">
        <v>125</v>
      </c>
      <c r="C162" s="457"/>
      <c r="D162" s="151" t="s">
        <v>45</v>
      </c>
      <c r="E162" s="144"/>
      <c r="J162" s="76"/>
      <c r="M162" s="171"/>
      <c r="N162" s="144" t="s">
        <v>49</v>
      </c>
      <c r="V162" s="76"/>
      <c r="W162" s="78"/>
      <c r="Z162" s="77"/>
      <c r="AB162" s="86"/>
      <c r="AC162" s="642"/>
      <c r="AD162" s="642"/>
      <c r="AE162" s="77"/>
    </row>
    <row r="163" spans="1:36" s="17" customFormat="1" ht="12.75" customHeight="1" thickBot="1" x14ac:dyDescent="0.25">
      <c r="A163" s="79"/>
      <c r="B163" s="480"/>
      <c r="C163" s="480"/>
      <c r="D163" s="167"/>
      <c r="E163" s="80"/>
      <c r="F163" s="80"/>
      <c r="G163" s="80"/>
      <c r="H163" s="80"/>
      <c r="I163" s="80"/>
      <c r="J163" s="81"/>
      <c r="K163" s="80"/>
      <c r="L163" s="80"/>
      <c r="M163" s="173"/>
      <c r="N163" s="80"/>
      <c r="O163" s="80"/>
      <c r="P163" s="80"/>
      <c r="Q163" s="80"/>
      <c r="R163" s="80"/>
      <c r="S163" s="80"/>
      <c r="T163" s="80"/>
      <c r="U163" s="80"/>
      <c r="V163" s="81"/>
      <c r="W163" s="82"/>
      <c r="X163" s="80"/>
      <c r="Y163" s="80"/>
      <c r="Z163" s="83"/>
      <c r="AB163" s="79"/>
      <c r="AC163" s="80"/>
      <c r="AD163" s="80"/>
      <c r="AE163" s="83"/>
    </row>
    <row r="164" spans="1:36" s="133" customFormat="1" ht="18" customHeight="1" x14ac:dyDescent="0.2">
      <c r="A164" s="134" t="s">
        <v>119</v>
      </c>
      <c r="B164" s="145"/>
      <c r="C164" s="146"/>
      <c r="J164" s="147"/>
      <c r="V164" s="147"/>
      <c r="W164" s="148"/>
    </row>
    <row r="165" spans="1:36" s="18" customFormat="1" ht="15" customHeight="1" x14ac:dyDescent="0.2">
      <c r="A165" s="134" t="s">
        <v>122</v>
      </c>
      <c r="C165" s="19"/>
      <c r="AI165" s="19"/>
      <c r="AJ165" s="19"/>
    </row>
    <row r="166" spans="1:36" s="18" customFormat="1" ht="7.5" customHeight="1" x14ac:dyDescent="0.2">
      <c r="C166" s="19"/>
      <c r="AI166" s="19"/>
      <c r="AJ166" s="19"/>
    </row>
    <row r="167" spans="1:36" s="88" customFormat="1" ht="15" x14ac:dyDescent="0.25">
      <c r="B167" s="88" t="s">
        <v>53</v>
      </c>
      <c r="C167" s="89"/>
      <c r="F167" s="88" t="s">
        <v>54</v>
      </c>
      <c r="Y167" s="88" t="s">
        <v>55</v>
      </c>
      <c r="AI167" s="89"/>
      <c r="AJ167" s="89"/>
    </row>
    <row r="168" spans="1:36" s="18" customFormat="1" ht="21.75" customHeight="1" x14ac:dyDescent="0.2">
      <c r="C168" s="19"/>
      <c r="AI168" s="19"/>
      <c r="AJ168" s="19"/>
    </row>
    <row r="169" spans="1:36" s="18" customFormat="1" ht="22.5" customHeight="1" x14ac:dyDescent="0.2">
      <c r="C169" s="19"/>
      <c r="AI169" s="19"/>
      <c r="AJ169" s="19"/>
    </row>
    <row r="170" spans="1:36" s="18" customFormat="1" ht="17.25" customHeight="1" x14ac:dyDescent="0.2">
      <c r="B170" s="90"/>
      <c r="C170" s="19"/>
      <c r="F170" s="90"/>
      <c r="G170" s="90"/>
      <c r="H170" s="90"/>
      <c r="I170" s="90"/>
      <c r="J170" s="90"/>
      <c r="K170" s="90"/>
      <c r="L170" s="90"/>
      <c r="M170" s="90"/>
      <c r="Y170" s="90"/>
      <c r="Z170" s="90"/>
      <c r="AA170" s="90"/>
      <c r="AB170" s="90"/>
      <c r="AC170" s="90"/>
      <c r="AI170" s="19"/>
      <c r="AJ170" s="19"/>
    </row>
    <row r="171" spans="1:36" s="18" customFormat="1" ht="18" customHeight="1" x14ac:dyDescent="0.2">
      <c r="B171" s="18" t="s">
        <v>56</v>
      </c>
      <c r="C171" s="19"/>
      <c r="F171" s="18" t="s">
        <v>56</v>
      </c>
      <c r="Y171" s="18" t="s">
        <v>57</v>
      </c>
      <c r="AI171" s="19"/>
      <c r="AJ171" s="19"/>
    </row>
    <row r="172" spans="1:36" s="18" customFormat="1" ht="15.75" customHeight="1" x14ac:dyDescent="0.2">
      <c r="B172" s="18" t="s">
        <v>58</v>
      </c>
      <c r="C172" s="19"/>
      <c r="F172" s="18" t="s">
        <v>59</v>
      </c>
      <c r="Y172" s="18" t="s">
        <v>58</v>
      </c>
      <c r="AI172" s="19"/>
      <c r="AJ172" s="19"/>
    </row>
    <row r="174" spans="1:36" s="6" customFormat="1" ht="21" customHeight="1" x14ac:dyDescent="0.25">
      <c r="A174" s="393" t="s">
        <v>264</v>
      </c>
      <c r="C174" s="48"/>
    </row>
  </sheetData>
  <mergeCells count="48">
    <mergeCell ref="AE4:AE7"/>
    <mergeCell ref="B96:C97"/>
    <mergeCell ref="AB118:AD119"/>
    <mergeCell ref="B123:C125"/>
    <mergeCell ref="B162:C163"/>
    <mergeCell ref="B126:C128"/>
    <mergeCell ref="B129:C130"/>
    <mergeCell ref="AB151:AD152"/>
    <mergeCell ref="B156:C158"/>
    <mergeCell ref="B159:C161"/>
    <mergeCell ref="X6:Y6"/>
    <mergeCell ref="AB85:AD86"/>
    <mergeCell ref="M6:M7"/>
    <mergeCell ref="B90:C92"/>
    <mergeCell ref="B93:C95"/>
    <mergeCell ref="G5:M5"/>
    <mergeCell ref="N5:W5"/>
    <mergeCell ref="A4:A8"/>
    <mergeCell ref="B4:B8"/>
    <mergeCell ref="C4:C8"/>
    <mergeCell ref="D4:D8"/>
    <mergeCell ref="F4:F8"/>
    <mergeCell ref="L6:L7"/>
    <mergeCell ref="N6:R6"/>
    <mergeCell ref="S6:W6"/>
    <mergeCell ref="G6:G7"/>
    <mergeCell ref="A1:AD1"/>
    <mergeCell ref="A2:AD2"/>
    <mergeCell ref="Z4:Z7"/>
    <mergeCell ref="AB52:AD53"/>
    <mergeCell ref="AB4:AC4"/>
    <mergeCell ref="AD4:AD7"/>
    <mergeCell ref="AB5:AC5"/>
    <mergeCell ref="AB19:AD20"/>
    <mergeCell ref="H6:H7"/>
    <mergeCell ref="I6:I7"/>
    <mergeCell ref="J6:J7"/>
    <mergeCell ref="K6:K7"/>
    <mergeCell ref="G4:M4"/>
    <mergeCell ref="N4:W4"/>
    <mergeCell ref="X4:Y5"/>
    <mergeCell ref="B57:C59"/>
    <mergeCell ref="B60:C62"/>
    <mergeCell ref="B63:C64"/>
    <mergeCell ref="E4:E8"/>
    <mergeCell ref="B24:C26"/>
    <mergeCell ref="B27:C29"/>
    <mergeCell ref="B30:C31"/>
  </mergeCells>
  <phoneticPr fontId="0" type="noConversion"/>
  <pageMargins left="0.32" right="0.15748031496063" top="0.21" bottom="0.15748031496063" header="0.23" footer="0.15748031496063"/>
  <pageSetup paperSize="5" scale="68" orientation="landscape" r:id="rId1"/>
  <headerFooter alignWithMargins="0"/>
  <rowBreaks count="4" manualBreakCount="4">
    <brk id="41" max="30" man="1"/>
    <brk id="74" max="30" man="1"/>
    <brk id="107" max="30" man="1"/>
    <brk id="140" max="30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6E523-89BD-42DA-A44B-37A3FD3762FF}">
  <sheetPr>
    <tabColor rgb="FF0070C0"/>
  </sheetPr>
  <dimension ref="A1:AE154"/>
  <sheetViews>
    <sheetView showGridLines="0" view="pageBreakPreview" zoomScaleNormal="100" zoomScaleSheetLayoutView="100" workbookViewId="0">
      <selection activeCell="L12" sqref="L12"/>
    </sheetView>
  </sheetViews>
  <sheetFormatPr defaultColWidth="3.7109375" defaultRowHeight="11.25" x14ac:dyDescent="0.2"/>
  <cols>
    <col min="1" max="1" width="4.85546875" style="264" customWidth="1"/>
    <col min="2" max="2" width="31.42578125" style="264" customWidth="1"/>
    <col min="3" max="8" width="5" style="264" customWidth="1"/>
    <col min="9" max="9" width="6" style="264" customWidth="1"/>
    <col min="10" max="11" width="6.28515625" style="264" customWidth="1"/>
    <col min="12" max="12" width="7.140625" style="264" customWidth="1"/>
    <col min="13" max="13" width="9.140625" style="264" customWidth="1"/>
    <col min="14" max="14" width="5.7109375" style="264" customWidth="1"/>
    <col min="15" max="15" width="6.140625" style="264" customWidth="1"/>
    <col min="16" max="16" width="1.7109375" style="264" customWidth="1"/>
    <col min="17" max="25" width="3.7109375" style="264"/>
    <col min="26" max="26" width="34.140625" style="264" customWidth="1"/>
    <col min="27" max="246" width="3.7109375" style="264"/>
    <col min="247" max="247" width="24.5703125" style="264" customWidth="1"/>
    <col min="248" max="253" width="3.7109375" style="264"/>
    <col min="254" max="254" width="4.28515625" style="264" customWidth="1"/>
    <col min="255" max="258" width="3.7109375" style="264"/>
    <col min="259" max="259" width="4.28515625" style="264" customWidth="1"/>
    <col min="260" max="260" width="4.7109375" style="264" customWidth="1"/>
    <col min="261" max="261" width="1.7109375" style="264" customWidth="1"/>
    <col min="262" max="502" width="3.7109375" style="264"/>
    <col min="503" max="503" width="24.5703125" style="264" customWidth="1"/>
    <col min="504" max="509" width="3.7109375" style="264"/>
    <col min="510" max="510" width="4.28515625" style="264" customWidth="1"/>
    <col min="511" max="514" width="3.7109375" style="264"/>
    <col min="515" max="515" width="4.28515625" style="264" customWidth="1"/>
    <col min="516" max="516" width="4.7109375" style="264" customWidth="1"/>
    <col min="517" max="517" width="1.7109375" style="264" customWidth="1"/>
    <col min="518" max="758" width="3.7109375" style="264"/>
    <col min="759" max="759" width="24.5703125" style="264" customWidth="1"/>
    <col min="760" max="765" width="3.7109375" style="264"/>
    <col min="766" max="766" width="4.28515625" style="264" customWidth="1"/>
    <col min="767" max="770" width="3.7109375" style="264"/>
    <col min="771" max="771" width="4.28515625" style="264" customWidth="1"/>
    <col min="772" max="772" width="4.7109375" style="264" customWidth="1"/>
    <col min="773" max="773" width="1.7109375" style="264" customWidth="1"/>
    <col min="774" max="1014" width="3.7109375" style="264"/>
    <col min="1015" max="1015" width="24.5703125" style="264" customWidth="1"/>
    <col min="1016" max="1021" width="3.7109375" style="264"/>
    <col min="1022" max="1022" width="4.28515625" style="264" customWidth="1"/>
    <col min="1023" max="1026" width="3.7109375" style="264"/>
    <col min="1027" max="1027" width="4.28515625" style="264" customWidth="1"/>
    <col min="1028" max="1028" width="4.7109375" style="264" customWidth="1"/>
    <col min="1029" max="1029" width="1.7109375" style="264" customWidth="1"/>
    <col min="1030" max="1270" width="3.7109375" style="264"/>
    <col min="1271" max="1271" width="24.5703125" style="264" customWidth="1"/>
    <col min="1272" max="1277" width="3.7109375" style="264"/>
    <col min="1278" max="1278" width="4.28515625" style="264" customWidth="1"/>
    <col min="1279" max="1282" width="3.7109375" style="264"/>
    <col min="1283" max="1283" width="4.28515625" style="264" customWidth="1"/>
    <col min="1284" max="1284" width="4.7109375" style="264" customWidth="1"/>
    <col min="1285" max="1285" width="1.7109375" style="264" customWidth="1"/>
    <col min="1286" max="1526" width="3.7109375" style="264"/>
    <col min="1527" max="1527" width="24.5703125" style="264" customWidth="1"/>
    <col min="1528" max="1533" width="3.7109375" style="264"/>
    <col min="1534" max="1534" width="4.28515625" style="264" customWidth="1"/>
    <col min="1535" max="1538" width="3.7109375" style="264"/>
    <col min="1539" max="1539" width="4.28515625" style="264" customWidth="1"/>
    <col min="1540" max="1540" width="4.7109375" style="264" customWidth="1"/>
    <col min="1541" max="1541" width="1.7109375" style="264" customWidth="1"/>
    <col min="1542" max="1782" width="3.7109375" style="264"/>
    <col min="1783" max="1783" width="24.5703125" style="264" customWidth="1"/>
    <col min="1784" max="1789" width="3.7109375" style="264"/>
    <col min="1790" max="1790" width="4.28515625" style="264" customWidth="1"/>
    <col min="1791" max="1794" width="3.7109375" style="264"/>
    <col min="1795" max="1795" width="4.28515625" style="264" customWidth="1"/>
    <col min="1796" max="1796" width="4.7109375" style="264" customWidth="1"/>
    <col min="1797" max="1797" width="1.7109375" style="264" customWidth="1"/>
    <col min="1798" max="2038" width="3.7109375" style="264"/>
    <col min="2039" max="2039" width="24.5703125" style="264" customWidth="1"/>
    <col min="2040" max="2045" width="3.7109375" style="264"/>
    <col min="2046" max="2046" width="4.28515625" style="264" customWidth="1"/>
    <col min="2047" max="2050" width="3.7109375" style="264"/>
    <col min="2051" max="2051" width="4.28515625" style="264" customWidth="1"/>
    <col min="2052" max="2052" width="4.7109375" style="264" customWidth="1"/>
    <col min="2053" max="2053" width="1.7109375" style="264" customWidth="1"/>
    <col min="2054" max="2294" width="3.7109375" style="264"/>
    <col min="2295" max="2295" width="24.5703125" style="264" customWidth="1"/>
    <col min="2296" max="2301" width="3.7109375" style="264"/>
    <col min="2302" max="2302" width="4.28515625" style="264" customWidth="1"/>
    <col min="2303" max="2306" width="3.7109375" style="264"/>
    <col min="2307" max="2307" width="4.28515625" style="264" customWidth="1"/>
    <col min="2308" max="2308" width="4.7109375" style="264" customWidth="1"/>
    <col min="2309" max="2309" width="1.7109375" style="264" customWidth="1"/>
    <col min="2310" max="2550" width="3.7109375" style="264"/>
    <col min="2551" max="2551" width="24.5703125" style="264" customWidth="1"/>
    <col min="2552" max="2557" width="3.7109375" style="264"/>
    <col min="2558" max="2558" width="4.28515625" style="264" customWidth="1"/>
    <col min="2559" max="2562" width="3.7109375" style="264"/>
    <col min="2563" max="2563" width="4.28515625" style="264" customWidth="1"/>
    <col min="2564" max="2564" width="4.7109375" style="264" customWidth="1"/>
    <col min="2565" max="2565" width="1.7109375" style="264" customWidth="1"/>
    <col min="2566" max="2806" width="3.7109375" style="264"/>
    <col min="2807" max="2807" width="24.5703125" style="264" customWidth="1"/>
    <col min="2808" max="2813" width="3.7109375" style="264"/>
    <col min="2814" max="2814" width="4.28515625" style="264" customWidth="1"/>
    <col min="2815" max="2818" width="3.7109375" style="264"/>
    <col min="2819" max="2819" width="4.28515625" style="264" customWidth="1"/>
    <col min="2820" max="2820" width="4.7109375" style="264" customWidth="1"/>
    <col min="2821" max="2821" width="1.7109375" style="264" customWidth="1"/>
    <col min="2822" max="3062" width="3.7109375" style="264"/>
    <col min="3063" max="3063" width="24.5703125" style="264" customWidth="1"/>
    <col min="3064" max="3069" width="3.7109375" style="264"/>
    <col min="3070" max="3070" width="4.28515625" style="264" customWidth="1"/>
    <col min="3071" max="3074" width="3.7109375" style="264"/>
    <col min="3075" max="3075" width="4.28515625" style="264" customWidth="1"/>
    <col min="3076" max="3076" width="4.7109375" style="264" customWidth="1"/>
    <col min="3077" max="3077" width="1.7109375" style="264" customWidth="1"/>
    <col min="3078" max="3318" width="3.7109375" style="264"/>
    <col min="3319" max="3319" width="24.5703125" style="264" customWidth="1"/>
    <col min="3320" max="3325" width="3.7109375" style="264"/>
    <col min="3326" max="3326" width="4.28515625" style="264" customWidth="1"/>
    <col min="3327" max="3330" width="3.7109375" style="264"/>
    <col min="3331" max="3331" width="4.28515625" style="264" customWidth="1"/>
    <col min="3332" max="3332" width="4.7109375" style="264" customWidth="1"/>
    <col min="3333" max="3333" width="1.7109375" style="264" customWidth="1"/>
    <col min="3334" max="3574" width="3.7109375" style="264"/>
    <col min="3575" max="3575" width="24.5703125" style="264" customWidth="1"/>
    <col min="3576" max="3581" width="3.7109375" style="264"/>
    <col min="3582" max="3582" width="4.28515625" style="264" customWidth="1"/>
    <col min="3583" max="3586" width="3.7109375" style="264"/>
    <col min="3587" max="3587" width="4.28515625" style="264" customWidth="1"/>
    <col min="3588" max="3588" width="4.7109375" style="264" customWidth="1"/>
    <col min="3589" max="3589" width="1.7109375" style="264" customWidth="1"/>
    <col min="3590" max="3830" width="3.7109375" style="264"/>
    <col min="3831" max="3831" width="24.5703125" style="264" customWidth="1"/>
    <col min="3832" max="3837" width="3.7109375" style="264"/>
    <col min="3838" max="3838" width="4.28515625" style="264" customWidth="1"/>
    <col min="3839" max="3842" width="3.7109375" style="264"/>
    <col min="3843" max="3843" width="4.28515625" style="264" customWidth="1"/>
    <col min="3844" max="3844" width="4.7109375" style="264" customWidth="1"/>
    <col min="3845" max="3845" width="1.7109375" style="264" customWidth="1"/>
    <col min="3846" max="4086" width="3.7109375" style="264"/>
    <col min="4087" max="4087" width="24.5703125" style="264" customWidth="1"/>
    <col min="4088" max="4093" width="3.7109375" style="264"/>
    <col min="4094" max="4094" width="4.28515625" style="264" customWidth="1"/>
    <col min="4095" max="4098" width="3.7109375" style="264"/>
    <col min="4099" max="4099" width="4.28515625" style="264" customWidth="1"/>
    <col min="4100" max="4100" width="4.7109375" style="264" customWidth="1"/>
    <col min="4101" max="4101" width="1.7109375" style="264" customWidth="1"/>
    <col min="4102" max="4342" width="3.7109375" style="264"/>
    <col min="4343" max="4343" width="24.5703125" style="264" customWidth="1"/>
    <col min="4344" max="4349" width="3.7109375" style="264"/>
    <col min="4350" max="4350" width="4.28515625" style="264" customWidth="1"/>
    <col min="4351" max="4354" width="3.7109375" style="264"/>
    <col min="4355" max="4355" width="4.28515625" style="264" customWidth="1"/>
    <col min="4356" max="4356" width="4.7109375" style="264" customWidth="1"/>
    <col min="4357" max="4357" width="1.7109375" style="264" customWidth="1"/>
    <col min="4358" max="4598" width="3.7109375" style="264"/>
    <col min="4599" max="4599" width="24.5703125" style="264" customWidth="1"/>
    <col min="4600" max="4605" width="3.7109375" style="264"/>
    <col min="4606" max="4606" width="4.28515625" style="264" customWidth="1"/>
    <col min="4607" max="4610" width="3.7109375" style="264"/>
    <col min="4611" max="4611" width="4.28515625" style="264" customWidth="1"/>
    <col min="4612" max="4612" width="4.7109375" style="264" customWidth="1"/>
    <col min="4613" max="4613" width="1.7109375" style="264" customWidth="1"/>
    <col min="4614" max="4854" width="3.7109375" style="264"/>
    <col min="4855" max="4855" width="24.5703125" style="264" customWidth="1"/>
    <col min="4856" max="4861" width="3.7109375" style="264"/>
    <col min="4862" max="4862" width="4.28515625" style="264" customWidth="1"/>
    <col min="4863" max="4866" width="3.7109375" style="264"/>
    <col min="4867" max="4867" width="4.28515625" style="264" customWidth="1"/>
    <col min="4868" max="4868" width="4.7109375" style="264" customWidth="1"/>
    <col min="4869" max="4869" width="1.7109375" style="264" customWidth="1"/>
    <col min="4870" max="5110" width="3.7109375" style="264"/>
    <col min="5111" max="5111" width="24.5703125" style="264" customWidth="1"/>
    <col min="5112" max="5117" width="3.7109375" style="264"/>
    <col min="5118" max="5118" width="4.28515625" style="264" customWidth="1"/>
    <col min="5119" max="5122" width="3.7109375" style="264"/>
    <col min="5123" max="5123" width="4.28515625" style="264" customWidth="1"/>
    <col min="5124" max="5124" width="4.7109375" style="264" customWidth="1"/>
    <col min="5125" max="5125" width="1.7109375" style="264" customWidth="1"/>
    <col min="5126" max="5366" width="3.7109375" style="264"/>
    <col min="5367" max="5367" width="24.5703125" style="264" customWidth="1"/>
    <col min="5368" max="5373" width="3.7109375" style="264"/>
    <col min="5374" max="5374" width="4.28515625" style="264" customWidth="1"/>
    <col min="5375" max="5378" width="3.7109375" style="264"/>
    <col min="5379" max="5379" width="4.28515625" style="264" customWidth="1"/>
    <col min="5380" max="5380" width="4.7109375" style="264" customWidth="1"/>
    <col min="5381" max="5381" width="1.7109375" style="264" customWidth="1"/>
    <col min="5382" max="5622" width="3.7109375" style="264"/>
    <col min="5623" max="5623" width="24.5703125" style="264" customWidth="1"/>
    <col min="5624" max="5629" width="3.7109375" style="264"/>
    <col min="5630" max="5630" width="4.28515625" style="264" customWidth="1"/>
    <col min="5631" max="5634" width="3.7109375" style="264"/>
    <col min="5635" max="5635" width="4.28515625" style="264" customWidth="1"/>
    <col min="5636" max="5636" width="4.7109375" style="264" customWidth="1"/>
    <col min="5637" max="5637" width="1.7109375" style="264" customWidth="1"/>
    <col min="5638" max="5878" width="3.7109375" style="264"/>
    <col min="5879" max="5879" width="24.5703125" style="264" customWidth="1"/>
    <col min="5880" max="5885" width="3.7109375" style="264"/>
    <col min="5886" max="5886" width="4.28515625" style="264" customWidth="1"/>
    <col min="5887" max="5890" width="3.7109375" style="264"/>
    <col min="5891" max="5891" width="4.28515625" style="264" customWidth="1"/>
    <col min="5892" max="5892" width="4.7109375" style="264" customWidth="1"/>
    <col min="5893" max="5893" width="1.7109375" style="264" customWidth="1"/>
    <col min="5894" max="6134" width="3.7109375" style="264"/>
    <col min="6135" max="6135" width="24.5703125" style="264" customWidth="1"/>
    <col min="6136" max="6141" width="3.7109375" style="264"/>
    <col min="6142" max="6142" width="4.28515625" style="264" customWidth="1"/>
    <col min="6143" max="6146" width="3.7109375" style="264"/>
    <col min="6147" max="6147" width="4.28515625" style="264" customWidth="1"/>
    <col min="6148" max="6148" width="4.7109375" style="264" customWidth="1"/>
    <col min="6149" max="6149" width="1.7109375" style="264" customWidth="1"/>
    <col min="6150" max="6390" width="3.7109375" style="264"/>
    <col min="6391" max="6391" width="24.5703125" style="264" customWidth="1"/>
    <col min="6392" max="6397" width="3.7109375" style="264"/>
    <col min="6398" max="6398" width="4.28515625" style="264" customWidth="1"/>
    <col min="6399" max="6402" width="3.7109375" style="264"/>
    <col min="6403" max="6403" width="4.28515625" style="264" customWidth="1"/>
    <col min="6404" max="6404" width="4.7109375" style="264" customWidth="1"/>
    <col min="6405" max="6405" width="1.7109375" style="264" customWidth="1"/>
    <col min="6406" max="6646" width="3.7109375" style="264"/>
    <col min="6647" max="6647" width="24.5703125" style="264" customWidth="1"/>
    <col min="6648" max="6653" width="3.7109375" style="264"/>
    <col min="6654" max="6654" width="4.28515625" style="264" customWidth="1"/>
    <col min="6655" max="6658" width="3.7109375" style="264"/>
    <col min="6659" max="6659" width="4.28515625" style="264" customWidth="1"/>
    <col min="6660" max="6660" width="4.7109375" style="264" customWidth="1"/>
    <col min="6661" max="6661" width="1.7109375" style="264" customWidth="1"/>
    <col min="6662" max="6902" width="3.7109375" style="264"/>
    <col min="6903" max="6903" width="24.5703125" style="264" customWidth="1"/>
    <col min="6904" max="6909" width="3.7109375" style="264"/>
    <col min="6910" max="6910" width="4.28515625" style="264" customWidth="1"/>
    <col min="6911" max="6914" width="3.7109375" style="264"/>
    <col min="6915" max="6915" width="4.28515625" style="264" customWidth="1"/>
    <col min="6916" max="6916" width="4.7109375" style="264" customWidth="1"/>
    <col min="6917" max="6917" width="1.7109375" style="264" customWidth="1"/>
    <col min="6918" max="7158" width="3.7109375" style="264"/>
    <col min="7159" max="7159" width="24.5703125" style="264" customWidth="1"/>
    <col min="7160" max="7165" width="3.7109375" style="264"/>
    <col min="7166" max="7166" width="4.28515625" style="264" customWidth="1"/>
    <col min="7167" max="7170" width="3.7109375" style="264"/>
    <col min="7171" max="7171" width="4.28515625" style="264" customWidth="1"/>
    <col min="7172" max="7172" width="4.7109375" style="264" customWidth="1"/>
    <col min="7173" max="7173" width="1.7109375" style="264" customWidth="1"/>
    <col min="7174" max="7414" width="3.7109375" style="264"/>
    <col min="7415" max="7415" width="24.5703125" style="264" customWidth="1"/>
    <col min="7416" max="7421" width="3.7109375" style="264"/>
    <col min="7422" max="7422" width="4.28515625" style="264" customWidth="1"/>
    <col min="7423" max="7426" width="3.7109375" style="264"/>
    <col min="7427" max="7427" width="4.28515625" style="264" customWidth="1"/>
    <col min="7428" max="7428" width="4.7109375" style="264" customWidth="1"/>
    <col min="7429" max="7429" width="1.7109375" style="264" customWidth="1"/>
    <col min="7430" max="7670" width="3.7109375" style="264"/>
    <col min="7671" max="7671" width="24.5703125" style="264" customWidth="1"/>
    <col min="7672" max="7677" width="3.7109375" style="264"/>
    <col min="7678" max="7678" width="4.28515625" style="264" customWidth="1"/>
    <col min="7679" max="7682" width="3.7109375" style="264"/>
    <col min="7683" max="7683" width="4.28515625" style="264" customWidth="1"/>
    <col min="7684" max="7684" width="4.7109375" style="264" customWidth="1"/>
    <col min="7685" max="7685" width="1.7109375" style="264" customWidth="1"/>
    <col min="7686" max="7926" width="3.7109375" style="264"/>
    <col min="7927" max="7927" width="24.5703125" style="264" customWidth="1"/>
    <col min="7928" max="7933" width="3.7109375" style="264"/>
    <col min="7934" max="7934" width="4.28515625" style="264" customWidth="1"/>
    <col min="7935" max="7938" width="3.7109375" style="264"/>
    <col min="7939" max="7939" width="4.28515625" style="264" customWidth="1"/>
    <col min="7940" max="7940" width="4.7109375" style="264" customWidth="1"/>
    <col min="7941" max="7941" width="1.7109375" style="264" customWidth="1"/>
    <col min="7942" max="8182" width="3.7109375" style="264"/>
    <col min="8183" max="8183" width="24.5703125" style="264" customWidth="1"/>
    <col min="8184" max="8189" width="3.7109375" style="264"/>
    <col min="8190" max="8190" width="4.28515625" style="264" customWidth="1"/>
    <col min="8191" max="8194" width="3.7109375" style="264"/>
    <col min="8195" max="8195" width="4.28515625" style="264" customWidth="1"/>
    <col min="8196" max="8196" width="4.7109375" style="264" customWidth="1"/>
    <col min="8197" max="8197" width="1.7109375" style="264" customWidth="1"/>
    <col min="8198" max="8438" width="3.7109375" style="264"/>
    <col min="8439" max="8439" width="24.5703125" style="264" customWidth="1"/>
    <col min="8440" max="8445" width="3.7109375" style="264"/>
    <col min="8446" max="8446" width="4.28515625" style="264" customWidth="1"/>
    <col min="8447" max="8450" width="3.7109375" style="264"/>
    <col min="8451" max="8451" width="4.28515625" style="264" customWidth="1"/>
    <col min="8452" max="8452" width="4.7109375" style="264" customWidth="1"/>
    <col min="8453" max="8453" width="1.7109375" style="264" customWidth="1"/>
    <col min="8454" max="8694" width="3.7109375" style="264"/>
    <col min="8695" max="8695" width="24.5703125" style="264" customWidth="1"/>
    <col min="8696" max="8701" width="3.7109375" style="264"/>
    <col min="8702" max="8702" width="4.28515625" style="264" customWidth="1"/>
    <col min="8703" max="8706" width="3.7109375" style="264"/>
    <col min="8707" max="8707" width="4.28515625" style="264" customWidth="1"/>
    <col min="8708" max="8708" width="4.7109375" style="264" customWidth="1"/>
    <col min="8709" max="8709" width="1.7109375" style="264" customWidth="1"/>
    <col min="8710" max="8950" width="3.7109375" style="264"/>
    <col min="8951" max="8951" width="24.5703125" style="264" customWidth="1"/>
    <col min="8952" max="8957" width="3.7109375" style="264"/>
    <col min="8958" max="8958" width="4.28515625" style="264" customWidth="1"/>
    <col min="8959" max="8962" width="3.7109375" style="264"/>
    <col min="8963" max="8963" width="4.28515625" style="264" customWidth="1"/>
    <col min="8964" max="8964" width="4.7109375" style="264" customWidth="1"/>
    <col min="8965" max="8965" width="1.7109375" style="264" customWidth="1"/>
    <col min="8966" max="9206" width="3.7109375" style="264"/>
    <col min="9207" max="9207" width="24.5703125" style="264" customWidth="1"/>
    <col min="9208" max="9213" width="3.7109375" style="264"/>
    <col min="9214" max="9214" width="4.28515625" style="264" customWidth="1"/>
    <col min="9215" max="9218" width="3.7109375" style="264"/>
    <col min="9219" max="9219" width="4.28515625" style="264" customWidth="1"/>
    <col min="9220" max="9220" width="4.7109375" style="264" customWidth="1"/>
    <col min="9221" max="9221" width="1.7109375" style="264" customWidth="1"/>
    <col min="9222" max="9462" width="3.7109375" style="264"/>
    <col min="9463" max="9463" width="24.5703125" style="264" customWidth="1"/>
    <col min="9464" max="9469" width="3.7109375" style="264"/>
    <col min="9470" max="9470" width="4.28515625" style="264" customWidth="1"/>
    <col min="9471" max="9474" width="3.7109375" style="264"/>
    <col min="9475" max="9475" width="4.28515625" style="264" customWidth="1"/>
    <col min="9476" max="9476" width="4.7109375" style="264" customWidth="1"/>
    <col min="9477" max="9477" width="1.7109375" style="264" customWidth="1"/>
    <col min="9478" max="9718" width="3.7109375" style="264"/>
    <col min="9719" max="9719" width="24.5703125" style="264" customWidth="1"/>
    <col min="9720" max="9725" width="3.7109375" style="264"/>
    <col min="9726" max="9726" width="4.28515625" style="264" customWidth="1"/>
    <col min="9727" max="9730" width="3.7109375" style="264"/>
    <col min="9731" max="9731" width="4.28515625" style="264" customWidth="1"/>
    <col min="9732" max="9732" width="4.7109375" style="264" customWidth="1"/>
    <col min="9733" max="9733" width="1.7109375" style="264" customWidth="1"/>
    <col min="9734" max="9974" width="3.7109375" style="264"/>
    <col min="9975" max="9975" width="24.5703125" style="264" customWidth="1"/>
    <col min="9976" max="9981" width="3.7109375" style="264"/>
    <col min="9982" max="9982" width="4.28515625" style="264" customWidth="1"/>
    <col min="9983" max="9986" width="3.7109375" style="264"/>
    <col min="9987" max="9987" width="4.28515625" style="264" customWidth="1"/>
    <col min="9988" max="9988" width="4.7109375" style="264" customWidth="1"/>
    <col min="9989" max="9989" width="1.7109375" style="264" customWidth="1"/>
    <col min="9990" max="10230" width="3.7109375" style="264"/>
    <col min="10231" max="10231" width="24.5703125" style="264" customWidth="1"/>
    <col min="10232" max="10237" width="3.7109375" style="264"/>
    <col min="10238" max="10238" width="4.28515625" style="264" customWidth="1"/>
    <col min="10239" max="10242" width="3.7109375" style="264"/>
    <col min="10243" max="10243" width="4.28515625" style="264" customWidth="1"/>
    <col min="10244" max="10244" width="4.7109375" style="264" customWidth="1"/>
    <col min="10245" max="10245" width="1.7109375" style="264" customWidth="1"/>
    <col min="10246" max="10486" width="3.7109375" style="264"/>
    <col min="10487" max="10487" width="24.5703125" style="264" customWidth="1"/>
    <col min="10488" max="10493" width="3.7109375" style="264"/>
    <col min="10494" max="10494" width="4.28515625" style="264" customWidth="1"/>
    <col min="10495" max="10498" width="3.7109375" style="264"/>
    <col min="10499" max="10499" width="4.28515625" style="264" customWidth="1"/>
    <col min="10500" max="10500" width="4.7109375" style="264" customWidth="1"/>
    <col min="10501" max="10501" width="1.7109375" style="264" customWidth="1"/>
    <col min="10502" max="10742" width="3.7109375" style="264"/>
    <col min="10743" max="10743" width="24.5703125" style="264" customWidth="1"/>
    <col min="10744" max="10749" width="3.7109375" style="264"/>
    <col min="10750" max="10750" width="4.28515625" style="264" customWidth="1"/>
    <col min="10751" max="10754" width="3.7109375" style="264"/>
    <col min="10755" max="10755" width="4.28515625" style="264" customWidth="1"/>
    <col min="10756" max="10756" width="4.7109375" style="264" customWidth="1"/>
    <col min="10757" max="10757" width="1.7109375" style="264" customWidth="1"/>
    <col min="10758" max="10998" width="3.7109375" style="264"/>
    <col min="10999" max="10999" width="24.5703125" style="264" customWidth="1"/>
    <col min="11000" max="11005" width="3.7109375" style="264"/>
    <col min="11006" max="11006" width="4.28515625" style="264" customWidth="1"/>
    <col min="11007" max="11010" width="3.7109375" style="264"/>
    <col min="11011" max="11011" width="4.28515625" style="264" customWidth="1"/>
    <col min="11012" max="11012" width="4.7109375" style="264" customWidth="1"/>
    <col min="11013" max="11013" width="1.7109375" style="264" customWidth="1"/>
    <col min="11014" max="11254" width="3.7109375" style="264"/>
    <col min="11255" max="11255" width="24.5703125" style="264" customWidth="1"/>
    <col min="11256" max="11261" width="3.7109375" style="264"/>
    <col min="11262" max="11262" width="4.28515625" style="264" customWidth="1"/>
    <col min="11263" max="11266" width="3.7109375" style="264"/>
    <col min="11267" max="11267" width="4.28515625" style="264" customWidth="1"/>
    <col min="11268" max="11268" width="4.7109375" style="264" customWidth="1"/>
    <col min="11269" max="11269" width="1.7109375" style="264" customWidth="1"/>
    <col min="11270" max="11510" width="3.7109375" style="264"/>
    <col min="11511" max="11511" width="24.5703125" style="264" customWidth="1"/>
    <col min="11512" max="11517" width="3.7109375" style="264"/>
    <col min="11518" max="11518" width="4.28515625" style="264" customWidth="1"/>
    <col min="11519" max="11522" width="3.7109375" style="264"/>
    <col min="11523" max="11523" width="4.28515625" style="264" customWidth="1"/>
    <col min="11524" max="11524" width="4.7109375" style="264" customWidth="1"/>
    <col min="11525" max="11525" width="1.7109375" style="264" customWidth="1"/>
    <col min="11526" max="11766" width="3.7109375" style="264"/>
    <col min="11767" max="11767" width="24.5703125" style="264" customWidth="1"/>
    <col min="11768" max="11773" width="3.7109375" style="264"/>
    <col min="11774" max="11774" width="4.28515625" style="264" customWidth="1"/>
    <col min="11775" max="11778" width="3.7109375" style="264"/>
    <col min="11779" max="11779" width="4.28515625" style="264" customWidth="1"/>
    <col min="11780" max="11780" width="4.7109375" style="264" customWidth="1"/>
    <col min="11781" max="11781" width="1.7109375" style="264" customWidth="1"/>
    <col min="11782" max="12022" width="3.7109375" style="264"/>
    <col min="12023" max="12023" width="24.5703125" style="264" customWidth="1"/>
    <col min="12024" max="12029" width="3.7109375" style="264"/>
    <col min="12030" max="12030" width="4.28515625" style="264" customWidth="1"/>
    <col min="12031" max="12034" width="3.7109375" style="264"/>
    <col min="12035" max="12035" width="4.28515625" style="264" customWidth="1"/>
    <col min="12036" max="12036" width="4.7109375" style="264" customWidth="1"/>
    <col min="12037" max="12037" width="1.7109375" style="264" customWidth="1"/>
    <col min="12038" max="12278" width="3.7109375" style="264"/>
    <col min="12279" max="12279" width="24.5703125" style="264" customWidth="1"/>
    <col min="12280" max="12285" width="3.7109375" style="264"/>
    <col min="12286" max="12286" width="4.28515625" style="264" customWidth="1"/>
    <col min="12287" max="12290" width="3.7109375" style="264"/>
    <col min="12291" max="12291" width="4.28515625" style="264" customWidth="1"/>
    <col min="12292" max="12292" width="4.7109375" style="264" customWidth="1"/>
    <col min="12293" max="12293" width="1.7109375" style="264" customWidth="1"/>
    <col min="12294" max="12534" width="3.7109375" style="264"/>
    <col min="12535" max="12535" width="24.5703125" style="264" customWidth="1"/>
    <col min="12536" max="12541" width="3.7109375" style="264"/>
    <col min="12542" max="12542" width="4.28515625" style="264" customWidth="1"/>
    <col min="12543" max="12546" width="3.7109375" style="264"/>
    <col min="12547" max="12547" width="4.28515625" style="264" customWidth="1"/>
    <col min="12548" max="12548" width="4.7109375" style="264" customWidth="1"/>
    <col min="12549" max="12549" width="1.7109375" style="264" customWidth="1"/>
    <col min="12550" max="12790" width="3.7109375" style="264"/>
    <col min="12791" max="12791" width="24.5703125" style="264" customWidth="1"/>
    <col min="12792" max="12797" width="3.7109375" style="264"/>
    <col min="12798" max="12798" width="4.28515625" style="264" customWidth="1"/>
    <col min="12799" max="12802" width="3.7109375" style="264"/>
    <col min="12803" max="12803" width="4.28515625" style="264" customWidth="1"/>
    <col min="12804" max="12804" width="4.7109375" style="264" customWidth="1"/>
    <col min="12805" max="12805" width="1.7109375" style="264" customWidth="1"/>
    <col min="12806" max="13046" width="3.7109375" style="264"/>
    <col min="13047" max="13047" width="24.5703125" style="264" customWidth="1"/>
    <col min="13048" max="13053" width="3.7109375" style="264"/>
    <col min="13054" max="13054" width="4.28515625" style="264" customWidth="1"/>
    <col min="13055" max="13058" width="3.7109375" style="264"/>
    <col min="13059" max="13059" width="4.28515625" style="264" customWidth="1"/>
    <col min="13060" max="13060" width="4.7109375" style="264" customWidth="1"/>
    <col min="13061" max="13061" width="1.7109375" style="264" customWidth="1"/>
    <col min="13062" max="13302" width="3.7109375" style="264"/>
    <col min="13303" max="13303" width="24.5703125" style="264" customWidth="1"/>
    <col min="13304" max="13309" width="3.7109375" style="264"/>
    <col min="13310" max="13310" width="4.28515625" style="264" customWidth="1"/>
    <col min="13311" max="13314" width="3.7109375" style="264"/>
    <col min="13315" max="13315" width="4.28515625" style="264" customWidth="1"/>
    <col min="13316" max="13316" width="4.7109375" style="264" customWidth="1"/>
    <col min="13317" max="13317" width="1.7109375" style="264" customWidth="1"/>
    <col min="13318" max="13558" width="3.7109375" style="264"/>
    <col min="13559" max="13559" width="24.5703125" style="264" customWidth="1"/>
    <col min="13560" max="13565" width="3.7109375" style="264"/>
    <col min="13566" max="13566" width="4.28515625" style="264" customWidth="1"/>
    <col min="13567" max="13570" width="3.7109375" style="264"/>
    <col min="13571" max="13571" width="4.28515625" style="264" customWidth="1"/>
    <col min="13572" max="13572" width="4.7109375" style="264" customWidth="1"/>
    <col min="13573" max="13573" width="1.7109375" style="264" customWidth="1"/>
    <col min="13574" max="13814" width="3.7109375" style="264"/>
    <col min="13815" max="13815" width="24.5703125" style="264" customWidth="1"/>
    <col min="13816" max="13821" width="3.7109375" style="264"/>
    <col min="13822" max="13822" width="4.28515625" style="264" customWidth="1"/>
    <col min="13823" max="13826" width="3.7109375" style="264"/>
    <col min="13827" max="13827" width="4.28515625" style="264" customWidth="1"/>
    <col min="13828" max="13828" width="4.7109375" style="264" customWidth="1"/>
    <col min="13829" max="13829" width="1.7109375" style="264" customWidth="1"/>
    <col min="13830" max="14070" width="3.7109375" style="264"/>
    <col min="14071" max="14071" width="24.5703125" style="264" customWidth="1"/>
    <col min="14072" max="14077" width="3.7109375" style="264"/>
    <col min="14078" max="14078" width="4.28515625" style="264" customWidth="1"/>
    <col min="14079" max="14082" width="3.7109375" style="264"/>
    <col min="14083" max="14083" width="4.28515625" style="264" customWidth="1"/>
    <col min="14084" max="14084" width="4.7109375" style="264" customWidth="1"/>
    <col min="14085" max="14085" width="1.7109375" style="264" customWidth="1"/>
    <col min="14086" max="14326" width="3.7109375" style="264"/>
    <col min="14327" max="14327" width="24.5703125" style="264" customWidth="1"/>
    <col min="14328" max="14333" width="3.7109375" style="264"/>
    <col min="14334" max="14334" width="4.28515625" style="264" customWidth="1"/>
    <col min="14335" max="14338" width="3.7109375" style="264"/>
    <col min="14339" max="14339" width="4.28515625" style="264" customWidth="1"/>
    <col min="14340" max="14340" width="4.7109375" style="264" customWidth="1"/>
    <col min="14341" max="14341" width="1.7109375" style="264" customWidth="1"/>
    <col min="14342" max="14582" width="3.7109375" style="264"/>
    <col min="14583" max="14583" width="24.5703125" style="264" customWidth="1"/>
    <col min="14584" max="14589" width="3.7109375" style="264"/>
    <col min="14590" max="14590" width="4.28515625" style="264" customWidth="1"/>
    <col min="14591" max="14594" width="3.7109375" style="264"/>
    <col min="14595" max="14595" width="4.28515625" style="264" customWidth="1"/>
    <col min="14596" max="14596" width="4.7109375" style="264" customWidth="1"/>
    <col min="14597" max="14597" width="1.7109375" style="264" customWidth="1"/>
    <col min="14598" max="14838" width="3.7109375" style="264"/>
    <col min="14839" max="14839" width="24.5703125" style="264" customWidth="1"/>
    <col min="14840" max="14845" width="3.7109375" style="264"/>
    <col min="14846" max="14846" width="4.28515625" style="264" customWidth="1"/>
    <col min="14847" max="14850" width="3.7109375" style="264"/>
    <col min="14851" max="14851" width="4.28515625" style="264" customWidth="1"/>
    <col min="14852" max="14852" width="4.7109375" style="264" customWidth="1"/>
    <col min="14853" max="14853" width="1.7109375" style="264" customWidth="1"/>
    <col min="14854" max="15094" width="3.7109375" style="264"/>
    <col min="15095" max="15095" width="24.5703125" style="264" customWidth="1"/>
    <col min="15096" max="15101" width="3.7109375" style="264"/>
    <col min="15102" max="15102" width="4.28515625" style="264" customWidth="1"/>
    <col min="15103" max="15106" width="3.7109375" style="264"/>
    <col min="15107" max="15107" width="4.28515625" style="264" customWidth="1"/>
    <col min="15108" max="15108" width="4.7109375" style="264" customWidth="1"/>
    <col min="15109" max="15109" width="1.7109375" style="264" customWidth="1"/>
    <col min="15110" max="15350" width="3.7109375" style="264"/>
    <col min="15351" max="15351" width="24.5703125" style="264" customWidth="1"/>
    <col min="15352" max="15357" width="3.7109375" style="264"/>
    <col min="15358" max="15358" width="4.28515625" style="264" customWidth="1"/>
    <col min="15359" max="15362" width="3.7109375" style="264"/>
    <col min="15363" max="15363" width="4.28515625" style="264" customWidth="1"/>
    <col min="15364" max="15364" width="4.7109375" style="264" customWidth="1"/>
    <col min="15365" max="15365" width="1.7109375" style="264" customWidth="1"/>
    <col min="15366" max="15606" width="3.7109375" style="264"/>
    <col min="15607" max="15607" width="24.5703125" style="264" customWidth="1"/>
    <col min="15608" max="15613" width="3.7109375" style="264"/>
    <col min="15614" max="15614" width="4.28515625" style="264" customWidth="1"/>
    <col min="15615" max="15618" width="3.7109375" style="264"/>
    <col min="15619" max="15619" width="4.28515625" style="264" customWidth="1"/>
    <col min="15620" max="15620" width="4.7109375" style="264" customWidth="1"/>
    <col min="15621" max="15621" width="1.7109375" style="264" customWidth="1"/>
    <col min="15622" max="15862" width="3.7109375" style="264"/>
    <col min="15863" max="15863" width="24.5703125" style="264" customWidth="1"/>
    <col min="15864" max="15869" width="3.7109375" style="264"/>
    <col min="15870" max="15870" width="4.28515625" style="264" customWidth="1"/>
    <col min="15871" max="15874" width="3.7109375" style="264"/>
    <col min="15875" max="15875" width="4.28515625" style="264" customWidth="1"/>
    <col min="15876" max="15876" width="4.7109375" style="264" customWidth="1"/>
    <col min="15877" max="15877" width="1.7109375" style="264" customWidth="1"/>
    <col min="15878" max="16118" width="3.7109375" style="264"/>
    <col min="16119" max="16119" width="24.5703125" style="264" customWidth="1"/>
    <col min="16120" max="16125" width="3.7109375" style="264"/>
    <col min="16126" max="16126" width="4.28515625" style="264" customWidth="1"/>
    <col min="16127" max="16130" width="3.7109375" style="264"/>
    <col min="16131" max="16131" width="4.28515625" style="264" customWidth="1"/>
    <col min="16132" max="16132" width="4.7109375" style="264" customWidth="1"/>
    <col min="16133" max="16133" width="1.7109375" style="264" customWidth="1"/>
    <col min="16134" max="16384" width="3.7109375" style="264"/>
  </cols>
  <sheetData>
    <row r="1" spans="1:31" s="102" customFormat="1" ht="22.5" customHeight="1" x14ac:dyDescent="0.2">
      <c r="A1" s="438" t="s">
        <v>18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S1" s="438"/>
      <c r="T1" s="438"/>
      <c r="U1" s="438"/>
      <c r="V1" s="438"/>
      <c r="W1" s="438"/>
      <c r="X1" s="438"/>
      <c r="Y1" s="438"/>
      <c r="Z1" s="438"/>
      <c r="AA1" s="149"/>
      <c r="AB1" s="149"/>
    </row>
    <row r="2" spans="1:31" customFormat="1" ht="22.5" customHeight="1" x14ac:dyDescent="0.2">
      <c r="A2" s="438" t="s">
        <v>248</v>
      </c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438"/>
      <c r="X2" s="438"/>
      <c r="Y2" s="438"/>
      <c r="Z2" s="438"/>
      <c r="AA2" s="149"/>
      <c r="AB2" s="149"/>
      <c r="AC2" s="17"/>
      <c r="AD2" s="17"/>
      <c r="AE2" s="17"/>
    </row>
    <row r="3" spans="1:31" s="41" customFormat="1" ht="21.75" customHeight="1" thickBot="1" x14ac:dyDescent="0.25">
      <c r="A3" s="391" t="s">
        <v>253</v>
      </c>
      <c r="C3" s="40"/>
      <c r="Q3" s="392"/>
      <c r="R3" s="391"/>
    </row>
    <row r="4" spans="1:31" ht="18.75" customHeight="1" x14ac:dyDescent="0.2">
      <c r="A4" s="521" t="s">
        <v>263</v>
      </c>
      <c r="B4" s="533" t="s">
        <v>1</v>
      </c>
      <c r="C4" s="536" t="s">
        <v>169</v>
      </c>
      <c r="D4" s="537"/>
      <c r="E4" s="537"/>
      <c r="F4" s="537"/>
      <c r="G4" s="537"/>
      <c r="H4" s="537"/>
      <c r="I4" s="538"/>
      <c r="J4" s="536" t="s">
        <v>170</v>
      </c>
      <c r="K4" s="537"/>
      <c r="L4" s="537"/>
      <c r="M4" s="537"/>
      <c r="N4" s="539"/>
      <c r="O4" s="540" t="s">
        <v>236</v>
      </c>
      <c r="Q4" s="542" t="s">
        <v>147</v>
      </c>
      <c r="R4" s="543"/>
      <c r="S4" s="543"/>
      <c r="T4" s="543"/>
      <c r="U4" s="543"/>
      <c r="V4" s="543"/>
      <c r="W4" s="543"/>
      <c r="X4" s="543"/>
      <c r="Y4" s="543"/>
      <c r="Z4" s="544"/>
    </row>
    <row r="5" spans="1:31" ht="49.5" customHeight="1" x14ac:dyDescent="0.2">
      <c r="A5" s="522"/>
      <c r="B5" s="534"/>
      <c r="C5" s="545" t="s">
        <v>239</v>
      </c>
      <c r="D5" s="546"/>
      <c r="E5" s="546"/>
      <c r="F5" s="546"/>
      <c r="G5" s="546"/>
      <c r="H5" s="547"/>
      <c r="I5" s="511" t="s">
        <v>3</v>
      </c>
      <c r="J5" s="549" t="s">
        <v>141</v>
      </c>
      <c r="K5" s="509" t="s">
        <v>142</v>
      </c>
      <c r="L5" s="509" t="s">
        <v>143</v>
      </c>
      <c r="M5" s="510" t="s">
        <v>144</v>
      </c>
      <c r="N5" s="511" t="s">
        <v>3</v>
      </c>
      <c r="O5" s="541"/>
      <c r="Q5" s="512"/>
      <c r="R5" s="513"/>
      <c r="S5" s="513"/>
      <c r="T5" s="513"/>
      <c r="U5" s="513"/>
      <c r="V5" s="513"/>
      <c r="W5" s="513"/>
      <c r="X5" s="513"/>
      <c r="Y5" s="513"/>
      <c r="Z5" s="514"/>
    </row>
    <row r="6" spans="1:31" ht="36.75" customHeight="1" x14ac:dyDescent="0.2">
      <c r="A6" s="522"/>
      <c r="B6" s="534"/>
      <c r="C6" s="548"/>
      <c r="D6" s="546"/>
      <c r="E6" s="546"/>
      <c r="F6" s="546"/>
      <c r="G6" s="546"/>
      <c r="H6" s="547"/>
      <c r="I6" s="511"/>
      <c r="J6" s="549"/>
      <c r="K6" s="509"/>
      <c r="L6" s="509"/>
      <c r="M6" s="510"/>
      <c r="N6" s="511"/>
      <c r="O6" s="541"/>
      <c r="Q6" s="515"/>
      <c r="R6" s="516"/>
      <c r="S6" s="516"/>
      <c r="T6" s="516"/>
      <c r="U6" s="516"/>
      <c r="V6" s="516"/>
      <c r="W6" s="516"/>
      <c r="X6" s="516"/>
      <c r="Y6" s="516"/>
      <c r="Z6" s="517"/>
    </row>
    <row r="7" spans="1:31" ht="15" customHeight="1" thickBot="1" x14ac:dyDescent="0.25">
      <c r="A7" s="522"/>
      <c r="B7" s="534"/>
      <c r="C7" s="281">
        <v>1</v>
      </c>
      <c r="D7" s="266">
        <v>2</v>
      </c>
      <c r="E7" s="266">
        <v>3</v>
      </c>
      <c r="F7" s="266">
        <v>4</v>
      </c>
      <c r="G7" s="266">
        <v>5</v>
      </c>
      <c r="H7" s="267">
        <v>6</v>
      </c>
      <c r="I7" s="511"/>
      <c r="J7" s="281">
        <v>1</v>
      </c>
      <c r="K7" s="266">
        <v>2</v>
      </c>
      <c r="L7" s="266">
        <v>3</v>
      </c>
      <c r="M7" s="267">
        <v>4</v>
      </c>
      <c r="N7" s="511"/>
      <c r="O7" s="541"/>
      <c r="Q7" s="518"/>
      <c r="R7" s="519"/>
      <c r="S7" s="519"/>
      <c r="T7" s="519"/>
      <c r="U7" s="519"/>
      <c r="V7" s="519"/>
      <c r="W7" s="519"/>
      <c r="X7" s="519"/>
      <c r="Y7" s="519"/>
      <c r="Z7" s="520"/>
    </row>
    <row r="8" spans="1:31" ht="15" customHeight="1" thickBot="1" x14ac:dyDescent="0.25">
      <c r="A8" s="523"/>
      <c r="B8" s="535"/>
      <c r="C8" s="289">
        <v>10</v>
      </c>
      <c r="D8" s="290">
        <v>10</v>
      </c>
      <c r="E8" s="290">
        <v>10</v>
      </c>
      <c r="F8" s="290">
        <v>10</v>
      </c>
      <c r="G8" s="290">
        <v>10</v>
      </c>
      <c r="H8" s="291">
        <v>10</v>
      </c>
      <c r="I8" s="327">
        <v>60</v>
      </c>
      <c r="J8" s="289">
        <v>10</v>
      </c>
      <c r="K8" s="290">
        <v>10</v>
      </c>
      <c r="L8" s="290">
        <v>10</v>
      </c>
      <c r="M8" s="291">
        <v>10</v>
      </c>
      <c r="N8" s="327">
        <v>40</v>
      </c>
      <c r="O8" s="292">
        <v>100</v>
      </c>
    </row>
    <row r="9" spans="1:31" ht="23.25" customHeight="1" thickBot="1" x14ac:dyDescent="0.25">
      <c r="A9" s="381">
        <v>1</v>
      </c>
      <c r="B9" s="413">
        <f>'2 KYU'!B9</f>
        <v>0</v>
      </c>
      <c r="C9" s="334"/>
      <c r="D9" s="335"/>
      <c r="E9" s="335"/>
      <c r="F9" s="335"/>
      <c r="G9" s="335"/>
      <c r="H9" s="336"/>
      <c r="I9" s="337"/>
      <c r="J9" s="334"/>
      <c r="K9" s="335"/>
      <c r="L9" s="335"/>
      <c r="M9" s="336"/>
      <c r="N9" s="337"/>
      <c r="O9" s="338"/>
      <c r="Q9" s="268"/>
      <c r="R9" s="500" t="s">
        <v>156</v>
      </c>
      <c r="S9" s="501"/>
      <c r="T9" s="501"/>
      <c r="U9" s="501"/>
      <c r="V9" s="501"/>
      <c r="W9" s="501"/>
      <c r="X9" s="501"/>
      <c r="Y9" s="501"/>
      <c r="Z9" s="502"/>
    </row>
    <row r="10" spans="1:31" ht="23.25" customHeight="1" thickTop="1" thickBot="1" x14ac:dyDescent="0.25">
      <c r="A10" s="384">
        <v>2</v>
      </c>
      <c r="B10" s="414">
        <f>'2 KYU'!B10</f>
        <v>0</v>
      </c>
      <c r="C10" s="282"/>
      <c r="D10" s="283"/>
      <c r="E10" s="283"/>
      <c r="F10" s="283"/>
      <c r="G10" s="283"/>
      <c r="H10" s="284"/>
      <c r="I10" s="329"/>
      <c r="J10" s="282"/>
      <c r="K10" s="283"/>
      <c r="L10" s="283"/>
      <c r="M10" s="284"/>
      <c r="N10" s="329"/>
      <c r="O10" s="285"/>
      <c r="Q10" s="503" t="s">
        <v>4</v>
      </c>
      <c r="R10" s="524" t="s">
        <v>241</v>
      </c>
      <c r="S10" s="525"/>
      <c r="T10" s="525"/>
      <c r="U10" s="525"/>
      <c r="V10" s="525"/>
      <c r="W10" s="525"/>
      <c r="X10" s="525"/>
      <c r="Y10" s="525"/>
      <c r="Z10" s="526"/>
    </row>
    <row r="11" spans="1:31" ht="23.25" customHeight="1" x14ac:dyDescent="0.2">
      <c r="A11" s="381">
        <v>3</v>
      </c>
      <c r="B11" s="413">
        <f>'2 KYU'!B11</f>
        <v>0</v>
      </c>
      <c r="C11" s="334"/>
      <c r="D11" s="335"/>
      <c r="E11" s="335"/>
      <c r="F11" s="335"/>
      <c r="G11" s="335"/>
      <c r="H11" s="336"/>
      <c r="I11" s="337"/>
      <c r="J11" s="334"/>
      <c r="K11" s="335"/>
      <c r="L11" s="335"/>
      <c r="M11" s="336"/>
      <c r="N11" s="337"/>
      <c r="O11" s="338"/>
      <c r="Q11" s="504"/>
      <c r="R11" s="527"/>
      <c r="S11" s="528"/>
      <c r="T11" s="528"/>
      <c r="U11" s="528"/>
      <c r="V11" s="528"/>
      <c r="W11" s="528"/>
      <c r="X11" s="528"/>
      <c r="Y11" s="528"/>
      <c r="Z11" s="529"/>
    </row>
    <row r="12" spans="1:31" ht="23.25" customHeight="1" thickBot="1" x14ac:dyDescent="0.25">
      <c r="A12" s="384">
        <v>4</v>
      </c>
      <c r="B12" s="414">
        <f>'2 KYU'!B12</f>
        <v>0</v>
      </c>
      <c r="C12" s="282"/>
      <c r="D12" s="283"/>
      <c r="E12" s="283"/>
      <c r="F12" s="283"/>
      <c r="G12" s="283"/>
      <c r="H12" s="284"/>
      <c r="I12" s="329"/>
      <c r="J12" s="282"/>
      <c r="K12" s="283"/>
      <c r="L12" s="283"/>
      <c r="M12" s="284"/>
      <c r="N12" s="329"/>
      <c r="O12" s="285"/>
      <c r="Q12" s="504"/>
      <c r="R12" s="527"/>
      <c r="S12" s="528"/>
      <c r="T12" s="528"/>
      <c r="U12" s="528"/>
      <c r="V12" s="528"/>
      <c r="W12" s="528"/>
      <c r="X12" s="528"/>
      <c r="Y12" s="528"/>
      <c r="Z12" s="529"/>
    </row>
    <row r="13" spans="1:31" ht="23.25" customHeight="1" x14ac:dyDescent="0.2">
      <c r="A13" s="381">
        <v>5</v>
      </c>
      <c r="B13" s="413">
        <f>'2 KYU'!B13</f>
        <v>0</v>
      </c>
      <c r="C13" s="334"/>
      <c r="D13" s="335"/>
      <c r="E13" s="335"/>
      <c r="F13" s="335"/>
      <c r="G13" s="335"/>
      <c r="H13" s="336"/>
      <c r="I13" s="337"/>
      <c r="J13" s="334"/>
      <c r="K13" s="335"/>
      <c r="L13" s="335"/>
      <c r="M13" s="336"/>
      <c r="N13" s="337"/>
      <c r="O13" s="338"/>
      <c r="Q13" s="504"/>
      <c r="R13" s="527"/>
      <c r="S13" s="528"/>
      <c r="T13" s="528"/>
      <c r="U13" s="528"/>
      <c r="V13" s="528"/>
      <c r="W13" s="528"/>
      <c r="X13" s="528"/>
      <c r="Y13" s="528"/>
      <c r="Z13" s="529"/>
    </row>
    <row r="14" spans="1:31" ht="23.25" customHeight="1" thickBot="1" x14ac:dyDescent="0.25">
      <c r="A14" s="384">
        <v>6</v>
      </c>
      <c r="B14" s="414">
        <f>'2 KYU'!B14</f>
        <v>0</v>
      </c>
      <c r="C14" s="282"/>
      <c r="D14" s="283"/>
      <c r="E14" s="283"/>
      <c r="F14" s="283"/>
      <c r="G14" s="283"/>
      <c r="H14" s="284"/>
      <c r="I14" s="329"/>
      <c r="J14" s="282"/>
      <c r="K14" s="283"/>
      <c r="L14" s="283"/>
      <c r="M14" s="284"/>
      <c r="N14" s="329"/>
      <c r="O14" s="285"/>
      <c r="Q14" s="504"/>
      <c r="R14" s="530"/>
      <c r="S14" s="531"/>
      <c r="T14" s="531"/>
      <c r="U14" s="531"/>
      <c r="V14" s="531"/>
      <c r="W14" s="531"/>
      <c r="X14" s="531"/>
      <c r="Y14" s="531"/>
      <c r="Z14" s="532"/>
    </row>
    <row r="15" spans="1:31" ht="23.25" customHeight="1" x14ac:dyDescent="0.2">
      <c r="A15" s="381">
        <v>7</v>
      </c>
      <c r="B15" s="413">
        <f>'2 KYU'!B15</f>
        <v>0</v>
      </c>
      <c r="C15" s="334"/>
      <c r="D15" s="335"/>
      <c r="E15" s="335"/>
      <c r="F15" s="335"/>
      <c r="G15" s="335"/>
      <c r="H15" s="336"/>
      <c r="I15" s="337"/>
      <c r="J15" s="334"/>
      <c r="K15" s="335"/>
      <c r="L15" s="335"/>
      <c r="M15" s="336"/>
      <c r="N15" s="337"/>
      <c r="O15" s="338"/>
      <c r="Q15" s="505" t="s">
        <v>5</v>
      </c>
      <c r="R15" s="507">
        <v>1</v>
      </c>
      <c r="S15" s="566" t="s">
        <v>148</v>
      </c>
      <c r="T15" s="566"/>
      <c r="U15" s="566"/>
      <c r="V15" s="566"/>
      <c r="W15" s="566"/>
      <c r="X15" s="566"/>
      <c r="Y15" s="568" t="s">
        <v>153</v>
      </c>
      <c r="Z15" s="569"/>
    </row>
    <row r="16" spans="1:31" ht="23.25" customHeight="1" thickBot="1" x14ac:dyDescent="0.25">
      <c r="A16" s="384">
        <v>8</v>
      </c>
      <c r="B16" s="414">
        <f>'2 KYU'!B16</f>
        <v>0</v>
      </c>
      <c r="C16" s="282"/>
      <c r="D16" s="283"/>
      <c r="E16" s="283"/>
      <c r="F16" s="283"/>
      <c r="G16" s="283"/>
      <c r="H16" s="284"/>
      <c r="I16" s="329"/>
      <c r="J16" s="282"/>
      <c r="K16" s="283"/>
      <c r="L16" s="283"/>
      <c r="M16" s="284"/>
      <c r="N16" s="329"/>
      <c r="O16" s="285"/>
      <c r="Q16" s="504"/>
      <c r="R16" s="508"/>
      <c r="S16" s="567"/>
      <c r="T16" s="567"/>
      <c r="U16" s="567"/>
      <c r="V16" s="567"/>
      <c r="W16" s="567"/>
      <c r="X16" s="567"/>
      <c r="Y16" s="556"/>
      <c r="Z16" s="529"/>
    </row>
    <row r="17" spans="1:26" ht="30.75" customHeight="1" x14ac:dyDescent="0.2">
      <c r="A17" s="381">
        <v>9</v>
      </c>
      <c r="B17" s="413">
        <f>'2 KYU'!B17</f>
        <v>0</v>
      </c>
      <c r="C17" s="334"/>
      <c r="D17" s="335"/>
      <c r="E17" s="335"/>
      <c r="F17" s="335"/>
      <c r="G17" s="335"/>
      <c r="H17" s="336"/>
      <c r="I17" s="337"/>
      <c r="J17" s="334"/>
      <c r="K17" s="335"/>
      <c r="L17" s="335"/>
      <c r="M17" s="336"/>
      <c r="N17" s="337"/>
      <c r="O17" s="338"/>
      <c r="Q17" s="504"/>
      <c r="R17" s="508"/>
      <c r="S17" s="567"/>
      <c r="T17" s="567"/>
      <c r="U17" s="567"/>
      <c r="V17" s="567"/>
      <c r="W17" s="567"/>
      <c r="X17" s="567"/>
      <c r="Y17" s="556"/>
      <c r="Z17" s="529"/>
    </row>
    <row r="18" spans="1:26" ht="23.25" customHeight="1" thickBot="1" x14ac:dyDescent="0.25">
      <c r="A18" s="384">
        <v>10</v>
      </c>
      <c r="B18" s="414">
        <f>'2 KYU'!B18</f>
        <v>0</v>
      </c>
      <c r="C18" s="282"/>
      <c r="D18" s="283"/>
      <c r="E18" s="283"/>
      <c r="F18" s="283"/>
      <c r="G18" s="283"/>
      <c r="H18" s="284"/>
      <c r="I18" s="329"/>
      <c r="J18" s="282"/>
      <c r="K18" s="283"/>
      <c r="L18" s="283"/>
      <c r="M18" s="284"/>
      <c r="N18" s="329"/>
      <c r="O18" s="285"/>
      <c r="Q18" s="504"/>
      <c r="R18" s="508"/>
      <c r="S18" s="567"/>
      <c r="T18" s="567"/>
      <c r="U18" s="567"/>
      <c r="V18" s="567"/>
      <c r="W18" s="567"/>
      <c r="X18" s="567"/>
      <c r="Y18" s="560"/>
      <c r="Z18" s="570"/>
    </row>
    <row r="19" spans="1:26" ht="18.75" customHeight="1" x14ac:dyDescent="0.2">
      <c r="A19" s="269" t="s">
        <v>237</v>
      </c>
      <c r="B19" s="270"/>
      <c r="C19" s="270"/>
      <c r="D19" s="270"/>
      <c r="E19" s="270"/>
      <c r="F19" s="270"/>
      <c r="G19" s="278" t="s">
        <v>238</v>
      </c>
      <c r="H19" s="270"/>
      <c r="I19" s="270"/>
      <c r="J19" s="270"/>
      <c r="K19" s="270"/>
      <c r="L19" s="270"/>
      <c r="M19" s="270"/>
      <c r="N19" s="270"/>
      <c r="O19" s="271"/>
      <c r="Q19" s="504"/>
      <c r="R19" s="508">
        <v>2</v>
      </c>
      <c r="S19" s="571" t="s">
        <v>149</v>
      </c>
      <c r="T19" s="571"/>
      <c r="U19" s="571"/>
      <c r="V19" s="571"/>
      <c r="W19" s="571"/>
      <c r="X19" s="571"/>
      <c r="Y19" s="572" t="s">
        <v>154</v>
      </c>
      <c r="Z19" s="573"/>
    </row>
    <row r="20" spans="1:26" ht="15" customHeight="1" x14ac:dyDescent="0.2">
      <c r="A20" s="298" t="s">
        <v>8</v>
      </c>
      <c r="B20" s="120" t="s">
        <v>127</v>
      </c>
      <c r="G20" s="263" t="s">
        <v>243</v>
      </c>
      <c r="O20" s="273"/>
      <c r="Q20" s="504"/>
      <c r="R20" s="508"/>
      <c r="S20" s="571"/>
      <c r="T20" s="571"/>
      <c r="U20" s="571"/>
      <c r="V20" s="571"/>
      <c r="W20" s="571"/>
      <c r="X20" s="571"/>
      <c r="Y20" s="550"/>
      <c r="Z20" s="551"/>
    </row>
    <row r="21" spans="1:26" ht="15" customHeight="1" x14ac:dyDescent="0.2">
      <c r="A21" s="298" t="s">
        <v>9</v>
      </c>
      <c r="B21" s="120" t="s">
        <v>128</v>
      </c>
      <c r="G21" s="152" t="s">
        <v>247</v>
      </c>
      <c r="O21" s="273"/>
      <c r="Q21" s="504"/>
      <c r="R21" s="508"/>
      <c r="S21" s="571"/>
      <c r="T21" s="571"/>
      <c r="U21" s="571"/>
      <c r="V21" s="571"/>
      <c r="W21" s="571"/>
      <c r="X21" s="571"/>
      <c r="Y21" s="550"/>
      <c r="Z21" s="551"/>
    </row>
    <row r="22" spans="1:26" ht="15" customHeight="1" x14ac:dyDescent="0.2">
      <c r="A22" s="298" t="s">
        <v>11</v>
      </c>
      <c r="B22" s="160" t="s">
        <v>129</v>
      </c>
      <c r="G22" s="153" t="s">
        <v>244</v>
      </c>
      <c r="O22" s="273"/>
      <c r="Q22" s="504"/>
      <c r="R22" s="508"/>
      <c r="S22" s="571"/>
      <c r="T22" s="571"/>
      <c r="U22" s="571"/>
      <c r="V22" s="571"/>
      <c r="W22" s="571"/>
      <c r="X22" s="571"/>
      <c r="Y22" s="574"/>
      <c r="Z22" s="575"/>
    </row>
    <row r="23" spans="1:26" ht="15" customHeight="1" x14ac:dyDescent="0.2">
      <c r="A23" s="298" t="s">
        <v>12</v>
      </c>
      <c r="B23" s="154" t="s">
        <v>130</v>
      </c>
      <c r="G23" s="297" t="s">
        <v>245</v>
      </c>
      <c r="O23" s="273"/>
      <c r="Q23" s="504"/>
      <c r="R23" s="563">
        <v>3</v>
      </c>
      <c r="S23" s="554" t="s">
        <v>150</v>
      </c>
      <c r="T23" s="557"/>
      <c r="U23" s="557"/>
      <c r="V23" s="557"/>
      <c r="W23" s="557"/>
      <c r="X23" s="558"/>
      <c r="Y23" s="554" t="s">
        <v>155</v>
      </c>
      <c r="Z23" s="555"/>
    </row>
    <row r="24" spans="1:26" ht="15" customHeight="1" x14ac:dyDescent="0.2">
      <c r="A24" s="298" t="s">
        <v>13</v>
      </c>
      <c r="B24" s="154" t="s">
        <v>131</v>
      </c>
      <c r="G24" s="496" t="s">
        <v>246</v>
      </c>
      <c r="H24" s="497"/>
      <c r="I24" s="497"/>
      <c r="J24" s="497"/>
      <c r="K24" s="497"/>
      <c r="L24" s="497"/>
      <c r="M24" s="497"/>
      <c r="N24" s="497"/>
      <c r="O24" s="498"/>
      <c r="Q24" s="504"/>
      <c r="R24" s="564"/>
      <c r="S24" s="556"/>
      <c r="T24" s="528"/>
      <c r="U24" s="528"/>
      <c r="V24" s="528"/>
      <c r="W24" s="528"/>
      <c r="X24" s="559"/>
      <c r="Y24" s="556"/>
      <c r="Z24" s="529"/>
    </row>
    <row r="25" spans="1:26" ht="15" customHeight="1" x14ac:dyDescent="0.2">
      <c r="A25" s="298" t="s">
        <v>111</v>
      </c>
      <c r="B25" s="154" t="s">
        <v>132</v>
      </c>
      <c r="G25" s="499"/>
      <c r="H25" s="497"/>
      <c r="I25" s="497"/>
      <c r="J25" s="497"/>
      <c r="K25" s="497"/>
      <c r="L25" s="497"/>
      <c r="M25" s="497"/>
      <c r="N25" s="497"/>
      <c r="O25" s="498"/>
      <c r="Q25" s="504"/>
      <c r="R25" s="565"/>
      <c r="S25" s="560"/>
      <c r="T25" s="561"/>
      <c r="U25" s="561"/>
      <c r="V25" s="561"/>
      <c r="W25" s="561"/>
      <c r="X25" s="562"/>
      <c r="Y25" s="556"/>
      <c r="Z25" s="529"/>
    </row>
    <row r="26" spans="1:26" ht="15" customHeight="1" x14ac:dyDescent="0.2">
      <c r="A26" s="272"/>
      <c r="B26" s="160"/>
      <c r="G26" s="499"/>
      <c r="H26" s="497"/>
      <c r="I26" s="497"/>
      <c r="J26" s="497"/>
      <c r="K26" s="497"/>
      <c r="L26" s="497"/>
      <c r="M26" s="497"/>
      <c r="N26" s="497"/>
      <c r="O26" s="498"/>
      <c r="Q26" s="504"/>
      <c r="R26" s="508">
        <v>4</v>
      </c>
      <c r="S26" s="571" t="s">
        <v>151</v>
      </c>
      <c r="T26" s="577"/>
      <c r="U26" s="577"/>
      <c r="V26" s="577"/>
      <c r="W26" s="577"/>
      <c r="X26" s="577"/>
      <c r="Y26" s="550" t="s">
        <v>152</v>
      </c>
      <c r="Z26" s="551"/>
    </row>
    <row r="27" spans="1:26" ht="15" customHeight="1" x14ac:dyDescent="0.2">
      <c r="A27" s="274"/>
      <c r="B27" s="160"/>
      <c r="G27" s="262"/>
      <c r="O27" s="273"/>
      <c r="Q27" s="504"/>
      <c r="R27" s="508"/>
      <c r="S27" s="577"/>
      <c r="T27" s="577"/>
      <c r="U27" s="577"/>
      <c r="V27" s="577"/>
      <c r="W27" s="577"/>
      <c r="X27" s="577"/>
      <c r="Y27" s="550"/>
      <c r="Z27" s="551"/>
    </row>
    <row r="28" spans="1:26" ht="15" customHeight="1" x14ac:dyDescent="0.2">
      <c r="A28" s="274"/>
      <c r="G28" s="279"/>
      <c r="O28" s="273"/>
      <c r="Q28" s="504"/>
      <c r="R28" s="508"/>
      <c r="S28" s="577"/>
      <c r="T28" s="577"/>
      <c r="U28" s="577"/>
      <c r="V28" s="577"/>
      <c r="W28" s="577"/>
      <c r="X28" s="577"/>
      <c r="Y28" s="550"/>
      <c r="Z28" s="551"/>
    </row>
    <row r="29" spans="1:26" ht="9" customHeight="1" thickBot="1" x14ac:dyDescent="0.25">
      <c r="A29" s="275"/>
      <c r="B29" s="276"/>
      <c r="C29" s="276"/>
      <c r="D29" s="276"/>
      <c r="E29" s="276"/>
      <c r="F29" s="276"/>
      <c r="G29" s="280"/>
      <c r="H29" s="276"/>
      <c r="I29" s="276"/>
      <c r="J29" s="276"/>
      <c r="K29" s="276"/>
      <c r="L29" s="276"/>
      <c r="M29" s="276"/>
      <c r="N29" s="276"/>
      <c r="O29" s="277"/>
      <c r="Q29" s="506"/>
      <c r="R29" s="576"/>
      <c r="S29" s="578"/>
      <c r="T29" s="578"/>
      <c r="U29" s="578"/>
      <c r="V29" s="578"/>
      <c r="W29" s="578"/>
      <c r="X29" s="578"/>
      <c r="Y29" s="552"/>
      <c r="Z29" s="553"/>
    </row>
    <row r="30" spans="1:26" ht="6.75" customHeight="1" x14ac:dyDescent="0.2"/>
    <row r="31" spans="1:26" s="88" customFormat="1" ht="15" x14ac:dyDescent="0.25">
      <c r="B31" s="88" t="s">
        <v>53</v>
      </c>
      <c r="C31" s="89"/>
      <c r="J31" s="88" t="s">
        <v>54</v>
      </c>
      <c r="W31" s="88" t="s">
        <v>55</v>
      </c>
    </row>
    <row r="32" spans="1:26" s="18" customFormat="1" ht="16.5" customHeight="1" x14ac:dyDescent="0.2">
      <c r="C32" s="19"/>
    </row>
    <row r="33" spans="1:26" s="18" customFormat="1" ht="18" customHeight="1" x14ac:dyDescent="0.2">
      <c r="C33" s="19"/>
    </row>
    <row r="34" spans="1:26" s="18" customFormat="1" ht="17.25" customHeight="1" x14ac:dyDescent="0.2">
      <c r="B34" s="90"/>
      <c r="C34" s="19"/>
      <c r="J34" s="90"/>
      <c r="K34" s="90"/>
      <c r="L34" s="90"/>
      <c r="M34" s="90"/>
      <c r="N34" s="90"/>
      <c r="O34" s="90"/>
      <c r="W34" s="90"/>
      <c r="X34" s="90"/>
      <c r="Y34" s="90"/>
      <c r="Z34" s="90"/>
    </row>
    <row r="35" spans="1:26" s="18" customFormat="1" ht="18" customHeight="1" x14ac:dyDescent="0.2">
      <c r="B35" s="18" t="s">
        <v>56</v>
      </c>
      <c r="C35" s="19"/>
      <c r="J35" s="18" t="s">
        <v>56</v>
      </c>
      <c r="W35" s="18" t="s">
        <v>57</v>
      </c>
    </row>
    <row r="36" spans="1:26" s="18" customFormat="1" ht="15.75" customHeight="1" x14ac:dyDescent="0.2">
      <c r="B36" s="18" t="s">
        <v>58</v>
      </c>
      <c r="C36" s="19"/>
      <c r="J36" s="18" t="s">
        <v>59</v>
      </c>
      <c r="W36" s="18" t="s">
        <v>58</v>
      </c>
    </row>
    <row r="37" spans="1:26" ht="4.5" customHeight="1" thickBot="1" x14ac:dyDescent="0.25"/>
    <row r="38" spans="1:26" ht="23.25" customHeight="1" thickBot="1" x14ac:dyDescent="0.25">
      <c r="A38" s="381">
        <v>11</v>
      </c>
      <c r="B38" s="413">
        <f>'2 KYU'!B42</f>
        <v>0</v>
      </c>
      <c r="C38" s="334"/>
      <c r="D38" s="335"/>
      <c r="E38" s="335"/>
      <c r="F38" s="335"/>
      <c r="G38" s="335"/>
      <c r="H38" s="336"/>
      <c r="I38" s="337"/>
      <c r="J38" s="334"/>
      <c r="K38" s="335"/>
      <c r="L38" s="335"/>
      <c r="M38" s="336"/>
      <c r="N38" s="337"/>
      <c r="O38" s="338"/>
      <c r="Q38" s="268"/>
      <c r="R38" s="500" t="s">
        <v>156</v>
      </c>
      <c r="S38" s="501"/>
      <c r="T38" s="501"/>
      <c r="U38" s="501"/>
      <c r="V38" s="501"/>
      <c r="W38" s="501"/>
      <c r="X38" s="501"/>
      <c r="Y38" s="501"/>
      <c r="Z38" s="502"/>
    </row>
    <row r="39" spans="1:26" ht="23.25" customHeight="1" thickTop="1" thickBot="1" x14ac:dyDescent="0.25">
      <c r="A39" s="384">
        <f>A38+1</f>
        <v>12</v>
      </c>
      <c r="B39" s="414">
        <f>'2 KYU'!B43</f>
        <v>0</v>
      </c>
      <c r="C39" s="282"/>
      <c r="D39" s="283"/>
      <c r="E39" s="283"/>
      <c r="F39" s="283"/>
      <c r="G39" s="283"/>
      <c r="H39" s="284"/>
      <c r="I39" s="329"/>
      <c r="J39" s="282"/>
      <c r="K39" s="283"/>
      <c r="L39" s="283"/>
      <c r="M39" s="284"/>
      <c r="N39" s="329"/>
      <c r="O39" s="285"/>
      <c r="Q39" s="503" t="s">
        <v>4</v>
      </c>
      <c r="R39" s="524" t="s">
        <v>241</v>
      </c>
      <c r="S39" s="525"/>
      <c r="T39" s="525"/>
      <c r="U39" s="525"/>
      <c r="V39" s="525"/>
      <c r="W39" s="525"/>
      <c r="X39" s="525"/>
      <c r="Y39" s="525"/>
      <c r="Z39" s="526"/>
    </row>
    <row r="40" spans="1:26" ht="23.25" customHeight="1" x14ac:dyDescent="0.2">
      <c r="A40" s="381">
        <f t="shared" ref="A40:A47" si="0">A39+1</f>
        <v>13</v>
      </c>
      <c r="B40" s="413">
        <f>'2 KYU'!B44</f>
        <v>0</v>
      </c>
      <c r="C40" s="334"/>
      <c r="D40" s="335"/>
      <c r="E40" s="335"/>
      <c r="F40" s="335"/>
      <c r="G40" s="335"/>
      <c r="H40" s="336"/>
      <c r="I40" s="337"/>
      <c r="J40" s="334"/>
      <c r="K40" s="335"/>
      <c r="L40" s="335"/>
      <c r="M40" s="336"/>
      <c r="N40" s="337"/>
      <c r="O40" s="338"/>
      <c r="Q40" s="504"/>
      <c r="R40" s="527"/>
      <c r="S40" s="528"/>
      <c r="T40" s="528"/>
      <c r="U40" s="528"/>
      <c r="V40" s="528"/>
      <c r="W40" s="528"/>
      <c r="X40" s="528"/>
      <c r="Y40" s="528"/>
      <c r="Z40" s="529"/>
    </row>
    <row r="41" spans="1:26" ht="23.25" customHeight="1" thickBot="1" x14ac:dyDescent="0.25">
      <c r="A41" s="384">
        <f t="shared" si="0"/>
        <v>14</v>
      </c>
      <c r="B41" s="414">
        <f>'2 KYU'!B45</f>
        <v>0</v>
      </c>
      <c r="C41" s="282"/>
      <c r="D41" s="283"/>
      <c r="E41" s="283"/>
      <c r="F41" s="283"/>
      <c r="G41" s="283"/>
      <c r="H41" s="284"/>
      <c r="I41" s="329"/>
      <c r="J41" s="282"/>
      <c r="K41" s="283"/>
      <c r="L41" s="283"/>
      <c r="M41" s="284"/>
      <c r="N41" s="329"/>
      <c r="O41" s="285"/>
      <c r="Q41" s="504"/>
      <c r="R41" s="527"/>
      <c r="S41" s="528"/>
      <c r="T41" s="528"/>
      <c r="U41" s="528"/>
      <c r="V41" s="528"/>
      <c r="W41" s="528"/>
      <c r="X41" s="528"/>
      <c r="Y41" s="528"/>
      <c r="Z41" s="529"/>
    </row>
    <row r="42" spans="1:26" ht="23.25" customHeight="1" x14ac:dyDescent="0.2">
      <c r="A42" s="381">
        <f t="shared" si="0"/>
        <v>15</v>
      </c>
      <c r="B42" s="413">
        <f>'2 KYU'!B46</f>
        <v>0</v>
      </c>
      <c r="C42" s="334"/>
      <c r="D42" s="335"/>
      <c r="E42" s="335"/>
      <c r="F42" s="335"/>
      <c r="G42" s="335"/>
      <c r="H42" s="336"/>
      <c r="I42" s="337"/>
      <c r="J42" s="334"/>
      <c r="K42" s="335"/>
      <c r="L42" s="335"/>
      <c r="M42" s="336"/>
      <c r="N42" s="337"/>
      <c r="O42" s="338"/>
      <c r="Q42" s="504"/>
      <c r="R42" s="527"/>
      <c r="S42" s="528"/>
      <c r="T42" s="528"/>
      <c r="U42" s="528"/>
      <c r="V42" s="528"/>
      <c r="W42" s="528"/>
      <c r="X42" s="528"/>
      <c r="Y42" s="528"/>
      <c r="Z42" s="529"/>
    </row>
    <row r="43" spans="1:26" ht="23.25" customHeight="1" thickBot="1" x14ac:dyDescent="0.25">
      <c r="A43" s="384">
        <f t="shared" si="0"/>
        <v>16</v>
      </c>
      <c r="B43" s="414">
        <f>'2 KYU'!B47</f>
        <v>0</v>
      </c>
      <c r="C43" s="282"/>
      <c r="D43" s="283"/>
      <c r="E43" s="283"/>
      <c r="F43" s="283"/>
      <c r="G43" s="283"/>
      <c r="H43" s="284"/>
      <c r="I43" s="329"/>
      <c r="J43" s="282"/>
      <c r="K43" s="283"/>
      <c r="L43" s="283"/>
      <c r="M43" s="284"/>
      <c r="N43" s="329"/>
      <c r="O43" s="285"/>
      <c r="Q43" s="504"/>
      <c r="R43" s="530"/>
      <c r="S43" s="531"/>
      <c r="T43" s="531"/>
      <c r="U43" s="531"/>
      <c r="V43" s="531"/>
      <c r="W43" s="531"/>
      <c r="X43" s="531"/>
      <c r="Y43" s="531"/>
      <c r="Z43" s="532"/>
    </row>
    <row r="44" spans="1:26" ht="23.25" customHeight="1" x14ac:dyDescent="0.2">
      <c r="A44" s="381">
        <f t="shared" si="0"/>
        <v>17</v>
      </c>
      <c r="B44" s="413">
        <f>'2 KYU'!B48</f>
        <v>0</v>
      </c>
      <c r="C44" s="334"/>
      <c r="D44" s="335"/>
      <c r="E44" s="335"/>
      <c r="F44" s="335"/>
      <c r="G44" s="335"/>
      <c r="H44" s="336"/>
      <c r="I44" s="337"/>
      <c r="J44" s="334"/>
      <c r="K44" s="335"/>
      <c r="L44" s="335"/>
      <c r="M44" s="336"/>
      <c r="N44" s="337"/>
      <c r="O44" s="338"/>
      <c r="Q44" s="505" t="s">
        <v>5</v>
      </c>
      <c r="R44" s="507">
        <v>1</v>
      </c>
      <c r="S44" s="566" t="s">
        <v>148</v>
      </c>
      <c r="T44" s="566"/>
      <c r="U44" s="566"/>
      <c r="V44" s="566"/>
      <c r="W44" s="566"/>
      <c r="X44" s="566"/>
      <c r="Y44" s="568" t="s">
        <v>153</v>
      </c>
      <c r="Z44" s="569"/>
    </row>
    <row r="45" spans="1:26" ht="23.25" customHeight="1" thickBot="1" x14ac:dyDescent="0.25">
      <c r="A45" s="384">
        <f t="shared" si="0"/>
        <v>18</v>
      </c>
      <c r="B45" s="414">
        <f>'2 KYU'!B49</f>
        <v>0</v>
      </c>
      <c r="C45" s="282"/>
      <c r="D45" s="283"/>
      <c r="E45" s="283"/>
      <c r="F45" s="283"/>
      <c r="G45" s="283"/>
      <c r="H45" s="284"/>
      <c r="I45" s="329"/>
      <c r="J45" s="282"/>
      <c r="K45" s="283"/>
      <c r="L45" s="283"/>
      <c r="M45" s="284"/>
      <c r="N45" s="329"/>
      <c r="O45" s="285"/>
      <c r="Q45" s="504"/>
      <c r="R45" s="508"/>
      <c r="S45" s="567"/>
      <c r="T45" s="567"/>
      <c r="U45" s="567"/>
      <c r="V45" s="567"/>
      <c r="W45" s="567"/>
      <c r="X45" s="567"/>
      <c r="Y45" s="556"/>
      <c r="Z45" s="529"/>
    </row>
    <row r="46" spans="1:26" ht="23.25" customHeight="1" x14ac:dyDescent="0.2">
      <c r="A46" s="381">
        <f t="shared" si="0"/>
        <v>19</v>
      </c>
      <c r="B46" s="413">
        <f>'2 KYU'!B50</f>
        <v>0</v>
      </c>
      <c r="C46" s="334"/>
      <c r="D46" s="335"/>
      <c r="E46" s="335"/>
      <c r="F46" s="335"/>
      <c r="G46" s="335"/>
      <c r="H46" s="336"/>
      <c r="I46" s="337"/>
      <c r="J46" s="334"/>
      <c r="K46" s="335"/>
      <c r="L46" s="335"/>
      <c r="M46" s="336"/>
      <c r="N46" s="337"/>
      <c r="O46" s="338"/>
      <c r="Q46" s="504"/>
      <c r="R46" s="508"/>
      <c r="S46" s="567"/>
      <c r="T46" s="567"/>
      <c r="U46" s="567"/>
      <c r="V46" s="567"/>
      <c r="W46" s="567"/>
      <c r="X46" s="567"/>
      <c r="Y46" s="556"/>
      <c r="Z46" s="529"/>
    </row>
    <row r="47" spans="1:26" ht="23.25" customHeight="1" thickBot="1" x14ac:dyDescent="0.25">
      <c r="A47" s="384">
        <f t="shared" si="0"/>
        <v>20</v>
      </c>
      <c r="B47" s="414">
        <f>'2 KYU'!B51</f>
        <v>0</v>
      </c>
      <c r="C47" s="282"/>
      <c r="D47" s="283"/>
      <c r="E47" s="283"/>
      <c r="F47" s="283"/>
      <c r="G47" s="283"/>
      <c r="H47" s="284"/>
      <c r="I47" s="329"/>
      <c r="J47" s="282"/>
      <c r="K47" s="283"/>
      <c r="L47" s="283"/>
      <c r="M47" s="284"/>
      <c r="N47" s="329"/>
      <c r="O47" s="285"/>
      <c r="Q47" s="504"/>
      <c r="R47" s="508"/>
      <c r="S47" s="567"/>
      <c r="T47" s="567"/>
      <c r="U47" s="567"/>
      <c r="V47" s="567"/>
      <c r="W47" s="567"/>
      <c r="X47" s="567"/>
      <c r="Y47" s="560"/>
      <c r="Z47" s="570"/>
    </row>
    <row r="48" spans="1:26" ht="18.75" customHeight="1" x14ac:dyDescent="0.2">
      <c r="A48" s="269" t="s">
        <v>237</v>
      </c>
      <c r="B48" s="270"/>
      <c r="C48" s="270"/>
      <c r="D48" s="270"/>
      <c r="E48" s="270"/>
      <c r="F48" s="270"/>
      <c r="G48" s="278" t="s">
        <v>238</v>
      </c>
      <c r="H48" s="270"/>
      <c r="I48" s="270"/>
      <c r="J48" s="270"/>
      <c r="K48" s="270"/>
      <c r="L48" s="270"/>
      <c r="M48" s="270"/>
      <c r="N48" s="270"/>
      <c r="O48" s="271"/>
      <c r="Q48" s="504"/>
      <c r="R48" s="508">
        <v>2</v>
      </c>
      <c r="S48" s="571" t="s">
        <v>149</v>
      </c>
      <c r="T48" s="571"/>
      <c r="U48" s="571"/>
      <c r="V48" s="571"/>
      <c r="W48" s="571"/>
      <c r="X48" s="571"/>
      <c r="Y48" s="572" t="s">
        <v>154</v>
      </c>
      <c r="Z48" s="573"/>
    </row>
    <row r="49" spans="1:26" ht="15" customHeight="1" x14ac:dyDescent="0.2">
      <c r="A49" s="298" t="s">
        <v>8</v>
      </c>
      <c r="B49" s="120" t="s">
        <v>127</v>
      </c>
      <c r="G49" s="263" t="s">
        <v>243</v>
      </c>
      <c r="O49" s="273"/>
      <c r="Q49" s="504"/>
      <c r="R49" s="508"/>
      <c r="S49" s="571"/>
      <c r="T49" s="571"/>
      <c r="U49" s="571"/>
      <c r="V49" s="571"/>
      <c r="W49" s="571"/>
      <c r="X49" s="571"/>
      <c r="Y49" s="550"/>
      <c r="Z49" s="551"/>
    </row>
    <row r="50" spans="1:26" ht="15" customHeight="1" x14ac:dyDescent="0.2">
      <c r="A50" s="298" t="s">
        <v>9</v>
      </c>
      <c r="B50" s="120" t="s">
        <v>128</v>
      </c>
      <c r="G50" s="152" t="s">
        <v>247</v>
      </c>
      <c r="O50" s="273"/>
      <c r="Q50" s="504"/>
      <c r="R50" s="508"/>
      <c r="S50" s="571"/>
      <c r="T50" s="571"/>
      <c r="U50" s="571"/>
      <c r="V50" s="571"/>
      <c r="W50" s="571"/>
      <c r="X50" s="571"/>
      <c r="Y50" s="550"/>
      <c r="Z50" s="551"/>
    </row>
    <row r="51" spans="1:26" ht="15" customHeight="1" x14ac:dyDescent="0.2">
      <c r="A51" s="298" t="s">
        <v>11</v>
      </c>
      <c r="B51" s="160" t="s">
        <v>129</v>
      </c>
      <c r="G51" s="153" t="s">
        <v>244</v>
      </c>
      <c r="O51" s="273"/>
      <c r="Q51" s="504"/>
      <c r="R51" s="508"/>
      <c r="S51" s="571"/>
      <c r="T51" s="571"/>
      <c r="U51" s="571"/>
      <c r="V51" s="571"/>
      <c r="W51" s="571"/>
      <c r="X51" s="571"/>
      <c r="Y51" s="574"/>
      <c r="Z51" s="575"/>
    </row>
    <row r="52" spans="1:26" ht="15" customHeight="1" x14ac:dyDescent="0.2">
      <c r="A52" s="298" t="s">
        <v>12</v>
      </c>
      <c r="B52" s="154" t="s">
        <v>130</v>
      </c>
      <c r="G52" s="297" t="s">
        <v>245</v>
      </c>
      <c r="O52" s="273"/>
      <c r="Q52" s="504"/>
      <c r="R52" s="563">
        <v>3</v>
      </c>
      <c r="S52" s="554" t="s">
        <v>150</v>
      </c>
      <c r="T52" s="557"/>
      <c r="U52" s="557"/>
      <c r="V52" s="557"/>
      <c r="W52" s="557"/>
      <c r="X52" s="558"/>
      <c r="Y52" s="554" t="s">
        <v>155</v>
      </c>
      <c r="Z52" s="555"/>
    </row>
    <row r="53" spans="1:26" ht="15" customHeight="1" x14ac:dyDescent="0.2">
      <c r="A53" s="298" t="s">
        <v>13</v>
      </c>
      <c r="B53" s="154" t="s">
        <v>131</v>
      </c>
      <c r="G53" s="496" t="s">
        <v>246</v>
      </c>
      <c r="H53" s="497"/>
      <c r="I53" s="497"/>
      <c r="J53" s="497"/>
      <c r="K53" s="497"/>
      <c r="L53" s="497"/>
      <c r="M53" s="497"/>
      <c r="N53" s="497"/>
      <c r="O53" s="498"/>
      <c r="Q53" s="504"/>
      <c r="R53" s="564"/>
      <c r="S53" s="556"/>
      <c r="T53" s="528"/>
      <c r="U53" s="528"/>
      <c r="V53" s="528"/>
      <c r="W53" s="528"/>
      <c r="X53" s="559"/>
      <c r="Y53" s="556"/>
      <c r="Z53" s="529"/>
    </row>
    <row r="54" spans="1:26" ht="15" customHeight="1" x14ac:dyDescent="0.2">
      <c r="A54" s="298" t="s">
        <v>111</v>
      </c>
      <c r="B54" s="154" t="s">
        <v>132</v>
      </c>
      <c r="G54" s="499"/>
      <c r="H54" s="497"/>
      <c r="I54" s="497"/>
      <c r="J54" s="497"/>
      <c r="K54" s="497"/>
      <c r="L54" s="497"/>
      <c r="M54" s="497"/>
      <c r="N54" s="497"/>
      <c r="O54" s="498"/>
      <c r="Q54" s="504"/>
      <c r="R54" s="565"/>
      <c r="S54" s="560"/>
      <c r="T54" s="561"/>
      <c r="U54" s="561"/>
      <c r="V54" s="561"/>
      <c r="W54" s="561"/>
      <c r="X54" s="562"/>
      <c r="Y54" s="556"/>
      <c r="Z54" s="529"/>
    </row>
    <row r="55" spans="1:26" ht="15" customHeight="1" x14ac:dyDescent="0.2">
      <c r="A55" s="272"/>
      <c r="B55" s="160"/>
      <c r="G55" s="499"/>
      <c r="H55" s="497"/>
      <c r="I55" s="497"/>
      <c r="J55" s="497"/>
      <c r="K55" s="497"/>
      <c r="L55" s="497"/>
      <c r="M55" s="497"/>
      <c r="N55" s="497"/>
      <c r="O55" s="498"/>
      <c r="Q55" s="504"/>
      <c r="R55" s="508">
        <v>4</v>
      </c>
      <c r="S55" s="571" t="s">
        <v>151</v>
      </c>
      <c r="T55" s="577"/>
      <c r="U55" s="577"/>
      <c r="V55" s="577"/>
      <c r="W55" s="577"/>
      <c r="X55" s="577"/>
      <c r="Y55" s="550" t="s">
        <v>152</v>
      </c>
      <c r="Z55" s="551"/>
    </row>
    <row r="56" spans="1:26" ht="15" customHeight="1" x14ac:dyDescent="0.2">
      <c r="A56" s="274"/>
      <c r="B56" s="160"/>
      <c r="G56" s="262"/>
      <c r="O56" s="273"/>
      <c r="Q56" s="504"/>
      <c r="R56" s="508"/>
      <c r="S56" s="577"/>
      <c r="T56" s="577"/>
      <c r="U56" s="577"/>
      <c r="V56" s="577"/>
      <c r="W56" s="577"/>
      <c r="X56" s="577"/>
      <c r="Y56" s="550"/>
      <c r="Z56" s="551"/>
    </row>
    <row r="57" spans="1:26" ht="15" customHeight="1" x14ac:dyDescent="0.2">
      <c r="A57" s="274"/>
      <c r="G57" s="279"/>
      <c r="O57" s="273"/>
      <c r="Q57" s="504"/>
      <c r="R57" s="508"/>
      <c r="S57" s="577"/>
      <c r="T57" s="577"/>
      <c r="U57" s="577"/>
      <c r="V57" s="577"/>
      <c r="W57" s="577"/>
      <c r="X57" s="577"/>
      <c r="Y57" s="550"/>
      <c r="Z57" s="551"/>
    </row>
    <row r="58" spans="1:26" ht="9" customHeight="1" thickBot="1" x14ac:dyDescent="0.25">
      <c r="A58" s="275"/>
      <c r="B58" s="276"/>
      <c r="C58" s="276"/>
      <c r="D58" s="276"/>
      <c r="E58" s="276"/>
      <c r="F58" s="276"/>
      <c r="G58" s="280"/>
      <c r="H58" s="276"/>
      <c r="I58" s="276"/>
      <c r="J58" s="276"/>
      <c r="K58" s="276"/>
      <c r="L58" s="276"/>
      <c r="M58" s="276"/>
      <c r="N58" s="276"/>
      <c r="O58" s="277"/>
      <c r="Q58" s="506"/>
      <c r="R58" s="576"/>
      <c r="S58" s="578"/>
      <c r="T58" s="578"/>
      <c r="U58" s="578"/>
      <c r="V58" s="578"/>
      <c r="W58" s="578"/>
      <c r="X58" s="578"/>
      <c r="Y58" s="552"/>
      <c r="Z58" s="553"/>
    </row>
    <row r="59" spans="1:26" ht="6.75" customHeight="1" x14ac:dyDescent="0.2"/>
    <row r="60" spans="1:26" s="88" customFormat="1" ht="15" x14ac:dyDescent="0.25">
      <c r="B60" s="88" t="s">
        <v>53</v>
      </c>
      <c r="C60" s="89"/>
      <c r="J60" s="88" t="s">
        <v>54</v>
      </c>
      <c r="W60" s="88" t="s">
        <v>55</v>
      </c>
    </row>
    <row r="61" spans="1:26" s="18" customFormat="1" ht="16.5" customHeight="1" x14ac:dyDescent="0.2">
      <c r="C61" s="19"/>
    </row>
    <row r="62" spans="1:26" s="18" customFormat="1" ht="18" customHeight="1" x14ac:dyDescent="0.2">
      <c r="C62" s="19"/>
    </row>
    <row r="63" spans="1:26" s="18" customFormat="1" ht="17.25" customHeight="1" x14ac:dyDescent="0.2">
      <c r="B63" s="90"/>
      <c r="C63" s="19"/>
      <c r="J63" s="90"/>
      <c r="K63" s="90"/>
      <c r="L63" s="90"/>
      <c r="M63" s="90"/>
      <c r="N63" s="90"/>
      <c r="O63" s="90"/>
      <c r="W63" s="90"/>
      <c r="X63" s="90"/>
      <c r="Y63" s="90"/>
      <c r="Z63" s="90"/>
    </row>
    <row r="64" spans="1:26" s="18" customFormat="1" ht="18" customHeight="1" x14ac:dyDescent="0.2">
      <c r="B64" s="18" t="s">
        <v>56</v>
      </c>
      <c r="C64" s="19"/>
      <c r="J64" s="18" t="s">
        <v>56</v>
      </c>
      <c r="W64" s="18" t="s">
        <v>57</v>
      </c>
    </row>
    <row r="65" spans="1:26" s="18" customFormat="1" ht="15.75" customHeight="1" x14ac:dyDescent="0.2">
      <c r="B65" s="18" t="s">
        <v>58</v>
      </c>
      <c r="C65" s="19"/>
      <c r="J65" s="18" t="s">
        <v>59</v>
      </c>
      <c r="W65" s="18" t="s">
        <v>58</v>
      </c>
    </row>
    <row r="66" spans="1:26" ht="4.5" customHeight="1" thickBot="1" x14ac:dyDescent="0.25"/>
    <row r="67" spans="1:26" ht="23.25" customHeight="1" thickBot="1" x14ac:dyDescent="0.25">
      <c r="A67" s="381">
        <v>21</v>
      </c>
      <c r="B67" s="413">
        <f>'2 KYU'!B75</f>
        <v>0</v>
      </c>
      <c r="C67" s="334"/>
      <c r="D67" s="335"/>
      <c r="E67" s="335"/>
      <c r="F67" s="335"/>
      <c r="G67" s="335"/>
      <c r="H67" s="336"/>
      <c r="I67" s="337"/>
      <c r="J67" s="334"/>
      <c r="K67" s="335"/>
      <c r="L67" s="335"/>
      <c r="M67" s="336"/>
      <c r="N67" s="337"/>
      <c r="O67" s="338"/>
      <c r="Q67" s="268"/>
      <c r="R67" s="500" t="s">
        <v>156</v>
      </c>
      <c r="S67" s="501"/>
      <c r="T67" s="501"/>
      <c r="U67" s="501"/>
      <c r="V67" s="501"/>
      <c r="W67" s="501"/>
      <c r="X67" s="501"/>
      <c r="Y67" s="501"/>
      <c r="Z67" s="502"/>
    </row>
    <row r="68" spans="1:26" ht="23.25" customHeight="1" thickTop="1" thickBot="1" x14ac:dyDescent="0.25">
      <c r="A68" s="384">
        <f>A67+1</f>
        <v>22</v>
      </c>
      <c r="B68" s="414">
        <f>'2 KYU'!B76</f>
        <v>0</v>
      </c>
      <c r="C68" s="282"/>
      <c r="D68" s="283"/>
      <c r="E68" s="283"/>
      <c r="F68" s="283"/>
      <c r="G68" s="283"/>
      <c r="H68" s="284"/>
      <c r="I68" s="329"/>
      <c r="J68" s="282"/>
      <c r="K68" s="283"/>
      <c r="L68" s="283"/>
      <c r="M68" s="284"/>
      <c r="N68" s="329"/>
      <c r="O68" s="285"/>
      <c r="Q68" s="503" t="s">
        <v>4</v>
      </c>
      <c r="R68" s="524" t="s">
        <v>241</v>
      </c>
      <c r="S68" s="525"/>
      <c r="T68" s="525"/>
      <c r="U68" s="525"/>
      <c r="V68" s="525"/>
      <c r="W68" s="525"/>
      <c r="X68" s="525"/>
      <c r="Y68" s="525"/>
      <c r="Z68" s="526"/>
    </row>
    <row r="69" spans="1:26" ht="23.25" customHeight="1" x14ac:dyDescent="0.2">
      <c r="A69" s="381">
        <f t="shared" ref="A69:A76" si="1">A68+1</f>
        <v>23</v>
      </c>
      <c r="B69" s="413">
        <f>'2 KYU'!B77</f>
        <v>0</v>
      </c>
      <c r="C69" s="334"/>
      <c r="D69" s="335"/>
      <c r="E69" s="335"/>
      <c r="F69" s="335"/>
      <c r="G69" s="335"/>
      <c r="H69" s="336"/>
      <c r="I69" s="337"/>
      <c r="J69" s="334"/>
      <c r="K69" s="335"/>
      <c r="L69" s="335"/>
      <c r="M69" s="336"/>
      <c r="N69" s="337"/>
      <c r="O69" s="338"/>
      <c r="Q69" s="504"/>
      <c r="R69" s="527"/>
      <c r="S69" s="528"/>
      <c r="T69" s="528"/>
      <c r="U69" s="528"/>
      <c r="V69" s="528"/>
      <c r="W69" s="528"/>
      <c r="X69" s="528"/>
      <c r="Y69" s="528"/>
      <c r="Z69" s="529"/>
    </row>
    <row r="70" spans="1:26" ht="23.25" customHeight="1" thickBot="1" x14ac:dyDescent="0.25">
      <c r="A70" s="384">
        <f t="shared" si="1"/>
        <v>24</v>
      </c>
      <c r="B70" s="414">
        <f>'2 KYU'!B78</f>
        <v>0</v>
      </c>
      <c r="C70" s="282"/>
      <c r="D70" s="283"/>
      <c r="E70" s="283"/>
      <c r="F70" s="283"/>
      <c r="G70" s="283"/>
      <c r="H70" s="284"/>
      <c r="I70" s="329"/>
      <c r="J70" s="282"/>
      <c r="K70" s="283"/>
      <c r="L70" s="283"/>
      <c r="M70" s="284"/>
      <c r="N70" s="329"/>
      <c r="O70" s="285"/>
      <c r="Q70" s="504"/>
      <c r="R70" s="527"/>
      <c r="S70" s="528"/>
      <c r="T70" s="528"/>
      <c r="U70" s="528"/>
      <c r="V70" s="528"/>
      <c r="W70" s="528"/>
      <c r="X70" s="528"/>
      <c r="Y70" s="528"/>
      <c r="Z70" s="529"/>
    </row>
    <row r="71" spans="1:26" ht="23.25" customHeight="1" x14ac:dyDescent="0.2">
      <c r="A71" s="381">
        <f t="shared" si="1"/>
        <v>25</v>
      </c>
      <c r="B71" s="413">
        <f>'2 KYU'!B79</f>
        <v>0</v>
      </c>
      <c r="C71" s="334"/>
      <c r="D71" s="335"/>
      <c r="E71" s="335"/>
      <c r="F71" s="335"/>
      <c r="G71" s="335"/>
      <c r="H71" s="336"/>
      <c r="I71" s="337"/>
      <c r="J71" s="334"/>
      <c r="K71" s="335"/>
      <c r="L71" s="335"/>
      <c r="M71" s="336"/>
      <c r="N71" s="337"/>
      <c r="O71" s="338"/>
      <c r="Q71" s="504"/>
      <c r="R71" s="527"/>
      <c r="S71" s="528"/>
      <c r="T71" s="528"/>
      <c r="U71" s="528"/>
      <c r="V71" s="528"/>
      <c r="W71" s="528"/>
      <c r="X71" s="528"/>
      <c r="Y71" s="528"/>
      <c r="Z71" s="529"/>
    </row>
    <row r="72" spans="1:26" ht="23.25" customHeight="1" thickBot="1" x14ac:dyDescent="0.25">
      <c r="A72" s="384">
        <f t="shared" si="1"/>
        <v>26</v>
      </c>
      <c r="B72" s="414">
        <f>'2 KYU'!B80</f>
        <v>0</v>
      </c>
      <c r="C72" s="282"/>
      <c r="D72" s="283"/>
      <c r="E72" s="283"/>
      <c r="F72" s="283"/>
      <c r="G72" s="283"/>
      <c r="H72" s="284"/>
      <c r="I72" s="329"/>
      <c r="J72" s="282"/>
      <c r="K72" s="283"/>
      <c r="L72" s="283"/>
      <c r="M72" s="284"/>
      <c r="N72" s="329"/>
      <c r="O72" s="285"/>
      <c r="Q72" s="504"/>
      <c r="R72" s="530"/>
      <c r="S72" s="531"/>
      <c r="T72" s="531"/>
      <c r="U72" s="531"/>
      <c r="V72" s="531"/>
      <c r="W72" s="531"/>
      <c r="X72" s="531"/>
      <c r="Y72" s="531"/>
      <c r="Z72" s="532"/>
    </row>
    <row r="73" spans="1:26" ht="23.25" customHeight="1" x14ac:dyDescent="0.2">
      <c r="A73" s="381">
        <f t="shared" si="1"/>
        <v>27</v>
      </c>
      <c r="B73" s="413">
        <f>'2 KYU'!B81</f>
        <v>0</v>
      </c>
      <c r="C73" s="334"/>
      <c r="D73" s="335"/>
      <c r="E73" s="335"/>
      <c r="F73" s="335"/>
      <c r="G73" s="335"/>
      <c r="H73" s="336"/>
      <c r="I73" s="337"/>
      <c r="J73" s="334"/>
      <c r="K73" s="335"/>
      <c r="L73" s="335"/>
      <c r="M73" s="336"/>
      <c r="N73" s="337"/>
      <c r="O73" s="338"/>
      <c r="Q73" s="505" t="s">
        <v>5</v>
      </c>
      <c r="R73" s="507">
        <v>1</v>
      </c>
      <c r="S73" s="566" t="s">
        <v>148</v>
      </c>
      <c r="T73" s="566"/>
      <c r="U73" s="566"/>
      <c r="V73" s="566"/>
      <c r="W73" s="566"/>
      <c r="X73" s="566"/>
      <c r="Y73" s="568" t="s">
        <v>153</v>
      </c>
      <c r="Z73" s="569"/>
    </row>
    <row r="74" spans="1:26" ht="23.25" customHeight="1" thickBot="1" x14ac:dyDescent="0.25">
      <c r="A74" s="384">
        <f t="shared" si="1"/>
        <v>28</v>
      </c>
      <c r="B74" s="414">
        <f>'2 KYU'!B82</f>
        <v>0</v>
      </c>
      <c r="C74" s="282"/>
      <c r="D74" s="283"/>
      <c r="E74" s="283"/>
      <c r="F74" s="283"/>
      <c r="G74" s="283"/>
      <c r="H74" s="284"/>
      <c r="I74" s="329"/>
      <c r="J74" s="282"/>
      <c r="K74" s="283"/>
      <c r="L74" s="283"/>
      <c r="M74" s="284"/>
      <c r="N74" s="329"/>
      <c r="O74" s="285"/>
      <c r="Q74" s="504"/>
      <c r="R74" s="508"/>
      <c r="S74" s="567"/>
      <c r="T74" s="567"/>
      <c r="U74" s="567"/>
      <c r="V74" s="567"/>
      <c r="W74" s="567"/>
      <c r="X74" s="567"/>
      <c r="Y74" s="556"/>
      <c r="Z74" s="529"/>
    </row>
    <row r="75" spans="1:26" ht="23.25" customHeight="1" x14ac:dyDescent="0.2">
      <c r="A75" s="381">
        <f t="shared" si="1"/>
        <v>29</v>
      </c>
      <c r="B75" s="413">
        <f>'2 KYU'!B83</f>
        <v>0</v>
      </c>
      <c r="C75" s="334"/>
      <c r="D75" s="335"/>
      <c r="E75" s="335"/>
      <c r="F75" s="335"/>
      <c r="G75" s="335"/>
      <c r="H75" s="336"/>
      <c r="I75" s="337"/>
      <c r="J75" s="334"/>
      <c r="K75" s="335"/>
      <c r="L75" s="335"/>
      <c r="M75" s="336"/>
      <c r="N75" s="337"/>
      <c r="O75" s="338"/>
      <c r="Q75" s="504"/>
      <c r="R75" s="508"/>
      <c r="S75" s="567"/>
      <c r="T75" s="567"/>
      <c r="U75" s="567"/>
      <c r="V75" s="567"/>
      <c r="W75" s="567"/>
      <c r="X75" s="567"/>
      <c r="Y75" s="556"/>
      <c r="Z75" s="529"/>
    </row>
    <row r="76" spans="1:26" ht="23.25" customHeight="1" thickBot="1" x14ac:dyDescent="0.25">
      <c r="A76" s="384">
        <f t="shared" si="1"/>
        <v>30</v>
      </c>
      <c r="B76" s="414">
        <f>'2 KYU'!B84</f>
        <v>0</v>
      </c>
      <c r="C76" s="282"/>
      <c r="D76" s="283"/>
      <c r="E76" s="283"/>
      <c r="F76" s="283"/>
      <c r="G76" s="283"/>
      <c r="H76" s="284"/>
      <c r="I76" s="329"/>
      <c r="J76" s="282"/>
      <c r="K76" s="283"/>
      <c r="L76" s="283"/>
      <c r="M76" s="284"/>
      <c r="N76" s="329"/>
      <c r="O76" s="285"/>
      <c r="Q76" s="504"/>
      <c r="R76" s="508"/>
      <c r="S76" s="567"/>
      <c r="T76" s="567"/>
      <c r="U76" s="567"/>
      <c r="V76" s="567"/>
      <c r="W76" s="567"/>
      <c r="X76" s="567"/>
      <c r="Y76" s="560"/>
      <c r="Z76" s="570"/>
    </row>
    <row r="77" spans="1:26" ht="18.75" customHeight="1" x14ac:dyDescent="0.2">
      <c r="A77" s="269" t="s">
        <v>237</v>
      </c>
      <c r="B77" s="270"/>
      <c r="C77" s="270"/>
      <c r="D77" s="270"/>
      <c r="E77" s="270"/>
      <c r="F77" s="270"/>
      <c r="G77" s="278" t="s">
        <v>238</v>
      </c>
      <c r="H77" s="270"/>
      <c r="I77" s="270"/>
      <c r="J77" s="270"/>
      <c r="K77" s="270"/>
      <c r="L77" s="270"/>
      <c r="M77" s="270"/>
      <c r="N77" s="270"/>
      <c r="O77" s="271"/>
      <c r="Q77" s="504"/>
      <c r="R77" s="508">
        <v>2</v>
      </c>
      <c r="S77" s="571" t="s">
        <v>149</v>
      </c>
      <c r="T77" s="571"/>
      <c r="U77" s="571"/>
      <c r="V77" s="571"/>
      <c r="W77" s="571"/>
      <c r="X77" s="571"/>
      <c r="Y77" s="572" t="s">
        <v>154</v>
      </c>
      <c r="Z77" s="573"/>
    </row>
    <row r="78" spans="1:26" ht="15" customHeight="1" x14ac:dyDescent="0.2">
      <c r="A78" s="298" t="s">
        <v>8</v>
      </c>
      <c r="B78" s="120" t="s">
        <v>127</v>
      </c>
      <c r="G78" s="263" t="s">
        <v>243</v>
      </c>
      <c r="O78" s="273"/>
      <c r="Q78" s="504"/>
      <c r="R78" s="508"/>
      <c r="S78" s="571"/>
      <c r="T78" s="571"/>
      <c r="U78" s="571"/>
      <c r="V78" s="571"/>
      <c r="W78" s="571"/>
      <c r="X78" s="571"/>
      <c r="Y78" s="550"/>
      <c r="Z78" s="551"/>
    </row>
    <row r="79" spans="1:26" ht="15" customHeight="1" x14ac:dyDescent="0.2">
      <c r="A79" s="298" t="s">
        <v>9</v>
      </c>
      <c r="B79" s="120" t="s">
        <v>128</v>
      </c>
      <c r="G79" s="152" t="s">
        <v>247</v>
      </c>
      <c r="O79" s="273"/>
      <c r="Q79" s="504"/>
      <c r="R79" s="508"/>
      <c r="S79" s="571"/>
      <c r="T79" s="571"/>
      <c r="U79" s="571"/>
      <c r="V79" s="571"/>
      <c r="W79" s="571"/>
      <c r="X79" s="571"/>
      <c r="Y79" s="550"/>
      <c r="Z79" s="551"/>
    </row>
    <row r="80" spans="1:26" ht="15" customHeight="1" x14ac:dyDescent="0.2">
      <c r="A80" s="298" t="s">
        <v>11</v>
      </c>
      <c r="B80" s="160" t="s">
        <v>129</v>
      </c>
      <c r="G80" s="153" t="s">
        <v>244</v>
      </c>
      <c r="O80" s="273"/>
      <c r="Q80" s="504"/>
      <c r="R80" s="508"/>
      <c r="S80" s="571"/>
      <c r="T80" s="571"/>
      <c r="U80" s="571"/>
      <c r="V80" s="571"/>
      <c r="W80" s="571"/>
      <c r="X80" s="571"/>
      <c r="Y80" s="574"/>
      <c r="Z80" s="575"/>
    </row>
    <row r="81" spans="1:26" ht="15" customHeight="1" x14ac:dyDescent="0.2">
      <c r="A81" s="298" t="s">
        <v>12</v>
      </c>
      <c r="B81" s="154" t="s">
        <v>130</v>
      </c>
      <c r="G81" s="297" t="s">
        <v>245</v>
      </c>
      <c r="O81" s="273"/>
      <c r="Q81" s="504"/>
      <c r="R81" s="563">
        <v>3</v>
      </c>
      <c r="S81" s="554" t="s">
        <v>150</v>
      </c>
      <c r="T81" s="557"/>
      <c r="U81" s="557"/>
      <c r="V81" s="557"/>
      <c r="W81" s="557"/>
      <c r="X81" s="558"/>
      <c r="Y81" s="554" t="s">
        <v>155</v>
      </c>
      <c r="Z81" s="555"/>
    </row>
    <row r="82" spans="1:26" ht="15" customHeight="1" x14ac:dyDescent="0.2">
      <c r="A82" s="298" t="s">
        <v>13</v>
      </c>
      <c r="B82" s="154" t="s">
        <v>131</v>
      </c>
      <c r="G82" s="496" t="s">
        <v>246</v>
      </c>
      <c r="H82" s="497"/>
      <c r="I82" s="497"/>
      <c r="J82" s="497"/>
      <c r="K82" s="497"/>
      <c r="L82" s="497"/>
      <c r="M82" s="497"/>
      <c r="N82" s="497"/>
      <c r="O82" s="498"/>
      <c r="Q82" s="504"/>
      <c r="R82" s="564"/>
      <c r="S82" s="556"/>
      <c r="T82" s="528"/>
      <c r="U82" s="528"/>
      <c r="V82" s="528"/>
      <c r="W82" s="528"/>
      <c r="X82" s="559"/>
      <c r="Y82" s="556"/>
      <c r="Z82" s="529"/>
    </row>
    <row r="83" spans="1:26" ht="15" customHeight="1" x14ac:dyDescent="0.2">
      <c r="A83" s="298" t="s">
        <v>111</v>
      </c>
      <c r="B83" s="154" t="s">
        <v>132</v>
      </c>
      <c r="G83" s="499"/>
      <c r="H83" s="497"/>
      <c r="I83" s="497"/>
      <c r="J83" s="497"/>
      <c r="K83" s="497"/>
      <c r="L83" s="497"/>
      <c r="M83" s="497"/>
      <c r="N83" s="497"/>
      <c r="O83" s="498"/>
      <c r="Q83" s="504"/>
      <c r="R83" s="565"/>
      <c r="S83" s="560"/>
      <c r="T83" s="561"/>
      <c r="U83" s="561"/>
      <c r="V83" s="561"/>
      <c r="W83" s="561"/>
      <c r="X83" s="562"/>
      <c r="Y83" s="556"/>
      <c r="Z83" s="529"/>
    </row>
    <row r="84" spans="1:26" ht="15" customHeight="1" x14ac:dyDescent="0.2">
      <c r="A84" s="272"/>
      <c r="B84" s="160"/>
      <c r="G84" s="499"/>
      <c r="H84" s="497"/>
      <c r="I84" s="497"/>
      <c r="J84" s="497"/>
      <c r="K84" s="497"/>
      <c r="L84" s="497"/>
      <c r="M84" s="497"/>
      <c r="N84" s="497"/>
      <c r="O84" s="498"/>
      <c r="Q84" s="504"/>
      <c r="R84" s="508">
        <v>4</v>
      </c>
      <c r="S84" s="571" t="s">
        <v>151</v>
      </c>
      <c r="T84" s="577"/>
      <c r="U84" s="577"/>
      <c r="V84" s="577"/>
      <c r="W84" s="577"/>
      <c r="X84" s="577"/>
      <c r="Y84" s="550" t="s">
        <v>152</v>
      </c>
      <c r="Z84" s="551"/>
    </row>
    <row r="85" spans="1:26" ht="15" customHeight="1" x14ac:dyDescent="0.2">
      <c r="A85" s="274"/>
      <c r="B85" s="160"/>
      <c r="G85" s="262"/>
      <c r="O85" s="273"/>
      <c r="Q85" s="504"/>
      <c r="R85" s="508"/>
      <c r="S85" s="577"/>
      <c r="T85" s="577"/>
      <c r="U85" s="577"/>
      <c r="V85" s="577"/>
      <c r="W85" s="577"/>
      <c r="X85" s="577"/>
      <c r="Y85" s="550"/>
      <c r="Z85" s="551"/>
    </row>
    <row r="86" spans="1:26" ht="15" customHeight="1" x14ac:dyDescent="0.2">
      <c r="A86" s="274"/>
      <c r="G86" s="279"/>
      <c r="O86" s="273"/>
      <c r="Q86" s="504"/>
      <c r="R86" s="508"/>
      <c r="S86" s="577"/>
      <c r="T86" s="577"/>
      <c r="U86" s="577"/>
      <c r="V86" s="577"/>
      <c r="W86" s="577"/>
      <c r="X86" s="577"/>
      <c r="Y86" s="550"/>
      <c r="Z86" s="551"/>
    </row>
    <row r="87" spans="1:26" ht="9" customHeight="1" thickBot="1" x14ac:dyDescent="0.25">
      <c r="A87" s="275"/>
      <c r="B87" s="276"/>
      <c r="C87" s="276"/>
      <c r="D87" s="276"/>
      <c r="E87" s="276"/>
      <c r="F87" s="276"/>
      <c r="G87" s="280"/>
      <c r="H87" s="276"/>
      <c r="I87" s="276"/>
      <c r="J87" s="276"/>
      <c r="K87" s="276"/>
      <c r="L87" s="276"/>
      <c r="M87" s="276"/>
      <c r="N87" s="276"/>
      <c r="O87" s="277"/>
      <c r="Q87" s="506"/>
      <c r="R87" s="576"/>
      <c r="S87" s="578"/>
      <c r="T87" s="578"/>
      <c r="U87" s="578"/>
      <c r="V87" s="578"/>
      <c r="W87" s="578"/>
      <c r="X87" s="578"/>
      <c r="Y87" s="552"/>
      <c r="Z87" s="553"/>
    </row>
    <row r="88" spans="1:26" ht="6.75" customHeight="1" x14ac:dyDescent="0.2"/>
    <row r="89" spans="1:26" s="88" customFormat="1" ht="15" x14ac:dyDescent="0.25">
      <c r="B89" s="88" t="s">
        <v>53</v>
      </c>
      <c r="C89" s="89"/>
      <c r="J89" s="88" t="s">
        <v>54</v>
      </c>
      <c r="W89" s="88" t="s">
        <v>55</v>
      </c>
    </row>
    <row r="90" spans="1:26" s="18" customFormat="1" ht="16.5" customHeight="1" x14ac:dyDescent="0.2">
      <c r="C90" s="19"/>
    </row>
    <row r="91" spans="1:26" s="18" customFormat="1" ht="18" customHeight="1" x14ac:dyDescent="0.2">
      <c r="C91" s="19"/>
    </row>
    <row r="92" spans="1:26" s="18" customFormat="1" ht="17.25" customHeight="1" x14ac:dyDescent="0.2">
      <c r="B92" s="90"/>
      <c r="C92" s="19"/>
      <c r="J92" s="90"/>
      <c r="K92" s="90"/>
      <c r="L92" s="90"/>
      <c r="M92" s="90"/>
      <c r="N92" s="90"/>
      <c r="O92" s="90"/>
      <c r="W92" s="90"/>
      <c r="X92" s="90"/>
      <c r="Y92" s="90"/>
      <c r="Z92" s="90"/>
    </row>
    <row r="93" spans="1:26" s="18" customFormat="1" ht="18" customHeight="1" x14ac:dyDescent="0.2">
      <c r="B93" s="18" t="s">
        <v>56</v>
      </c>
      <c r="C93" s="19"/>
      <c r="J93" s="18" t="s">
        <v>56</v>
      </c>
      <c r="W93" s="18" t="s">
        <v>57</v>
      </c>
    </row>
    <row r="94" spans="1:26" s="18" customFormat="1" ht="15.75" customHeight="1" x14ac:dyDescent="0.2">
      <c r="B94" s="18" t="s">
        <v>58</v>
      </c>
      <c r="C94" s="19"/>
      <c r="J94" s="18" t="s">
        <v>59</v>
      </c>
      <c r="W94" s="18" t="s">
        <v>58</v>
      </c>
    </row>
    <row r="95" spans="1:26" ht="4.5" customHeight="1" thickBot="1" x14ac:dyDescent="0.25"/>
    <row r="96" spans="1:26" ht="23.25" customHeight="1" thickBot="1" x14ac:dyDescent="0.25">
      <c r="A96" s="381">
        <v>31</v>
      </c>
      <c r="B96" s="413">
        <f>'2 KYU'!B108</f>
        <v>0</v>
      </c>
      <c r="C96" s="334"/>
      <c r="D96" s="335"/>
      <c r="E96" s="335"/>
      <c r="F96" s="335"/>
      <c r="G96" s="335"/>
      <c r="H96" s="336"/>
      <c r="I96" s="337"/>
      <c r="J96" s="334"/>
      <c r="K96" s="335"/>
      <c r="L96" s="335"/>
      <c r="M96" s="336"/>
      <c r="N96" s="337"/>
      <c r="O96" s="338"/>
      <c r="Q96" s="268"/>
      <c r="R96" s="500" t="s">
        <v>156</v>
      </c>
      <c r="S96" s="501"/>
      <c r="T96" s="501"/>
      <c r="U96" s="501"/>
      <c r="V96" s="501"/>
      <c r="W96" s="501"/>
      <c r="X96" s="501"/>
      <c r="Y96" s="501"/>
      <c r="Z96" s="502"/>
    </row>
    <row r="97" spans="1:26" ht="23.25" customHeight="1" thickTop="1" thickBot="1" x14ac:dyDescent="0.25">
      <c r="A97" s="384">
        <f>A96+1</f>
        <v>32</v>
      </c>
      <c r="B97" s="414">
        <f>'2 KYU'!B109</f>
        <v>0</v>
      </c>
      <c r="C97" s="282"/>
      <c r="D97" s="283"/>
      <c r="E97" s="283"/>
      <c r="F97" s="283"/>
      <c r="G97" s="283"/>
      <c r="H97" s="284"/>
      <c r="I97" s="329"/>
      <c r="J97" s="282"/>
      <c r="K97" s="283"/>
      <c r="L97" s="283"/>
      <c r="M97" s="284"/>
      <c r="N97" s="329"/>
      <c r="O97" s="285"/>
      <c r="Q97" s="503" t="s">
        <v>4</v>
      </c>
      <c r="R97" s="524" t="s">
        <v>241</v>
      </c>
      <c r="S97" s="525"/>
      <c r="T97" s="525"/>
      <c r="U97" s="525"/>
      <c r="V97" s="525"/>
      <c r="W97" s="525"/>
      <c r="X97" s="525"/>
      <c r="Y97" s="525"/>
      <c r="Z97" s="526"/>
    </row>
    <row r="98" spans="1:26" ht="23.25" customHeight="1" x14ac:dyDescent="0.2">
      <c r="A98" s="381">
        <f t="shared" ref="A98:A105" si="2">A97+1</f>
        <v>33</v>
      </c>
      <c r="B98" s="413">
        <f>'2 KYU'!B110</f>
        <v>0</v>
      </c>
      <c r="C98" s="334"/>
      <c r="D98" s="335"/>
      <c r="E98" s="335"/>
      <c r="F98" s="335"/>
      <c r="G98" s="335"/>
      <c r="H98" s="336"/>
      <c r="I98" s="337"/>
      <c r="J98" s="334"/>
      <c r="K98" s="335"/>
      <c r="L98" s="335"/>
      <c r="M98" s="336"/>
      <c r="N98" s="337"/>
      <c r="O98" s="338"/>
      <c r="Q98" s="504"/>
      <c r="R98" s="527"/>
      <c r="S98" s="528"/>
      <c r="T98" s="528"/>
      <c r="U98" s="528"/>
      <c r="V98" s="528"/>
      <c r="W98" s="528"/>
      <c r="X98" s="528"/>
      <c r="Y98" s="528"/>
      <c r="Z98" s="529"/>
    </row>
    <row r="99" spans="1:26" ht="23.25" customHeight="1" thickBot="1" x14ac:dyDescent="0.25">
      <c r="A99" s="384">
        <f t="shared" si="2"/>
        <v>34</v>
      </c>
      <c r="B99" s="414">
        <f>'2 KYU'!B111</f>
        <v>0</v>
      </c>
      <c r="C99" s="282"/>
      <c r="D99" s="283"/>
      <c r="E99" s="283"/>
      <c r="F99" s="283"/>
      <c r="G99" s="283"/>
      <c r="H99" s="284"/>
      <c r="I99" s="329"/>
      <c r="J99" s="282"/>
      <c r="K99" s="283"/>
      <c r="L99" s="283"/>
      <c r="M99" s="284"/>
      <c r="N99" s="329"/>
      <c r="O99" s="285"/>
      <c r="Q99" s="504"/>
      <c r="R99" s="527"/>
      <c r="S99" s="528"/>
      <c r="T99" s="528"/>
      <c r="U99" s="528"/>
      <c r="V99" s="528"/>
      <c r="W99" s="528"/>
      <c r="X99" s="528"/>
      <c r="Y99" s="528"/>
      <c r="Z99" s="529"/>
    </row>
    <row r="100" spans="1:26" ht="23.25" customHeight="1" x14ac:dyDescent="0.2">
      <c r="A100" s="381">
        <f t="shared" si="2"/>
        <v>35</v>
      </c>
      <c r="B100" s="413">
        <f>'2 KYU'!B112</f>
        <v>0</v>
      </c>
      <c r="C100" s="334"/>
      <c r="D100" s="335"/>
      <c r="E100" s="335"/>
      <c r="F100" s="335"/>
      <c r="G100" s="335"/>
      <c r="H100" s="336"/>
      <c r="I100" s="337"/>
      <c r="J100" s="334"/>
      <c r="K100" s="335"/>
      <c r="L100" s="335"/>
      <c r="M100" s="336"/>
      <c r="N100" s="337"/>
      <c r="O100" s="338"/>
      <c r="Q100" s="504"/>
      <c r="R100" s="527"/>
      <c r="S100" s="528"/>
      <c r="T100" s="528"/>
      <c r="U100" s="528"/>
      <c r="V100" s="528"/>
      <c r="W100" s="528"/>
      <c r="X100" s="528"/>
      <c r="Y100" s="528"/>
      <c r="Z100" s="529"/>
    </row>
    <row r="101" spans="1:26" ht="23.25" customHeight="1" thickBot="1" x14ac:dyDescent="0.25">
      <c r="A101" s="384">
        <f t="shared" si="2"/>
        <v>36</v>
      </c>
      <c r="B101" s="414">
        <f>'2 KYU'!B113</f>
        <v>0</v>
      </c>
      <c r="C101" s="282"/>
      <c r="D101" s="283"/>
      <c r="E101" s="283"/>
      <c r="F101" s="283"/>
      <c r="G101" s="283"/>
      <c r="H101" s="284"/>
      <c r="I101" s="329"/>
      <c r="J101" s="282"/>
      <c r="K101" s="283"/>
      <c r="L101" s="283"/>
      <c r="M101" s="284"/>
      <c r="N101" s="329"/>
      <c r="O101" s="285"/>
      <c r="Q101" s="504"/>
      <c r="R101" s="530"/>
      <c r="S101" s="531"/>
      <c r="T101" s="531"/>
      <c r="U101" s="531"/>
      <c r="V101" s="531"/>
      <c r="W101" s="531"/>
      <c r="X101" s="531"/>
      <c r="Y101" s="531"/>
      <c r="Z101" s="532"/>
    </row>
    <row r="102" spans="1:26" ht="23.25" customHeight="1" x14ac:dyDescent="0.2">
      <c r="A102" s="381">
        <f t="shared" si="2"/>
        <v>37</v>
      </c>
      <c r="B102" s="413">
        <f>'2 KYU'!B114</f>
        <v>0</v>
      </c>
      <c r="C102" s="334"/>
      <c r="D102" s="335"/>
      <c r="E102" s="335"/>
      <c r="F102" s="335"/>
      <c r="G102" s="335"/>
      <c r="H102" s="336"/>
      <c r="I102" s="337"/>
      <c r="J102" s="334"/>
      <c r="K102" s="335"/>
      <c r="L102" s="335"/>
      <c r="M102" s="336"/>
      <c r="N102" s="337"/>
      <c r="O102" s="338"/>
      <c r="Q102" s="505" t="s">
        <v>5</v>
      </c>
      <c r="R102" s="507">
        <v>1</v>
      </c>
      <c r="S102" s="566" t="s">
        <v>148</v>
      </c>
      <c r="T102" s="566"/>
      <c r="U102" s="566"/>
      <c r="V102" s="566"/>
      <c r="W102" s="566"/>
      <c r="X102" s="566"/>
      <c r="Y102" s="568" t="s">
        <v>153</v>
      </c>
      <c r="Z102" s="569"/>
    </row>
    <row r="103" spans="1:26" ht="23.25" customHeight="1" thickBot="1" x14ac:dyDescent="0.25">
      <c r="A103" s="384">
        <f t="shared" si="2"/>
        <v>38</v>
      </c>
      <c r="B103" s="414">
        <f>'2 KYU'!B115</f>
        <v>0</v>
      </c>
      <c r="C103" s="282"/>
      <c r="D103" s="283"/>
      <c r="E103" s="283"/>
      <c r="F103" s="283"/>
      <c r="G103" s="283"/>
      <c r="H103" s="284"/>
      <c r="I103" s="329"/>
      <c r="J103" s="282"/>
      <c r="K103" s="283"/>
      <c r="L103" s="283"/>
      <c r="M103" s="284"/>
      <c r="N103" s="329"/>
      <c r="O103" s="285"/>
      <c r="Q103" s="504"/>
      <c r="R103" s="508"/>
      <c r="S103" s="567"/>
      <c r="T103" s="567"/>
      <c r="U103" s="567"/>
      <c r="V103" s="567"/>
      <c r="W103" s="567"/>
      <c r="X103" s="567"/>
      <c r="Y103" s="556"/>
      <c r="Z103" s="529"/>
    </row>
    <row r="104" spans="1:26" ht="23.25" customHeight="1" x14ac:dyDescent="0.2">
      <c r="A104" s="381">
        <f t="shared" si="2"/>
        <v>39</v>
      </c>
      <c r="B104" s="413">
        <f>'2 KYU'!B116</f>
        <v>0</v>
      </c>
      <c r="C104" s="334"/>
      <c r="D104" s="335"/>
      <c r="E104" s="335"/>
      <c r="F104" s="335"/>
      <c r="G104" s="335"/>
      <c r="H104" s="336"/>
      <c r="I104" s="337"/>
      <c r="J104" s="334"/>
      <c r="K104" s="335"/>
      <c r="L104" s="335"/>
      <c r="M104" s="336"/>
      <c r="N104" s="337"/>
      <c r="O104" s="338"/>
      <c r="Q104" s="504"/>
      <c r="R104" s="508"/>
      <c r="S104" s="567"/>
      <c r="T104" s="567"/>
      <c r="U104" s="567"/>
      <c r="V104" s="567"/>
      <c r="W104" s="567"/>
      <c r="X104" s="567"/>
      <c r="Y104" s="556"/>
      <c r="Z104" s="529"/>
    </row>
    <row r="105" spans="1:26" ht="23.25" customHeight="1" thickBot="1" x14ac:dyDescent="0.25">
      <c r="A105" s="384">
        <f t="shared" si="2"/>
        <v>40</v>
      </c>
      <c r="B105" s="414">
        <f>'2 KYU'!B117</f>
        <v>0</v>
      </c>
      <c r="C105" s="282"/>
      <c r="D105" s="283"/>
      <c r="E105" s="283"/>
      <c r="F105" s="283"/>
      <c r="G105" s="283"/>
      <c r="H105" s="284"/>
      <c r="I105" s="329"/>
      <c r="J105" s="282"/>
      <c r="K105" s="283"/>
      <c r="L105" s="283"/>
      <c r="M105" s="284"/>
      <c r="N105" s="329"/>
      <c r="O105" s="285"/>
      <c r="Q105" s="504"/>
      <c r="R105" s="508"/>
      <c r="S105" s="567"/>
      <c r="T105" s="567"/>
      <c r="U105" s="567"/>
      <c r="V105" s="567"/>
      <c r="W105" s="567"/>
      <c r="X105" s="567"/>
      <c r="Y105" s="560"/>
      <c r="Z105" s="570"/>
    </row>
    <row r="106" spans="1:26" ht="18.75" customHeight="1" x14ac:dyDescent="0.2">
      <c r="A106" s="269" t="s">
        <v>237</v>
      </c>
      <c r="B106" s="270"/>
      <c r="C106" s="270"/>
      <c r="D106" s="270"/>
      <c r="E106" s="270"/>
      <c r="F106" s="270"/>
      <c r="G106" s="278" t="s">
        <v>238</v>
      </c>
      <c r="H106" s="270"/>
      <c r="I106" s="270"/>
      <c r="J106" s="270"/>
      <c r="K106" s="270"/>
      <c r="L106" s="270"/>
      <c r="M106" s="270"/>
      <c r="N106" s="270"/>
      <c r="O106" s="271"/>
      <c r="Q106" s="504"/>
      <c r="R106" s="508">
        <v>2</v>
      </c>
      <c r="S106" s="571" t="s">
        <v>149</v>
      </c>
      <c r="T106" s="571"/>
      <c r="U106" s="571"/>
      <c r="V106" s="571"/>
      <c r="W106" s="571"/>
      <c r="X106" s="571"/>
      <c r="Y106" s="572" t="s">
        <v>154</v>
      </c>
      <c r="Z106" s="573"/>
    </row>
    <row r="107" spans="1:26" ht="15" customHeight="1" x14ac:dyDescent="0.2">
      <c r="A107" s="298" t="s">
        <v>8</v>
      </c>
      <c r="B107" s="120" t="s">
        <v>127</v>
      </c>
      <c r="G107" s="263" t="s">
        <v>243</v>
      </c>
      <c r="O107" s="273"/>
      <c r="Q107" s="504"/>
      <c r="R107" s="508"/>
      <c r="S107" s="571"/>
      <c r="T107" s="571"/>
      <c r="U107" s="571"/>
      <c r="V107" s="571"/>
      <c r="W107" s="571"/>
      <c r="X107" s="571"/>
      <c r="Y107" s="550"/>
      <c r="Z107" s="551"/>
    </row>
    <row r="108" spans="1:26" ht="15" customHeight="1" x14ac:dyDescent="0.2">
      <c r="A108" s="298" t="s">
        <v>9</v>
      </c>
      <c r="B108" s="120" t="s">
        <v>128</v>
      </c>
      <c r="G108" s="152" t="s">
        <v>247</v>
      </c>
      <c r="O108" s="273"/>
      <c r="Q108" s="504"/>
      <c r="R108" s="508"/>
      <c r="S108" s="571"/>
      <c r="T108" s="571"/>
      <c r="U108" s="571"/>
      <c r="V108" s="571"/>
      <c r="W108" s="571"/>
      <c r="X108" s="571"/>
      <c r="Y108" s="550"/>
      <c r="Z108" s="551"/>
    </row>
    <row r="109" spans="1:26" ht="15" customHeight="1" x14ac:dyDescent="0.2">
      <c r="A109" s="298" t="s">
        <v>11</v>
      </c>
      <c r="B109" s="160" t="s">
        <v>129</v>
      </c>
      <c r="G109" s="153" t="s">
        <v>244</v>
      </c>
      <c r="O109" s="273"/>
      <c r="Q109" s="504"/>
      <c r="R109" s="508"/>
      <c r="S109" s="571"/>
      <c r="T109" s="571"/>
      <c r="U109" s="571"/>
      <c r="V109" s="571"/>
      <c r="W109" s="571"/>
      <c r="X109" s="571"/>
      <c r="Y109" s="574"/>
      <c r="Z109" s="575"/>
    </row>
    <row r="110" spans="1:26" ht="15" customHeight="1" x14ac:dyDescent="0.2">
      <c r="A110" s="298" t="s">
        <v>12</v>
      </c>
      <c r="B110" s="154" t="s">
        <v>130</v>
      </c>
      <c r="G110" s="297" t="s">
        <v>245</v>
      </c>
      <c r="O110" s="273"/>
      <c r="Q110" s="504"/>
      <c r="R110" s="563">
        <v>3</v>
      </c>
      <c r="S110" s="554" t="s">
        <v>150</v>
      </c>
      <c r="T110" s="557"/>
      <c r="U110" s="557"/>
      <c r="V110" s="557"/>
      <c r="W110" s="557"/>
      <c r="X110" s="558"/>
      <c r="Y110" s="554" t="s">
        <v>155</v>
      </c>
      <c r="Z110" s="555"/>
    </row>
    <row r="111" spans="1:26" ht="15" customHeight="1" x14ac:dyDescent="0.2">
      <c r="A111" s="298" t="s">
        <v>13</v>
      </c>
      <c r="B111" s="154" t="s">
        <v>131</v>
      </c>
      <c r="G111" s="496" t="s">
        <v>246</v>
      </c>
      <c r="H111" s="497"/>
      <c r="I111" s="497"/>
      <c r="J111" s="497"/>
      <c r="K111" s="497"/>
      <c r="L111" s="497"/>
      <c r="M111" s="497"/>
      <c r="N111" s="497"/>
      <c r="O111" s="498"/>
      <c r="Q111" s="504"/>
      <c r="R111" s="564"/>
      <c r="S111" s="556"/>
      <c r="T111" s="528"/>
      <c r="U111" s="528"/>
      <c r="V111" s="528"/>
      <c r="W111" s="528"/>
      <c r="X111" s="559"/>
      <c r="Y111" s="556"/>
      <c r="Z111" s="529"/>
    </row>
    <row r="112" spans="1:26" ht="15" customHeight="1" x14ac:dyDescent="0.2">
      <c r="A112" s="298" t="s">
        <v>111</v>
      </c>
      <c r="B112" s="154" t="s">
        <v>132</v>
      </c>
      <c r="G112" s="499"/>
      <c r="H112" s="497"/>
      <c r="I112" s="497"/>
      <c r="J112" s="497"/>
      <c r="K112" s="497"/>
      <c r="L112" s="497"/>
      <c r="M112" s="497"/>
      <c r="N112" s="497"/>
      <c r="O112" s="498"/>
      <c r="Q112" s="504"/>
      <c r="R112" s="565"/>
      <c r="S112" s="560"/>
      <c r="T112" s="561"/>
      <c r="U112" s="561"/>
      <c r="V112" s="561"/>
      <c r="W112" s="561"/>
      <c r="X112" s="562"/>
      <c r="Y112" s="556"/>
      <c r="Z112" s="529"/>
    </row>
    <row r="113" spans="1:26" ht="15" customHeight="1" x14ac:dyDescent="0.2">
      <c r="A113" s="272"/>
      <c r="B113" s="160"/>
      <c r="G113" s="499"/>
      <c r="H113" s="497"/>
      <c r="I113" s="497"/>
      <c r="J113" s="497"/>
      <c r="K113" s="497"/>
      <c r="L113" s="497"/>
      <c r="M113" s="497"/>
      <c r="N113" s="497"/>
      <c r="O113" s="498"/>
      <c r="Q113" s="504"/>
      <c r="R113" s="508">
        <v>4</v>
      </c>
      <c r="S113" s="571" t="s">
        <v>151</v>
      </c>
      <c r="T113" s="577"/>
      <c r="U113" s="577"/>
      <c r="V113" s="577"/>
      <c r="W113" s="577"/>
      <c r="X113" s="577"/>
      <c r="Y113" s="550" t="s">
        <v>152</v>
      </c>
      <c r="Z113" s="551"/>
    </row>
    <row r="114" spans="1:26" ht="15" customHeight="1" x14ac:dyDescent="0.2">
      <c r="A114" s="274"/>
      <c r="B114" s="160"/>
      <c r="G114" s="262"/>
      <c r="O114" s="273"/>
      <c r="Q114" s="504"/>
      <c r="R114" s="508"/>
      <c r="S114" s="577"/>
      <c r="T114" s="577"/>
      <c r="U114" s="577"/>
      <c r="V114" s="577"/>
      <c r="W114" s="577"/>
      <c r="X114" s="577"/>
      <c r="Y114" s="550"/>
      <c r="Z114" s="551"/>
    </row>
    <row r="115" spans="1:26" ht="15" customHeight="1" x14ac:dyDescent="0.2">
      <c r="A115" s="274"/>
      <c r="G115" s="279"/>
      <c r="O115" s="273"/>
      <c r="Q115" s="504"/>
      <c r="R115" s="508"/>
      <c r="S115" s="577"/>
      <c r="T115" s="577"/>
      <c r="U115" s="577"/>
      <c r="V115" s="577"/>
      <c r="W115" s="577"/>
      <c r="X115" s="577"/>
      <c r="Y115" s="550"/>
      <c r="Z115" s="551"/>
    </row>
    <row r="116" spans="1:26" ht="9" customHeight="1" thickBot="1" x14ac:dyDescent="0.25">
      <c r="A116" s="275"/>
      <c r="B116" s="276"/>
      <c r="C116" s="276"/>
      <c r="D116" s="276"/>
      <c r="E116" s="276"/>
      <c r="F116" s="276"/>
      <c r="G116" s="280"/>
      <c r="H116" s="276"/>
      <c r="I116" s="276"/>
      <c r="J116" s="276"/>
      <c r="K116" s="276"/>
      <c r="L116" s="276"/>
      <c r="M116" s="276"/>
      <c r="N116" s="276"/>
      <c r="O116" s="277"/>
      <c r="Q116" s="506"/>
      <c r="R116" s="576"/>
      <c r="S116" s="578"/>
      <c r="T116" s="578"/>
      <c r="U116" s="578"/>
      <c r="V116" s="578"/>
      <c r="W116" s="578"/>
      <c r="X116" s="578"/>
      <c r="Y116" s="552"/>
      <c r="Z116" s="553"/>
    </row>
    <row r="117" spans="1:26" ht="6.75" customHeight="1" x14ac:dyDescent="0.2"/>
    <row r="118" spans="1:26" s="88" customFormat="1" ht="15" x14ac:dyDescent="0.25">
      <c r="B118" s="88" t="s">
        <v>53</v>
      </c>
      <c r="C118" s="89"/>
      <c r="J118" s="88" t="s">
        <v>54</v>
      </c>
      <c r="W118" s="88" t="s">
        <v>55</v>
      </c>
    </row>
    <row r="119" spans="1:26" s="18" customFormat="1" ht="16.5" customHeight="1" x14ac:dyDescent="0.2">
      <c r="C119" s="19"/>
    </row>
    <row r="120" spans="1:26" s="18" customFormat="1" ht="18" customHeight="1" x14ac:dyDescent="0.2">
      <c r="C120" s="19"/>
    </row>
    <row r="121" spans="1:26" s="18" customFormat="1" ht="17.25" customHeight="1" x14ac:dyDescent="0.2">
      <c r="B121" s="90"/>
      <c r="C121" s="19"/>
      <c r="J121" s="90"/>
      <c r="K121" s="90"/>
      <c r="L121" s="90"/>
      <c r="M121" s="90"/>
      <c r="N121" s="90"/>
      <c r="O121" s="90"/>
      <c r="W121" s="90"/>
      <c r="X121" s="90"/>
      <c r="Y121" s="90"/>
      <c r="Z121" s="90"/>
    </row>
    <row r="122" spans="1:26" s="18" customFormat="1" ht="18" customHeight="1" x14ac:dyDescent="0.2">
      <c r="B122" s="18" t="s">
        <v>56</v>
      </c>
      <c r="C122" s="19"/>
      <c r="J122" s="18" t="s">
        <v>56</v>
      </c>
      <c r="W122" s="18" t="s">
        <v>57</v>
      </c>
    </row>
    <row r="123" spans="1:26" s="18" customFormat="1" ht="15.75" customHeight="1" x14ac:dyDescent="0.2">
      <c r="B123" s="18" t="s">
        <v>58</v>
      </c>
      <c r="C123" s="19"/>
      <c r="J123" s="18" t="s">
        <v>59</v>
      </c>
      <c r="W123" s="18" t="s">
        <v>58</v>
      </c>
    </row>
    <row r="124" spans="1:26" ht="4.5" customHeight="1" thickBot="1" x14ac:dyDescent="0.25"/>
    <row r="125" spans="1:26" ht="23.25" customHeight="1" thickBot="1" x14ac:dyDescent="0.25">
      <c r="A125" s="381">
        <v>41</v>
      </c>
      <c r="B125" s="413">
        <f>'2 KYU'!B141</f>
        <v>0</v>
      </c>
      <c r="C125" s="334"/>
      <c r="D125" s="335"/>
      <c r="E125" s="335"/>
      <c r="F125" s="335"/>
      <c r="G125" s="335"/>
      <c r="H125" s="336"/>
      <c r="I125" s="337"/>
      <c r="J125" s="334"/>
      <c r="K125" s="335"/>
      <c r="L125" s="335"/>
      <c r="M125" s="336"/>
      <c r="N125" s="337"/>
      <c r="O125" s="338"/>
      <c r="Q125" s="268"/>
      <c r="R125" s="500" t="s">
        <v>156</v>
      </c>
      <c r="S125" s="501"/>
      <c r="T125" s="501"/>
      <c r="U125" s="501"/>
      <c r="V125" s="501"/>
      <c r="W125" s="501"/>
      <c r="X125" s="501"/>
      <c r="Y125" s="501"/>
      <c r="Z125" s="502"/>
    </row>
    <row r="126" spans="1:26" ht="23.25" customHeight="1" thickTop="1" thickBot="1" x14ac:dyDescent="0.25">
      <c r="A126" s="384">
        <f>A125+1</f>
        <v>42</v>
      </c>
      <c r="B126" s="414">
        <f>'2 KYU'!B142</f>
        <v>0</v>
      </c>
      <c r="C126" s="282"/>
      <c r="D126" s="283"/>
      <c r="E126" s="283"/>
      <c r="F126" s="283"/>
      <c r="G126" s="283"/>
      <c r="H126" s="284"/>
      <c r="I126" s="329"/>
      <c r="J126" s="282"/>
      <c r="K126" s="283"/>
      <c r="L126" s="283"/>
      <c r="M126" s="284"/>
      <c r="N126" s="329"/>
      <c r="O126" s="285"/>
      <c r="Q126" s="503" t="s">
        <v>4</v>
      </c>
      <c r="R126" s="524" t="s">
        <v>241</v>
      </c>
      <c r="S126" s="525"/>
      <c r="T126" s="525"/>
      <c r="U126" s="525"/>
      <c r="V126" s="525"/>
      <c r="W126" s="525"/>
      <c r="X126" s="525"/>
      <c r="Y126" s="525"/>
      <c r="Z126" s="526"/>
    </row>
    <row r="127" spans="1:26" ht="23.25" customHeight="1" x14ac:dyDescent="0.2">
      <c r="A127" s="381">
        <f t="shared" ref="A127:A134" si="3">A126+1</f>
        <v>43</v>
      </c>
      <c r="B127" s="413">
        <f>'2 KYU'!B143</f>
        <v>0</v>
      </c>
      <c r="C127" s="334"/>
      <c r="D127" s="335"/>
      <c r="E127" s="335"/>
      <c r="F127" s="335"/>
      <c r="G127" s="335"/>
      <c r="H127" s="336"/>
      <c r="I127" s="337"/>
      <c r="J127" s="334"/>
      <c r="K127" s="335"/>
      <c r="L127" s="335"/>
      <c r="M127" s="336"/>
      <c r="N127" s="337"/>
      <c r="O127" s="338"/>
      <c r="Q127" s="504"/>
      <c r="R127" s="527"/>
      <c r="S127" s="528"/>
      <c r="T127" s="528"/>
      <c r="U127" s="528"/>
      <c r="V127" s="528"/>
      <c r="W127" s="528"/>
      <c r="X127" s="528"/>
      <c r="Y127" s="528"/>
      <c r="Z127" s="529"/>
    </row>
    <row r="128" spans="1:26" ht="23.25" customHeight="1" thickBot="1" x14ac:dyDescent="0.25">
      <c r="A128" s="384">
        <f t="shared" si="3"/>
        <v>44</v>
      </c>
      <c r="B128" s="414">
        <f>'2 KYU'!B144</f>
        <v>0</v>
      </c>
      <c r="C128" s="282"/>
      <c r="D128" s="283"/>
      <c r="E128" s="283"/>
      <c r="F128" s="283"/>
      <c r="G128" s="283"/>
      <c r="H128" s="284"/>
      <c r="I128" s="329"/>
      <c r="J128" s="282"/>
      <c r="K128" s="283"/>
      <c r="L128" s="283"/>
      <c r="M128" s="284"/>
      <c r="N128" s="329"/>
      <c r="O128" s="285"/>
      <c r="Q128" s="504"/>
      <c r="R128" s="527"/>
      <c r="S128" s="528"/>
      <c r="T128" s="528"/>
      <c r="U128" s="528"/>
      <c r="V128" s="528"/>
      <c r="W128" s="528"/>
      <c r="X128" s="528"/>
      <c r="Y128" s="528"/>
      <c r="Z128" s="529"/>
    </row>
    <row r="129" spans="1:26" ht="23.25" customHeight="1" x14ac:dyDescent="0.2">
      <c r="A129" s="381">
        <f t="shared" si="3"/>
        <v>45</v>
      </c>
      <c r="B129" s="413">
        <f>'2 KYU'!B145</f>
        <v>0</v>
      </c>
      <c r="C129" s="334"/>
      <c r="D129" s="335"/>
      <c r="E129" s="335"/>
      <c r="F129" s="335"/>
      <c r="G129" s="335"/>
      <c r="H129" s="336"/>
      <c r="I129" s="337"/>
      <c r="J129" s="334"/>
      <c r="K129" s="335"/>
      <c r="L129" s="335"/>
      <c r="M129" s="336"/>
      <c r="N129" s="337"/>
      <c r="O129" s="338"/>
      <c r="Q129" s="504"/>
      <c r="R129" s="527"/>
      <c r="S129" s="528"/>
      <c r="T129" s="528"/>
      <c r="U129" s="528"/>
      <c r="V129" s="528"/>
      <c r="W129" s="528"/>
      <c r="X129" s="528"/>
      <c r="Y129" s="528"/>
      <c r="Z129" s="529"/>
    </row>
    <row r="130" spans="1:26" ht="23.25" customHeight="1" thickBot="1" x14ac:dyDescent="0.25">
      <c r="A130" s="384">
        <f t="shared" si="3"/>
        <v>46</v>
      </c>
      <c r="B130" s="414">
        <f>'2 KYU'!B146</f>
        <v>0</v>
      </c>
      <c r="C130" s="282"/>
      <c r="D130" s="283"/>
      <c r="E130" s="283"/>
      <c r="F130" s="283"/>
      <c r="G130" s="283"/>
      <c r="H130" s="284"/>
      <c r="I130" s="329"/>
      <c r="J130" s="282"/>
      <c r="K130" s="283"/>
      <c r="L130" s="283"/>
      <c r="M130" s="284"/>
      <c r="N130" s="329"/>
      <c r="O130" s="285"/>
      <c r="Q130" s="504"/>
      <c r="R130" s="530"/>
      <c r="S130" s="531"/>
      <c r="T130" s="531"/>
      <c r="U130" s="531"/>
      <c r="V130" s="531"/>
      <c r="W130" s="531"/>
      <c r="X130" s="531"/>
      <c r="Y130" s="531"/>
      <c r="Z130" s="532"/>
    </row>
    <row r="131" spans="1:26" ht="23.25" customHeight="1" x14ac:dyDescent="0.2">
      <c r="A131" s="381">
        <f t="shared" si="3"/>
        <v>47</v>
      </c>
      <c r="B131" s="413">
        <f>'2 KYU'!B147</f>
        <v>0</v>
      </c>
      <c r="C131" s="334"/>
      <c r="D131" s="335"/>
      <c r="E131" s="335"/>
      <c r="F131" s="335"/>
      <c r="G131" s="335"/>
      <c r="H131" s="336"/>
      <c r="I131" s="337"/>
      <c r="J131" s="334"/>
      <c r="K131" s="335"/>
      <c r="L131" s="335"/>
      <c r="M131" s="336"/>
      <c r="N131" s="337"/>
      <c r="O131" s="338"/>
      <c r="Q131" s="505" t="s">
        <v>5</v>
      </c>
      <c r="R131" s="507">
        <v>1</v>
      </c>
      <c r="S131" s="566" t="s">
        <v>148</v>
      </c>
      <c r="T131" s="566"/>
      <c r="U131" s="566"/>
      <c r="V131" s="566"/>
      <c r="W131" s="566"/>
      <c r="X131" s="566"/>
      <c r="Y131" s="568" t="s">
        <v>153</v>
      </c>
      <c r="Z131" s="569"/>
    </row>
    <row r="132" spans="1:26" ht="23.25" customHeight="1" thickBot="1" x14ac:dyDescent="0.25">
      <c r="A132" s="384">
        <f t="shared" si="3"/>
        <v>48</v>
      </c>
      <c r="B132" s="414">
        <f>'2 KYU'!B148</f>
        <v>0</v>
      </c>
      <c r="C132" s="282"/>
      <c r="D132" s="283"/>
      <c r="E132" s="283"/>
      <c r="F132" s="283"/>
      <c r="G132" s="283"/>
      <c r="H132" s="284"/>
      <c r="I132" s="329"/>
      <c r="J132" s="282"/>
      <c r="K132" s="283"/>
      <c r="L132" s="283"/>
      <c r="M132" s="284"/>
      <c r="N132" s="329"/>
      <c r="O132" s="285"/>
      <c r="Q132" s="504"/>
      <c r="R132" s="508"/>
      <c r="S132" s="567"/>
      <c r="T132" s="567"/>
      <c r="U132" s="567"/>
      <c r="V132" s="567"/>
      <c r="W132" s="567"/>
      <c r="X132" s="567"/>
      <c r="Y132" s="556"/>
      <c r="Z132" s="529"/>
    </row>
    <row r="133" spans="1:26" ht="23.25" customHeight="1" x14ac:dyDescent="0.2">
      <c r="A133" s="381">
        <f t="shared" si="3"/>
        <v>49</v>
      </c>
      <c r="B133" s="413">
        <f>'2 KYU'!B149</f>
        <v>0</v>
      </c>
      <c r="C133" s="334"/>
      <c r="D133" s="335"/>
      <c r="E133" s="335"/>
      <c r="F133" s="335"/>
      <c r="G133" s="335"/>
      <c r="H133" s="336"/>
      <c r="I133" s="337"/>
      <c r="J133" s="334"/>
      <c r="K133" s="335"/>
      <c r="L133" s="335"/>
      <c r="M133" s="336"/>
      <c r="N133" s="337"/>
      <c r="O133" s="338"/>
      <c r="Q133" s="504"/>
      <c r="R133" s="508"/>
      <c r="S133" s="567"/>
      <c r="T133" s="567"/>
      <c r="U133" s="567"/>
      <c r="V133" s="567"/>
      <c r="W133" s="567"/>
      <c r="X133" s="567"/>
      <c r="Y133" s="556"/>
      <c r="Z133" s="529"/>
    </row>
    <row r="134" spans="1:26" ht="23.25" customHeight="1" thickBot="1" x14ac:dyDescent="0.25">
      <c r="A134" s="384">
        <f t="shared" si="3"/>
        <v>50</v>
      </c>
      <c r="B134" s="414">
        <f>'2 KYU'!B150</f>
        <v>0</v>
      </c>
      <c r="C134" s="282"/>
      <c r="D134" s="283"/>
      <c r="E134" s="283"/>
      <c r="F134" s="283"/>
      <c r="G134" s="283"/>
      <c r="H134" s="284"/>
      <c r="I134" s="329"/>
      <c r="J134" s="282"/>
      <c r="K134" s="283"/>
      <c r="L134" s="283"/>
      <c r="M134" s="284"/>
      <c r="N134" s="329"/>
      <c r="O134" s="285"/>
      <c r="Q134" s="504"/>
      <c r="R134" s="508"/>
      <c r="S134" s="567"/>
      <c r="T134" s="567"/>
      <c r="U134" s="567"/>
      <c r="V134" s="567"/>
      <c r="W134" s="567"/>
      <c r="X134" s="567"/>
      <c r="Y134" s="560"/>
      <c r="Z134" s="570"/>
    </row>
    <row r="135" spans="1:26" ht="18.75" customHeight="1" x14ac:dyDescent="0.2">
      <c r="A135" s="269" t="s">
        <v>237</v>
      </c>
      <c r="B135" s="270"/>
      <c r="C135" s="270"/>
      <c r="D135" s="270"/>
      <c r="E135" s="270"/>
      <c r="F135" s="270"/>
      <c r="G135" s="278" t="s">
        <v>238</v>
      </c>
      <c r="H135" s="270"/>
      <c r="I135" s="270"/>
      <c r="J135" s="270"/>
      <c r="K135" s="270"/>
      <c r="L135" s="270"/>
      <c r="M135" s="270"/>
      <c r="N135" s="270"/>
      <c r="O135" s="271"/>
      <c r="Q135" s="504"/>
      <c r="R135" s="508">
        <v>2</v>
      </c>
      <c r="S135" s="571" t="s">
        <v>149</v>
      </c>
      <c r="T135" s="571"/>
      <c r="U135" s="571"/>
      <c r="V135" s="571"/>
      <c r="W135" s="571"/>
      <c r="X135" s="571"/>
      <c r="Y135" s="572" t="s">
        <v>154</v>
      </c>
      <c r="Z135" s="573"/>
    </row>
    <row r="136" spans="1:26" ht="15" customHeight="1" x14ac:dyDescent="0.2">
      <c r="A136" s="298" t="s">
        <v>8</v>
      </c>
      <c r="B136" s="120" t="s">
        <v>127</v>
      </c>
      <c r="G136" s="263" t="s">
        <v>243</v>
      </c>
      <c r="O136" s="273"/>
      <c r="Q136" s="504"/>
      <c r="R136" s="508"/>
      <c r="S136" s="571"/>
      <c r="T136" s="571"/>
      <c r="U136" s="571"/>
      <c r="V136" s="571"/>
      <c r="W136" s="571"/>
      <c r="X136" s="571"/>
      <c r="Y136" s="550"/>
      <c r="Z136" s="551"/>
    </row>
    <row r="137" spans="1:26" ht="15" customHeight="1" x14ac:dyDescent="0.2">
      <c r="A137" s="298" t="s">
        <v>9</v>
      </c>
      <c r="B137" s="120" t="s">
        <v>128</v>
      </c>
      <c r="G137" s="152" t="s">
        <v>247</v>
      </c>
      <c r="O137" s="273"/>
      <c r="Q137" s="504"/>
      <c r="R137" s="508"/>
      <c r="S137" s="571"/>
      <c r="T137" s="571"/>
      <c r="U137" s="571"/>
      <c r="V137" s="571"/>
      <c r="W137" s="571"/>
      <c r="X137" s="571"/>
      <c r="Y137" s="550"/>
      <c r="Z137" s="551"/>
    </row>
    <row r="138" spans="1:26" ht="15" customHeight="1" x14ac:dyDescent="0.2">
      <c r="A138" s="298" t="s">
        <v>11</v>
      </c>
      <c r="B138" s="160" t="s">
        <v>129</v>
      </c>
      <c r="G138" s="153" t="s">
        <v>244</v>
      </c>
      <c r="O138" s="273"/>
      <c r="Q138" s="504"/>
      <c r="R138" s="508"/>
      <c r="S138" s="571"/>
      <c r="T138" s="571"/>
      <c r="U138" s="571"/>
      <c r="V138" s="571"/>
      <c r="W138" s="571"/>
      <c r="X138" s="571"/>
      <c r="Y138" s="574"/>
      <c r="Z138" s="575"/>
    </row>
    <row r="139" spans="1:26" ht="15" customHeight="1" x14ac:dyDescent="0.2">
      <c r="A139" s="298" t="s">
        <v>12</v>
      </c>
      <c r="B139" s="154" t="s">
        <v>130</v>
      </c>
      <c r="G139" s="297" t="s">
        <v>245</v>
      </c>
      <c r="O139" s="273"/>
      <c r="Q139" s="504"/>
      <c r="R139" s="563">
        <v>3</v>
      </c>
      <c r="S139" s="554" t="s">
        <v>150</v>
      </c>
      <c r="T139" s="557"/>
      <c r="U139" s="557"/>
      <c r="V139" s="557"/>
      <c r="W139" s="557"/>
      <c r="X139" s="558"/>
      <c r="Y139" s="554" t="s">
        <v>155</v>
      </c>
      <c r="Z139" s="555"/>
    </row>
    <row r="140" spans="1:26" ht="15" customHeight="1" x14ac:dyDescent="0.2">
      <c r="A140" s="298" t="s">
        <v>13</v>
      </c>
      <c r="B140" s="154" t="s">
        <v>131</v>
      </c>
      <c r="G140" s="496" t="s">
        <v>246</v>
      </c>
      <c r="H140" s="497"/>
      <c r="I140" s="497"/>
      <c r="J140" s="497"/>
      <c r="K140" s="497"/>
      <c r="L140" s="497"/>
      <c r="M140" s="497"/>
      <c r="N140" s="497"/>
      <c r="O140" s="498"/>
      <c r="Q140" s="504"/>
      <c r="R140" s="564"/>
      <c r="S140" s="556"/>
      <c r="T140" s="528"/>
      <c r="U140" s="528"/>
      <c r="V140" s="528"/>
      <c r="W140" s="528"/>
      <c r="X140" s="559"/>
      <c r="Y140" s="556"/>
      <c r="Z140" s="529"/>
    </row>
    <row r="141" spans="1:26" ht="15" customHeight="1" x14ac:dyDescent="0.2">
      <c r="A141" s="298" t="s">
        <v>111</v>
      </c>
      <c r="B141" s="154" t="s">
        <v>132</v>
      </c>
      <c r="G141" s="499"/>
      <c r="H141" s="497"/>
      <c r="I141" s="497"/>
      <c r="J141" s="497"/>
      <c r="K141" s="497"/>
      <c r="L141" s="497"/>
      <c r="M141" s="497"/>
      <c r="N141" s="497"/>
      <c r="O141" s="498"/>
      <c r="Q141" s="504"/>
      <c r="R141" s="565"/>
      <c r="S141" s="560"/>
      <c r="T141" s="561"/>
      <c r="U141" s="561"/>
      <c r="V141" s="561"/>
      <c r="W141" s="561"/>
      <c r="X141" s="562"/>
      <c r="Y141" s="556"/>
      <c r="Z141" s="529"/>
    </row>
    <row r="142" spans="1:26" ht="15" customHeight="1" x14ac:dyDescent="0.2">
      <c r="A142" s="272"/>
      <c r="B142" s="160"/>
      <c r="G142" s="499"/>
      <c r="H142" s="497"/>
      <c r="I142" s="497"/>
      <c r="J142" s="497"/>
      <c r="K142" s="497"/>
      <c r="L142" s="497"/>
      <c r="M142" s="497"/>
      <c r="N142" s="497"/>
      <c r="O142" s="498"/>
      <c r="Q142" s="504"/>
      <c r="R142" s="508">
        <v>4</v>
      </c>
      <c r="S142" s="571" t="s">
        <v>151</v>
      </c>
      <c r="T142" s="577"/>
      <c r="U142" s="577"/>
      <c r="V142" s="577"/>
      <c r="W142" s="577"/>
      <c r="X142" s="577"/>
      <c r="Y142" s="550" t="s">
        <v>152</v>
      </c>
      <c r="Z142" s="551"/>
    </row>
    <row r="143" spans="1:26" ht="15" customHeight="1" x14ac:dyDescent="0.2">
      <c r="A143" s="274"/>
      <c r="B143" s="160"/>
      <c r="G143" s="262"/>
      <c r="O143" s="273"/>
      <c r="Q143" s="504"/>
      <c r="R143" s="508"/>
      <c r="S143" s="577"/>
      <c r="T143" s="577"/>
      <c r="U143" s="577"/>
      <c r="V143" s="577"/>
      <c r="W143" s="577"/>
      <c r="X143" s="577"/>
      <c r="Y143" s="550"/>
      <c r="Z143" s="551"/>
    </row>
    <row r="144" spans="1:26" ht="15" customHeight="1" x14ac:dyDescent="0.2">
      <c r="A144" s="274"/>
      <c r="G144" s="279"/>
      <c r="O144" s="273"/>
      <c r="Q144" s="504"/>
      <c r="R144" s="508"/>
      <c r="S144" s="577"/>
      <c r="T144" s="577"/>
      <c r="U144" s="577"/>
      <c r="V144" s="577"/>
      <c r="W144" s="577"/>
      <c r="X144" s="577"/>
      <c r="Y144" s="550"/>
      <c r="Z144" s="551"/>
    </row>
    <row r="145" spans="1:26" ht="9" customHeight="1" thickBot="1" x14ac:dyDescent="0.25">
      <c r="A145" s="275"/>
      <c r="B145" s="276"/>
      <c r="C145" s="276"/>
      <c r="D145" s="276"/>
      <c r="E145" s="276"/>
      <c r="F145" s="276"/>
      <c r="G145" s="280"/>
      <c r="H145" s="276"/>
      <c r="I145" s="276"/>
      <c r="J145" s="276"/>
      <c r="K145" s="276"/>
      <c r="L145" s="276"/>
      <c r="M145" s="276"/>
      <c r="N145" s="276"/>
      <c r="O145" s="277"/>
      <c r="Q145" s="506"/>
      <c r="R145" s="576"/>
      <c r="S145" s="578"/>
      <c r="T145" s="578"/>
      <c r="U145" s="578"/>
      <c r="V145" s="578"/>
      <c r="W145" s="578"/>
      <c r="X145" s="578"/>
      <c r="Y145" s="552"/>
      <c r="Z145" s="553"/>
    </row>
    <row r="146" spans="1:26" ht="6.75" customHeight="1" x14ac:dyDescent="0.2"/>
    <row r="147" spans="1:26" s="88" customFormat="1" ht="15" x14ac:dyDescent="0.25">
      <c r="B147" s="88" t="s">
        <v>53</v>
      </c>
      <c r="C147" s="89"/>
      <c r="J147" s="88" t="s">
        <v>54</v>
      </c>
      <c r="W147" s="88" t="s">
        <v>55</v>
      </c>
    </row>
    <row r="148" spans="1:26" s="18" customFormat="1" ht="16.5" customHeight="1" x14ac:dyDescent="0.2">
      <c r="C148" s="19"/>
    </row>
    <row r="149" spans="1:26" s="18" customFormat="1" ht="18" customHeight="1" x14ac:dyDescent="0.2">
      <c r="C149" s="19"/>
    </row>
    <row r="150" spans="1:26" s="18" customFormat="1" ht="17.25" customHeight="1" x14ac:dyDescent="0.2">
      <c r="B150" s="90"/>
      <c r="C150" s="19"/>
      <c r="J150" s="90"/>
      <c r="K150" s="90"/>
      <c r="L150" s="90"/>
      <c r="M150" s="90"/>
      <c r="N150" s="90"/>
      <c r="O150" s="90"/>
      <c r="W150" s="90"/>
      <c r="X150" s="90"/>
      <c r="Y150" s="90"/>
      <c r="Z150" s="90"/>
    </row>
    <row r="151" spans="1:26" s="18" customFormat="1" ht="18" customHeight="1" x14ac:dyDescent="0.2">
      <c r="B151" s="18" t="s">
        <v>56</v>
      </c>
      <c r="C151" s="19"/>
      <c r="J151" s="18" t="s">
        <v>56</v>
      </c>
      <c r="W151" s="18" t="s">
        <v>57</v>
      </c>
    </row>
    <row r="152" spans="1:26" s="18" customFormat="1" ht="15.75" customHeight="1" x14ac:dyDescent="0.2">
      <c r="B152" s="18" t="s">
        <v>58</v>
      </c>
      <c r="C152" s="19"/>
      <c r="J152" s="18" t="s">
        <v>59</v>
      </c>
      <c r="W152" s="18" t="s">
        <v>58</v>
      </c>
    </row>
    <row r="154" spans="1:26" s="394" customFormat="1" ht="21" customHeight="1" x14ac:dyDescent="0.2">
      <c r="A154" s="7" t="s">
        <v>264</v>
      </c>
      <c r="C154" s="395"/>
    </row>
  </sheetData>
  <mergeCells count="101">
    <mergeCell ref="G140:O142"/>
    <mergeCell ref="R142:R145"/>
    <mergeCell ref="S142:X145"/>
    <mergeCell ref="Y142:Z145"/>
    <mergeCell ref="Q126:Q130"/>
    <mergeCell ref="R126:Z130"/>
    <mergeCell ref="Q131:Q145"/>
    <mergeCell ref="R131:R134"/>
    <mergeCell ref="S131:X134"/>
    <mergeCell ref="Y131:Z134"/>
    <mergeCell ref="R135:R138"/>
    <mergeCell ref="S135:X138"/>
    <mergeCell ref="Y135:Z138"/>
    <mergeCell ref="R139:R141"/>
    <mergeCell ref="S139:X141"/>
    <mergeCell ref="Y139:Z141"/>
    <mergeCell ref="G111:O113"/>
    <mergeCell ref="R113:R116"/>
    <mergeCell ref="S113:X116"/>
    <mergeCell ref="Y113:Z116"/>
    <mergeCell ref="R125:Z125"/>
    <mergeCell ref="Q97:Q101"/>
    <mergeCell ref="R97:Z101"/>
    <mergeCell ref="Q102:Q116"/>
    <mergeCell ref="R102:R105"/>
    <mergeCell ref="S102:X105"/>
    <mergeCell ref="Y102:Z105"/>
    <mergeCell ref="R106:R109"/>
    <mergeCell ref="S106:X109"/>
    <mergeCell ref="Y106:Z109"/>
    <mergeCell ref="R110:R112"/>
    <mergeCell ref="S110:X112"/>
    <mergeCell ref="Y110:Z112"/>
    <mergeCell ref="G82:O84"/>
    <mergeCell ref="R84:R87"/>
    <mergeCell ref="S84:X87"/>
    <mergeCell ref="Y84:Z87"/>
    <mergeCell ref="R96:Z96"/>
    <mergeCell ref="R67:Z67"/>
    <mergeCell ref="Q68:Q72"/>
    <mergeCell ref="R68:Z72"/>
    <mergeCell ref="Q73:Q87"/>
    <mergeCell ref="R73:R76"/>
    <mergeCell ref="S73:X76"/>
    <mergeCell ref="Y73:Z76"/>
    <mergeCell ref="R77:R80"/>
    <mergeCell ref="S77:X80"/>
    <mergeCell ref="Y77:Z80"/>
    <mergeCell ref="R81:R83"/>
    <mergeCell ref="S81:X83"/>
    <mergeCell ref="Y81:Z83"/>
    <mergeCell ref="N5:N7"/>
    <mergeCell ref="A1:Z1"/>
    <mergeCell ref="A2:Z2"/>
    <mergeCell ref="A4:A8"/>
    <mergeCell ref="B4:B8"/>
    <mergeCell ref="C4:I4"/>
    <mergeCell ref="J4:N4"/>
    <mergeCell ref="O4:O7"/>
    <mergeCell ref="Q4:Z4"/>
    <mergeCell ref="C5:H6"/>
    <mergeCell ref="I5:I7"/>
    <mergeCell ref="J5:J6"/>
    <mergeCell ref="K5:K6"/>
    <mergeCell ref="L5:L6"/>
    <mergeCell ref="M5:M6"/>
    <mergeCell ref="Q5:Z7"/>
    <mergeCell ref="R9:Z9"/>
    <mergeCell ref="Q10:Q14"/>
    <mergeCell ref="R10:Z14"/>
    <mergeCell ref="Q15:Q29"/>
    <mergeCell ref="R15:R18"/>
    <mergeCell ref="S15:X18"/>
    <mergeCell ref="Y15:Z18"/>
    <mergeCell ref="R19:R22"/>
    <mergeCell ref="S19:X22"/>
    <mergeCell ref="Y19:Z22"/>
    <mergeCell ref="R23:R25"/>
    <mergeCell ref="S23:X25"/>
    <mergeCell ref="Y23:Z25"/>
    <mergeCell ref="G24:O26"/>
    <mergeCell ref="R26:R29"/>
    <mergeCell ref="S26:X29"/>
    <mergeCell ref="Y26:Z29"/>
    <mergeCell ref="Q39:Q43"/>
    <mergeCell ref="R39:Z43"/>
    <mergeCell ref="R38:Z38"/>
    <mergeCell ref="G53:O55"/>
    <mergeCell ref="R55:R58"/>
    <mergeCell ref="S55:X58"/>
    <mergeCell ref="Y55:Z58"/>
    <mergeCell ref="Q44:Q58"/>
    <mergeCell ref="R44:R47"/>
    <mergeCell ref="S44:X47"/>
    <mergeCell ref="Y44:Z47"/>
    <mergeCell ref="R48:R51"/>
    <mergeCell ref="S48:X51"/>
    <mergeCell ref="Y48:Z51"/>
    <mergeCell ref="R52:R54"/>
    <mergeCell ref="S52:X54"/>
    <mergeCell ref="Y52:Z54"/>
  </mergeCells>
  <pageMargins left="0.39" right="0.25" top="0.28999999999999998" bottom="0.22" header="0.3" footer="0.17"/>
  <pageSetup paperSize="5" scale="60" orientation="landscape" horizontalDpi="4294967293" verticalDpi="360" r:id="rId1"/>
  <rowBreaks count="4" manualBreakCount="4">
    <brk id="37" max="25" man="1"/>
    <brk id="66" max="25" man="1"/>
    <brk id="95" max="25" man="1"/>
    <brk id="124" max="2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249977111117893"/>
  </sheetPr>
  <dimension ref="A1:AS174"/>
  <sheetViews>
    <sheetView showGridLines="0" view="pageBreakPreview" topLeftCell="D1" zoomScale="85" zoomScaleNormal="100" zoomScaleSheetLayoutView="85" workbookViewId="0">
      <selection activeCell="AI7" sqref="AI7"/>
    </sheetView>
  </sheetViews>
  <sheetFormatPr defaultRowHeight="12.75" x14ac:dyDescent="0.2"/>
  <cols>
    <col min="1" max="1" width="5" customWidth="1"/>
    <col min="2" max="2" width="36.140625" customWidth="1"/>
    <col min="3" max="3" width="18" style="71" customWidth="1"/>
    <col min="4" max="4" width="25" customWidth="1"/>
    <col min="5" max="5" width="5.85546875" customWidth="1"/>
    <col min="6" max="6" width="7.7109375" customWidth="1"/>
    <col min="7" max="7" width="5.42578125" customWidth="1"/>
    <col min="8" max="10" width="4.28515625" customWidth="1"/>
    <col min="11" max="11" width="5.28515625" customWidth="1"/>
    <col min="12" max="12" width="4.28515625" customWidth="1"/>
    <col min="13" max="13" width="4.5703125" customWidth="1"/>
    <col min="14" max="23" width="4.140625" customWidth="1"/>
    <col min="24" max="24" width="4.5703125" customWidth="1"/>
    <col min="25" max="25" width="4.42578125" customWidth="1"/>
    <col min="26" max="26" width="5.5703125" customWidth="1"/>
    <col min="27" max="27" width="1.85546875" customWidth="1"/>
    <col min="28" max="29" width="17.5703125" customWidth="1"/>
    <col min="30" max="30" width="5.5703125" customWidth="1"/>
    <col min="31" max="31" width="6" customWidth="1"/>
    <col min="32" max="32" width="4.7109375" customWidth="1"/>
    <col min="34" max="34" width="1.85546875" customWidth="1"/>
  </cols>
  <sheetData>
    <row r="1" spans="1:32" s="102" customFormat="1" ht="22.5" customHeight="1" x14ac:dyDescent="0.2">
      <c r="A1" s="438" t="s">
        <v>18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S1" s="438"/>
      <c r="T1" s="438"/>
      <c r="U1" s="438"/>
      <c r="V1" s="438"/>
      <c r="W1" s="438"/>
      <c r="X1" s="438"/>
      <c r="Y1" s="438"/>
      <c r="Z1" s="438"/>
      <c r="AA1" s="438"/>
      <c r="AB1" s="438"/>
      <c r="AC1" s="438"/>
      <c r="AD1" s="438"/>
    </row>
    <row r="2" spans="1:32" ht="22.5" customHeight="1" x14ac:dyDescent="0.2">
      <c r="A2" s="438" t="s">
        <v>60</v>
      </c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438"/>
      <c r="X2" s="438"/>
      <c r="Y2" s="438"/>
      <c r="Z2" s="438"/>
      <c r="AA2" s="438"/>
      <c r="AB2" s="438"/>
      <c r="AC2" s="438"/>
      <c r="AD2" s="438"/>
      <c r="AE2" s="17"/>
      <c r="AF2" s="17"/>
    </row>
    <row r="3" spans="1:32" s="648" customFormat="1" ht="21.75" customHeight="1" thickBot="1" x14ac:dyDescent="0.25">
      <c r="A3" s="647" t="s">
        <v>253</v>
      </c>
      <c r="C3" s="649"/>
      <c r="Q3" s="650"/>
      <c r="R3" s="647"/>
    </row>
    <row r="4" spans="1:32" s="42" customFormat="1" ht="17.25" customHeight="1" thickBot="1" x14ac:dyDescent="0.25">
      <c r="A4" s="490" t="s">
        <v>0</v>
      </c>
      <c r="B4" s="490" t="s">
        <v>1</v>
      </c>
      <c r="C4" s="439" t="s">
        <v>62</v>
      </c>
      <c r="D4" s="493" t="s">
        <v>250</v>
      </c>
      <c r="E4" s="472" t="s">
        <v>249</v>
      </c>
      <c r="F4" s="472" t="s">
        <v>22</v>
      </c>
      <c r="G4" s="487" t="s">
        <v>40</v>
      </c>
      <c r="H4" s="471"/>
      <c r="I4" s="471"/>
      <c r="J4" s="471"/>
      <c r="K4" s="488"/>
      <c r="L4" s="488"/>
      <c r="M4" s="489"/>
      <c r="N4" s="474" t="s">
        <v>41</v>
      </c>
      <c r="O4" s="475"/>
      <c r="P4" s="475"/>
      <c r="Q4" s="475"/>
      <c r="R4" s="475"/>
      <c r="S4" s="475"/>
      <c r="T4" s="475"/>
      <c r="U4" s="475"/>
      <c r="V4" s="475"/>
      <c r="W4" s="476"/>
      <c r="X4" s="464" t="s">
        <v>42</v>
      </c>
      <c r="Y4" s="465"/>
      <c r="Z4" s="468" t="s">
        <v>120</v>
      </c>
      <c r="AB4" s="470" t="s">
        <v>43</v>
      </c>
      <c r="AC4" s="471"/>
      <c r="AD4" s="472" t="s">
        <v>121</v>
      </c>
      <c r="AE4" s="632" t="s">
        <v>2</v>
      </c>
    </row>
    <row r="5" spans="1:32" s="42" customFormat="1" ht="17.25" customHeight="1" thickBot="1" x14ac:dyDescent="0.25">
      <c r="A5" s="491"/>
      <c r="B5" s="491"/>
      <c r="C5" s="440"/>
      <c r="D5" s="494"/>
      <c r="E5" s="473"/>
      <c r="F5" s="473"/>
      <c r="G5" s="474">
        <v>100</v>
      </c>
      <c r="H5" s="475"/>
      <c r="I5" s="475"/>
      <c r="J5" s="475"/>
      <c r="K5" s="475"/>
      <c r="L5" s="475"/>
      <c r="M5" s="476"/>
      <c r="N5" s="474">
        <v>100</v>
      </c>
      <c r="O5" s="475"/>
      <c r="P5" s="475"/>
      <c r="Q5" s="475"/>
      <c r="R5" s="475"/>
      <c r="S5" s="475"/>
      <c r="T5" s="475"/>
      <c r="U5" s="475"/>
      <c r="V5" s="475"/>
      <c r="W5" s="476"/>
      <c r="X5" s="466"/>
      <c r="Y5" s="467"/>
      <c r="Z5" s="469"/>
      <c r="AB5" s="474">
        <v>100</v>
      </c>
      <c r="AC5" s="475"/>
      <c r="AD5" s="473"/>
      <c r="AE5" s="633"/>
    </row>
    <row r="6" spans="1:32" s="42" customFormat="1" ht="17.25" customHeight="1" thickBot="1" x14ac:dyDescent="0.25">
      <c r="A6" s="491"/>
      <c r="B6" s="491"/>
      <c r="C6" s="440"/>
      <c r="D6" s="494"/>
      <c r="E6" s="473"/>
      <c r="F6" s="473"/>
      <c r="G6" s="484" t="s">
        <v>51</v>
      </c>
      <c r="H6" s="482" t="s">
        <v>14</v>
      </c>
      <c r="I6" s="482" t="s">
        <v>27</v>
      </c>
      <c r="J6" s="482" t="s">
        <v>28</v>
      </c>
      <c r="K6" s="482" t="s">
        <v>38</v>
      </c>
      <c r="L6" s="482" t="s">
        <v>33</v>
      </c>
      <c r="M6" s="478" t="s">
        <v>39</v>
      </c>
      <c r="N6" s="474" t="s">
        <v>6</v>
      </c>
      <c r="O6" s="475"/>
      <c r="P6" s="475"/>
      <c r="Q6" s="475"/>
      <c r="R6" s="476"/>
      <c r="S6" s="474" t="s">
        <v>7</v>
      </c>
      <c r="T6" s="475"/>
      <c r="U6" s="475"/>
      <c r="V6" s="475"/>
      <c r="W6" s="476"/>
      <c r="X6" s="474">
        <v>100</v>
      </c>
      <c r="Y6" s="476"/>
      <c r="Z6" s="469"/>
      <c r="AB6" s="150" t="s">
        <v>6</v>
      </c>
      <c r="AC6" s="150" t="s">
        <v>7</v>
      </c>
      <c r="AD6" s="473"/>
      <c r="AE6" s="633"/>
    </row>
    <row r="7" spans="1:32" s="1" customFormat="1" ht="116.25" customHeight="1" x14ac:dyDescent="0.2">
      <c r="A7" s="491"/>
      <c r="B7" s="491"/>
      <c r="C7" s="440"/>
      <c r="D7" s="494"/>
      <c r="E7" s="473"/>
      <c r="F7" s="473"/>
      <c r="G7" s="485"/>
      <c r="H7" s="483"/>
      <c r="I7" s="483"/>
      <c r="J7" s="483"/>
      <c r="K7" s="483"/>
      <c r="L7" s="483"/>
      <c r="M7" s="479"/>
      <c r="N7" s="59"/>
      <c r="O7" s="55"/>
      <c r="P7" s="55"/>
      <c r="Q7" s="55"/>
      <c r="R7" s="58"/>
      <c r="S7" s="59"/>
      <c r="T7" s="55"/>
      <c r="U7" s="55"/>
      <c r="V7" s="55"/>
      <c r="W7" s="58"/>
      <c r="X7" s="185" t="s">
        <v>4</v>
      </c>
      <c r="Y7" s="184" t="s">
        <v>5</v>
      </c>
      <c r="Z7" s="469"/>
      <c r="AB7" s="186" t="s">
        <v>172</v>
      </c>
      <c r="AC7" s="186" t="s">
        <v>172</v>
      </c>
      <c r="AD7" s="473"/>
      <c r="AE7" s="633"/>
    </row>
    <row r="8" spans="1:32" s="35" customFormat="1" ht="17.25" customHeight="1" thickBot="1" x14ac:dyDescent="0.25">
      <c r="A8" s="492"/>
      <c r="B8" s="492"/>
      <c r="C8" s="441"/>
      <c r="D8" s="495"/>
      <c r="E8" s="486"/>
      <c r="F8" s="486"/>
      <c r="G8" s="33">
        <v>10</v>
      </c>
      <c r="H8" s="57">
        <v>10</v>
      </c>
      <c r="I8" s="57">
        <v>10</v>
      </c>
      <c r="J8" s="57">
        <v>10</v>
      </c>
      <c r="K8" s="57">
        <v>10</v>
      </c>
      <c r="L8" s="57">
        <v>40</v>
      </c>
      <c r="M8" s="57">
        <v>10</v>
      </c>
      <c r="N8" s="56">
        <v>10</v>
      </c>
      <c r="O8" s="57">
        <v>10</v>
      </c>
      <c r="P8" s="57">
        <v>10</v>
      </c>
      <c r="Q8" s="57">
        <v>10</v>
      </c>
      <c r="R8" s="34">
        <v>10</v>
      </c>
      <c r="S8" s="56">
        <v>10</v>
      </c>
      <c r="T8" s="57">
        <v>10</v>
      </c>
      <c r="U8" s="57">
        <v>10</v>
      </c>
      <c r="V8" s="57">
        <v>10</v>
      </c>
      <c r="W8" s="34">
        <v>10</v>
      </c>
      <c r="X8" s="56">
        <v>60</v>
      </c>
      <c r="Y8" s="34">
        <v>40</v>
      </c>
      <c r="Z8" s="72">
        <v>300</v>
      </c>
      <c r="AB8" s="56">
        <v>50</v>
      </c>
      <c r="AC8" s="73">
        <v>50</v>
      </c>
      <c r="AD8" s="73">
        <v>100</v>
      </c>
      <c r="AE8" s="73">
        <v>400</v>
      </c>
    </row>
    <row r="9" spans="1:32" s="88" customFormat="1" ht="24.95" customHeight="1" x14ac:dyDescent="0.25">
      <c r="A9" s="91">
        <v>1</v>
      </c>
      <c r="B9" s="103"/>
      <c r="C9" s="97"/>
      <c r="D9" s="103"/>
      <c r="E9" s="312"/>
      <c r="F9" s="309"/>
      <c r="G9" s="104"/>
      <c r="H9" s="105"/>
      <c r="I9" s="105"/>
      <c r="J9" s="106"/>
      <c r="K9" s="105"/>
      <c r="L9" s="105"/>
      <c r="M9" s="105"/>
      <c r="N9" s="104"/>
      <c r="O9" s="105"/>
      <c r="P9" s="105"/>
      <c r="Q9" s="105"/>
      <c r="R9" s="106"/>
      <c r="S9" s="104"/>
      <c r="T9" s="105"/>
      <c r="U9" s="105"/>
      <c r="V9" s="105"/>
      <c r="W9" s="107"/>
      <c r="X9" s="104"/>
      <c r="Y9" s="107"/>
      <c r="Z9" s="108"/>
      <c r="AB9" s="104"/>
      <c r="AC9" s="104"/>
      <c r="AD9" s="109"/>
      <c r="AE9" s="109"/>
    </row>
    <row r="10" spans="1:32" s="88" customFormat="1" ht="24.95" customHeight="1" x14ac:dyDescent="0.25">
      <c r="A10" s="95">
        <f>A9+1</f>
        <v>2</v>
      </c>
      <c r="B10" s="103"/>
      <c r="C10" s="97"/>
      <c r="D10" s="103"/>
      <c r="E10" s="97"/>
      <c r="F10" s="310"/>
      <c r="G10" s="111"/>
      <c r="H10" s="112"/>
      <c r="I10" s="112"/>
      <c r="J10" s="113"/>
      <c r="K10" s="112"/>
      <c r="L10" s="112"/>
      <c r="M10" s="112"/>
      <c r="N10" s="111"/>
      <c r="O10" s="112"/>
      <c r="P10" s="112"/>
      <c r="Q10" s="112"/>
      <c r="R10" s="113"/>
      <c r="S10" s="111"/>
      <c r="T10" s="112"/>
      <c r="U10" s="112"/>
      <c r="V10" s="112"/>
      <c r="W10" s="114"/>
      <c r="X10" s="111"/>
      <c r="Y10" s="114"/>
      <c r="Z10" s="115"/>
      <c r="AB10" s="111"/>
      <c r="AC10" s="111"/>
      <c r="AD10" s="110"/>
      <c r="AE10" s="110"/>
    </row>
    <row r="11" spans="1:32" s="88" customFormat="1" ht="24.95" customHeight="1" x14ac:dyDescent="0.25">
      <c r="A11" s="95">
        <f t="shared" ref="A11:A18" si="0">A10+1</f>
        <v>3</v>
      </c>
      <c r="B11" s="103"/>
      <c r="C11" s="97"/>
      <c r="D11" s="103"/>
      <c r="E11" s="97"/>
      <c r="F11" s="310"/>
      <c r="G11" s="111"/>
      <c r="H11" s="112"/>
      <c r="I11" s="112"/>
      <c r="J11" s="113"/>
      <c r="K11" s="112"/>
      <c r="L11" s="112"/>
      <c r="M11" s="112"/>
      <c r="N11" s="111"/>
      <c r="O11" s="112"/>
      <c r="P11" s="112"/>
      <c r="Q11" s="112"/>
      <c r="R11" s="113"/>
      <c r="S11" s="111"/>
      <c r="T11" s="112"/>
      <c r="U11" s="112"/>
      <c r="V11" s="112"/>
      <c r="W11" s="114"/>
      <c r="X11" s="111"/>
      <c r="Y11" s="114"/>
      <c r="Z11" s="115"/>
      <c r="AB11" s="111"/>
      <c r="AC11" s="111"/>
      <c r="AD11" s="110"/>
      <c r="AE11" s="110"/>
    </row>
    <row r="12" spans="1:32" s="88" customFormat="1" ht="24.95" customHeight="1" x14ac:dyDescent="0.25">
      <c r="A12" s="95">
        <f t="shared" si="0"/>
        <v>4</v>
      </c>
      <c r="B12" s="103"/>
      <c r="C12" s="97"/>
      <c r="D12" s="103"/>
      <c r="E12" s="97"/>
      <c r="F12" s="310"/>
      <c r="G12" s="111"/>
      <c r="H12" s="112"/>
      <c r="I12" s="112"/>
      <c r="J12" s="113"/>
      <c r="K12" s="112"/>
      <c r="L12" s="112"/>
      <c r="M12" s="112"/>
      <c r="N12" s="111"/>
      <c r="O12" s="112"/>
      <c r="P12" s="112"/>
      <c r="Q12" s="112"/>
      <c r="R12" s="113"/>
      <c r="S12" s="111"/>
      <c r="T12" s="112"/>
      <c r="U12" s="112"/>
      <c r="V12" s="112"/>
      <c r="W12" s="114"/>
      <c r="X12" s="111"/>
      <c r="Y12" s="114"/>
      <c r="Z12" s="115"/>
      <c r="AB12" s="111"/>
      <c r="AC12" s="111"/>
      <c r="AD12" s="110"/>
      <c r="AE12" s="110"/>
    </row>
    <row r="13" spans="1:32" s="88" customFormat="1" ht="24.95" customHeight="1" x14ac:dyDescent="0.25">
      <c r="A13" s="95">
        <f t="shared" si="0"/>
        <v>5</v>
      </c>
      <c r="B13" s="103"/>
      <c r="C13" s="97"/>
      <c r="D13" s="103"/>
      <c r="E13" s="97"/>
      <c r="F13" s="310"/>
      <c r="G13" s="111"/>
      <c r="H13" s="112"/>
      <c r="I13" s="112"/>
      <c r="J13" s="113"/>
      <c r="K13" s="112"/>
      <c r="L13" s="112"/>
      <c r="M13" s="112"/>
      <c r="N13" s="111"/>
      <c r="O13" s="112"/>
      <c r="P13" s="112"/>
      <c r="Q13" s="112"/>
      <c r="R13" s="113"/>
      <c r="S13" s="111"/>
      <c r="T13" s="112"/>
      <c r="U13" s="112"/>
      <c r="V13" s="112"/>
      <c r="W13" s="114"/>
      <c r="X13" s="111"/>
      <c r="Y13" s="114"/>
      <c r="Z13" s="115"/>
      <c r="AB13" s="111"/>
      <c r="AC13" s="111"/>
      <c r="AD13" s="110"/>
      <c r="AE13" s="110"/>
    </row>
    <row r="14" spans="1:32" s="88" customFormat="1" ht="24.95" customHeight="1" x14ac:dyDescent="0.25">
      <c r="A14" s="95">
        <f t="shared" si="0"/>
        <v>6</v>
      </c>
      <c r="B14" s="103"/>
      <c r="C14" s="97"/>
      <c r="D14" s="103"/>
      <c r="E14" s="97"/>
      <c r="F14" s="310"/>
      <c r="G14" s="111"/>
      <c r="H14" s="112"/>
      <c r="I14" s="112"/>
      <c r="J14" s="113"/>
      <c r="K14" s="112"/>
      <c r="L14" s="112"/>
      <c r="M14" s="112"/>
      <c r="N14" s="111"/>
      <c r="O14" s="112"/>
      <c r="P14" s="112"/>
      <c r="Q14" s="112"/>
      <c r="R14" s="113"/>
      <c r="S14" s="111"/>
      <c r="T14" s="112"/>
      <c r="U14" s="112"/>
      <c r="V14" s="112"/>
      <c r="W14" s="114"/>
      <c r="X14" s="111"/>
      <c r="Y14" s="114"/>
      <c r="Z14" s="115"/>
      <c r="AB14" s="111"/>
      <c r="AC14" s="111"/>
      <c r="AD14" s="110"/>
      <c r="AE14" s="110"/>
    </row>
    <row r="15" spans="1:32" s="88" customFormat="1" ht="24.95" customHeight="1" x14ac:dyDescent="0.25">
      <c r="A15" s="95">
        <f t="shared" si="0"/>
        <v>7</v>
      </c>
      <c r="B15" s="103"/>
      <c r="C15" s="97"/>
      <c r="D15" s="103"/>
      <c r="E15" s="97"/>
      <c r="F15" s="310"/>
      <c r="G15" s="111"/>
      <c r="H15" s="112"/>
      <c r="I15" s="112"/>
      <c r="J15" s="113"/>
      <c r="K15" s="112"/>
      <c r="L15" s="112"/>
      <c r="M15" s="112"/>
      <c r="N15" s="111"/>
      <c r="O15" s="112"/>
      <c r="P15" s="112"/>
      <c r="Q15" s="112"/>
      <c r="R15" s="113"/>
      <c r="S15" s="111"/>
      <c r="T15" s="112"/>
      <c r="U15" s="112"/>
      <c r="V15" s="112"/>
      <c r="W15" s="114"/>
      <c r="X15" s="111"/>
      <c r="Y15" s="114"/>
      <c r="Z15" s="115"/>
      <c r="AB15" s="111"/>
      <c r="AC15" s="111"/>
      <c r="AD15" s="110"/>
      <c r="AE15" s="110"/>
    </row>
    <row r="16" spans="1:32" s="88" customFormat="1" ht="24.95" customHeight="1" x14ac:dyDescent="0.25">
      <c r="A16" s="95">
        <f t="shared" si="0"/>
        <v>8</v>
      </c>
      <c r="B16" s="103"/>
      <c r="C16" s="97"/>
      <c r="D16" s="103"/>
      <c r="E16" s="97"/>
      <c r="F16" s="310"/>
      <c r="G16" s="111"/>
      <c r="H16" s="112"/>
      <c r="I16" s="112"/>
      <c r="J16" s="113"/>
      <c r="K16" s="112"/>
      <c r="L16" s="112"/>
      <c r="M16" s="112"/>
      <c r="N16" s="111"/>
      <c r="O16" s="112"/>
      <c r="P16" s="112"/>
      <c r="Q16" s="112"/>
      <c r="R16" s="113"/>
      <c r="S16" s="111"/>
      <c r="T16" s="112"/>
      <c r="U16" s="112"/>
      <c r="V16" s="112"/>
      <c r="W16" s="114"/>
      <c r="X16" s="111"/>
      <c r="Y16" s="114"/>
      <c r="Z16" s="115"/>
      <c r="AB16" s="111"/>
      <c r="AC16" s="111"/>
      <c r="AD16" s="110"/>
      <c r="AE16" s="110"/>
    </row>
    <row r="17" spans="1:31" s="88" customFormat="1" ht="24.95" customHeight="1" x14ac:dyDescent="0.25">
      <c r="A17" s="95">
        <f t="shared" si="0"/>
        <v>9</v>
      </c>
      <c r="B17" s="103"/>
      <c r="C17" s="97"/>
      <c r="D17" s="103"/>
      <c r="E17" s="97"/>
      <c r="F17" s="310"/>
      <c r="G17" s="111"/>
      <c r="H17" s="112"/>
      <c r="I17" s="112"/>
      <c r="J17" s="113"/>
      <c r="K17" s="112"/>
      <c r="L17" s="112"/>
      <c r="M17" s="112"/>
      <c r="N17" s="111"/>
      <c r="O17" s="112"/>
      <c r="P17" s="112"/>
      <c r="Q17" s="112"/>
      <c r="R17" s="113"/>
      <c r="S17" s="111"/>
      <c r="T17" s="112"/>
      <c r="U17" s="112"/>
      <c r="V17" s="112"/>
      <c r="W17" s="114"/>
      <c r="X17" s="111"/>
      <c r="Y17" s="114"/>
      <c r="Z17" s="115"/>
      <c r="AB17" s="111"/>
      <c r="AC17" s="111"/>
      <c r="AD17" s="110"/>
      <c r="AE17" s="110"/>
    </row>
    <row r="18" spans="1:31" s="88" customFormat="1" ht="24.95" customHeight="1" thickBot="1" x14ac:dyDescent="0.3">
      <c r="A18" s="95">
        <f t="shared" si="0"/>
        <v>10</v>
      </c>
      <c r="B18" s="103"/>
      <c r="C18" s="97"/>
      <c r="D18" s="103"/>
      <c r="E18" s="97"/>
      <c r="F18" s="310"/>
      <c r="G18" s="111"/>
      <c r="H18" s="112"/>
      <c r="I18" s="112"/>
      <c r="J18" s="113"/>
      <c r="K18" s="112"/>
      <c r="L18" s="112"/>
      <c r="M18" s="112"/>
      <c r="N18" s="111"/>
      <c r="O18" s="112"/>
      <c r="P18" s="112"/>
      <c r="Q18" s="112"/>
      <c r="R18" s="113"/>
      <c r="S18" s="111"/>
      <c r="T18" s="112"/>
      <c r="U18" s="112"/>
      <c r="V18" s="112"/>
      <c r="W18" s="114"/>
      <c r="X18" s="111"/>
      <c r="Y18" s="114"/>
      <c r="Z18" s="115"/>
      <c r="AB18" s="643"/>
      <c r="AC18" s="643"/>
      <c r="AD18" s="644"/>
      <c r="AE18" s="644"/>
    </row>
    <row r="19" spans="1:31" s="5" customFormat="1" ht="18.75" customHeight="1" x14ac:dyDescent="0.2">
      <c r="A19" s="74" t="s">
        <v>106</v>
      </c>
      <c r="B19" s="2"/>
      <c r="C19" s="44"/>
      <c r="D19" s="168"/>
      <c r="E19" s="2"/>
      <c r="F19" s="2"/>
      <c r="G19" s="2"/>
      <c r="H19" s="2"/>
      <c r="I19" s="2"/>
      <c r="J19" s="84"/>
      <c r="K19" s="3"/>
      <c r="L19" s="3"/>
      <c r="M19" s="169"/>
      <c r="N19" s="84" t="s">
        <v>110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4"/>
      <c r="AB19" s="645" t="s">
        <v>50</v>
      </c>
      <c r="AC19" s="646"/>
      <c r="AD19" s="646"/>
      <c r="AE19" s="4"/>
    </row>
    <row r="20" spans="1:31" s="17" customFormat="1" ht="12" customHeight="1" x14ac:dyDescent="0.2">
      <c r="A20" s="137" t="s">
        <v>8</v>
      </c>
      <c r="B20" s="138" t="s">
        <v>91</v>
      </c>
      <c r="C20" s="78"/>
      <c r="D20" s="170" t="s">
        <v>126</v>
      </c>
      <c r="E20" s="138"/>
      <c r="J20" s="76"/>
      <c r="K20" s="85"/>
      <c r="L20" s="76"/>
      <c r="M20" s="171"/>
      <c r="N20" s="159" t="s">
        <v>8</v>
      </c>
      <c r="O20" s="120" t="s">
        <v>135</v>
      </c>
      <c r="P20" s="135"/>
      <c r="Z20" s="77"/>
      <c r="AB20" s="463"/>
      <c r="AC20" s="639"/>
      <c r="AD20" s="639"/>
      <c r="AE20" s="77"/>
    </row>
    <row r="21" spans="1:31" s="17" customFormat="1" ht="12" customHeight="1" x14ac:dyDescent="0.2">
      <c r="A21" s="75"/>
      <c r="B21" s="138" t="s">
        <v>107</v>
      </c>
      <c r="C21" s="78"/>
      <c r="D21" s="170" t="s">
        <v>133</v>
      </c>
      <c r="E21" s="138"/>
      <c r="J21" s="76"/>
      <c r="K21" s="85"/>
      <c r="L21" s="76"/>
      <c r="M21" s="171"/>
      <c r="N21" s="159" t="s">
        <v>9</v>
      </c>
      <c r="O21" s="120" t="s">
        <v>136</v>
      </c>
      <c r="P21" s="135"/>
      <c r="Z21" s="77"/>
      <c r="AB21" s="87" t="s">
        <v>10</v>
      </c>
      <c r="AC21" s="640"/>
      <c r="AD21" s="640"/>
      <c r="AE21" s="77"/>
    </row>
    <row r="22" spans="1:31" s="17" customFormat="1" ht="12" customHeight="1" x14ac:dyDescent="0.2">
      <c r="A22" s="75"/>
      <c r="B22" s="138" t="s">
        <v>108</v>
      </c>
      <c r="C22" s="78"/>
      <c r="D22" s="170" t="s">
        <v>115</v>
      </c>
      <c r="E22" s="138"/>
      <c r="M22" s="171"/>
      <c r="N22" s="159" t="s">
        <v>11</v>
      </c>
      <c r="O22" s="120" t="s">
        <v>137</v>
      </c>
      <c r="P22" s="135"/>
      <c r="Z22" s="77"/>
      <c r="AB22" s="86" t="s">
        <v>177</v>
      </c>
      <c r="AC22" s="640"/>
      <c r="AD22" s="640"/>
      <c r="AE22" s="77"/>
    </row>
    <row r="23" spans="1:31" s="17" customFormat="1" ht="12" customHeight="1" x14ac:dyDescent="0.2">
      <c r="A23" s="137" t="s">
        <v>9</v>
      </c>
      <c r="B23" s="138" t="s">
        <v>109</v>
      </c>
      <c r="C23" s="78"/>
      <c r="D23" s="170" t="s">
        <v>118</v>
      </c>
      <c r="E23" s="138"/>
      <c r="M23" s="171"/>
      <c r="N23" s="159" t="s">
        <v>12</v>
      </c>
      <c r="O23" s="120" t="s">
        <v>138</v>
      </c>
      <c r="P23" s="135"/>
      <c r="Z23" s="77"/>
      <c r="AB23" s="86" t="s">
        <v>174</v>
      </c>
      <c r="AC23" s="640"/>
      <c r="AD23" s="640"/>
      <c r="AE23" s="77"/>
    </row>
    <row r="24" spans="1:31" s="17" customFormat="1" ht="12" customHeight="1" x14ac:dyDescent="0.2">
      <c r="A24" s="137" t="s">
        <v>11</v>
      </c>
      <c r="B24" s="457" t="s">
        <v>123</v>
      </c>
      <c r="C24" s="457"/>
      <c r="D24" s="172"/>
      <c r="J24" s="7"/>
      <c r="K24" s="52"/>
      <c r="L24" s="76"/>
      <c r="M24" s="162"/>
      <c r="N24" s="159" t="s">
        <v>13</v>
      </c>
      <c r="O24" s="120" t="s">
        <v>139</v>
      </c>
      <c r="P24" s="135"/>
      <c r="R24" s="76"/>
      <c r="V24" s="76"/>
      <c r="W24" s="78"/>
      <c r="Z24" s="77"/>
      <c r="AB24" s="86"/>
      <c r="AC24" s="640"/>
      <c r="AD24" s="640"/>
      <c r="AE24" s="77"/>
    </row>
    <row r="25" spans="1:31" s="17" customFormat="1" ht="12" customHeight="1" x14ac:dyDescent="0.2">
      <c r="A25" s="143"/>
      <c r="B25" s="457"/>
      <c r="C25" s="457"/>
      <c r="D25" s="172"/>
      <c r="J25" s="76"/>
      <c r="K25" s="85"/>
      <c r="L25" s="76"/>
      <c r="M25" s="162"/>
      <c r="N25" s="159" t="s">
        <v>111</v>
      </c>
      <c r="O25" s="120" t="s">
        <v>140</v>
      </c>
      <c r="P25" s="135"/>
      <c r="R25" s="76"/>
      <c r="V25" s="76"/>
      <c r="W25" s="78"/>
      <c r="Z25" s="77"/>
      <c r="AB25" s="87" t="s">
        <v>19</v>
      </c>
      <c r="AC25" s="640"/>
      <c r="AD25" s="641"/>
      <c r="AE25" s="77"/>
    </row>
    <row r="26" spans="1:31" s="17" customFormat="1" ht="12.75" customHeight="1" x14ac:dyDescent="0.2">
      <c r="A26" s="143"/>
      <c r="B26" s="457"/>
      <c r="C26" s="457"/>
      <c r="D26" s="166" t="s">
        <v>116</v>
      </c>
      <c r="E26" s="7"/>
      <c r="J26" s="76"/>
      <c r="K26" s="85"/>
      <c r="L26" s="76"/>
      <c r="M26" s="162"/>
      <c r="N26" s="141"/>
      <c r="O26" s="142"/>
      <c r="P26" s="135"/>
      <c r="R26" s="76"/>
      <c r="V26" s="76"/>
      <c r="W26" s="78"/>
      <c r="Z26" s="77"/>
      <c r="AB26" s="86" t="s">
        <v>175</v>
      </c>
      <c r="AC26" s="640"/>
      <c r="AD26" s="641"/>
      <c r="AE26" s="77"/>
    </row>
    <row r="27" spans="1:31" s="17" customFormat="1" ht="12" customHeight="1" x14ac:dyDescent="0.2">
      <c r="A27" s="137" t="s">
        <v>12</v>
      </c>
      <c r="B27" s="457" t="s">
        <v>124</v>
      </c>
      <c r="C27" s="457"/>
      <c r="D27" s="172"/>
      <c r="J27" s="76"/>
      <c r="K27" s="85"/>
      <c r="L27" s="76"/>
      <c r="M27" s="162"/>
      <c r="N27" s="7" t="s">
        <v>46</v>
      </c>
      <c r="R27" s="76"/>
      <c r="V27" s="76"/>
      <c r="W27" s="78"/>
      <c r="Z27" s="77"/>
      <c r="AB27" s="86" t="s">
        <v>178</v>
      </c>
      <c r="AC27" s="640"/>
      <c r="AD27" s="640"/>
      <c r="AE27" s="77"/>
    </row>
    <row r="28" spans="1:31" s="17" customFormat="1" ht="12" customHeight="1" x14ac:dyDescent="0.2">
      <c r="A28" s="143"/>
      <c r="B28" s="457"/>
      <c r="C28" s="457"/>
      <c r="D28" s="166" t="s">
        <v>44</v>
      </c>
      <c r="E28" s="7"/>
      <c r="J28" s="76"/>
      <c r="K28" s="85"/>
      <c r="L28" s="76"/>
      <c r="M28" s="162"/>
      <c r="N28" s="144" t="s">
        <v>47</v>
      </c>
      <c r="V28" s="76"/>
      <c r="W28" s="78"/>
      <c r="Z28" s="77"/>
      <c r="AB28" s="143"/>
      <c r="AC28" s="640"/>
      <c r="AD28" s="640"/>
      <c r="AE28" s="77"/>
    </row>
    <row r="29" spans="1:31" s="17" customFormat="1" ht="12" customHeight="1" x14ac:dyDescent="0.2">
      <c r="A29" s="143"/>
      <c r="B29" s="457"/>
      <c r="C29" s="457"/>
      <c r="D29" s="151" t="s">
        <v>52</v>
      </c>
      <c r="E29" s="144"/>
      <c r="J29" s="76"/>
      <c r="M29" s="171"/>
      <c r="N29" s="144" t="s">
        <v>48</v>
      </c>
      <c r="V29" s="76"/>
      <c r="W29" s="78"/>
      <c r="Z29" s="77"/>
      <c r="AB29" s="86"/>
      <c r="AC29" s="640"/>
      <c r="AD29" s="640"/>
      <c r="AE29" s="77"/>
    </row>
    <row r="30" spans="1:31" s="17" customFormat="1" ht="12" customHeight="1" x14ac:dyDescent="0.2">
      <c r="A30" s="137" t="s">
        <v>13</v>
      </c>
      <c r="B30" s="457" t="s">
        <v>125</v>
      </c>
      <c r="C30" s="457"/>
      <c r="D30" s="151" t="s">
        <v>45</v>
      </c>
      <c r="E30" s="144"/>
      <c r="J30" s="76"/>
      <c r="M30" s="171"/>
      <c r="N30" s="144" t="s">
        <v>49</v>
      </c>
      <c r="V30" s="76"/>
      <c r="W30" s="78"/>
      <c r="Z30" s="77"/>
      <c r="AB30" s="86"/>
      <c r="AC30" s="642"/>
      <c r="AD30" s="642"/>
      <c r="AE30" s="77"/>
    </row>
    <row r="31" spans="1:31" s="17" customFormat="1" ht="12.75" customHeight="1" thickBot="1" x14ac:dyDescent="0.25">
      <c r="A31" s="79"/>
      <c r="B31" s="480"/>
      <c r="C31" s="480"/>
      <c r="D31" s="167"/>
      <c r="E31" s="80"/>
      <c r="F31" s="80"/>
      <c r="G31" s="80"/>
      <c r="H31" s="80"/>
      <c r="I31" s="80"/>
      <c r="J31" s="81"/>
      <c r="K31" s="80"/>
      <c r="L31" s="80"/>
      <c r="M31" s="173"/>
      <c r="N31" s="80"/>
      <c r="O31" s="80"/>
      <c r="P31" s="80"/>
      <c r="Q31" s="80"/>
      <c r="R31" s="80"/>
      <c r="S31" s="80"/>
      <c r="T31" s="80"/>
      <c r="U31" s="80"/>
      <c r="V31" s="81"/>
      <c r="W31" s="82"/>
      <c r="X31" s="80"/>
      <c r="Y31" s="80"/>
      <c r="Z31" s="83"/>
      <c r="AB31" s="79"/>
      <c r="AC31" s="80"/>
      <c r="AD31" s="80"/>
      <c r="AE31" s="83"/>
    </row>
    <row r="32" spans="1:31" s="133" customFormat="1" ht="18" customHeight="1" x14ac:dyDescent="0.2">
      <c r="A32" s="134" t="s">
        <v>119</v>
      </c>
      <c r="B32" s="145"/>
      <c r="C32" s="146"/>
      <c r="J32" s="147"/>
      <c r="V32" s="147"/>
      <c r="W32" s="148"/>
    </row>
    <row r="33" spans="1:45" s="18" customFormat="1" ht="15" customHeight="1" x14ac:dyDescent="0.2">
      <c r="A33" s="134" t="s">
        <v>122</v>
      </c>
      <c r="C33" s="19"/>
      <c r="AI33" s="19"/>
      <c r="AJ33" s="19"/>
      <c r="AR33" s="19"/>
      <c r="AS33" s="19"/>
    </row>
    <row r="34" spans="1:45" s="18" customFormat="1" ht="7.5" customHeight="1" x14ac:dyDescent="0.2">
      <c r="C34" s="19"/>
      <c r="AI34" s="19"/>
      <c r="AJ34" s="19"/>
      <c r="AR34" s="19"/>
      <c r="AS34" s="19"/>
    </row>
    <row r="35" spans="1:45" s="88" customFormat="1" ht="15" x14ac:dyDescent="0.25">
      <c r="B35" s="88" t="s">
        <v>53</v>
      </c>
      <c r="C35" s="89"/>
      <c r="F35" s="88" t="s">
        <v>54</v>
      </c>
      <c r="Y35" s="88" t="s">
        <v>55</v>
      </c>
      <c r="AI35" s="89"/>
      <c r="AJ35" s="89"/>
      <c r="AR35" s="89"/>
      <c r="AS35" s="89"/>
    </row>
    <row r="36" spans="1:45" s="18" customFormat="1" ht="21.75" customHeight="1" x14ac:dyDescent="0.2">
      <c r="C36" s="19"/>
      <c r="AI36" s="19"/>
      <c r="AJ36" s="19"/>
      <c r="AR36" s="19"/>
      <c r="AS36" s="19"/>
    </row>
    <row r="37" spans="1:45" s="18" customFormat="1" ht="22.5" customHeight="1" x14ac:dyDescent="0.2">
      <c r="C37" s="19"/>
      <c r="AI37" s="19"/>
      <c r="AJ37" s="19"/>
      <c r="AR37" s="19"/>
      <c r="AS37" s="19"/>
    </row>
    <row r="38" spans="1:45" s="18" customFormat="1" ht="17.25" customHeight="1" x14ac:dyDescent="0.2">
      <c r="B38" s="90"/>
      <c r="C38" s="19"/>
      <c r="F38" s="90"/>
      <c r="G38" s="90"/>
      <c r="H38" s="90"/>
      <c r="I38" s="90"/>
      <c r="J38" s="90"/>
      <c r="K38" s="90"/>
      <c r="L38" s="90"/>
      <c r="M38" s="90"/>
      <c r="Y38" s="90"/>
      <c r="Z38" s="90"/>
      <c r="AA38" s="90"/>
      <c r="AB38" s="90"/>
      <c r="AC38" s="90"/>
      <c r="AI38" s="19"/>
      <c r="AJ38" s="19"/>
      <c r="AR38" s="19"/>
      <c r="AS38" s="19"/>
    </row>
    <row r="39" spans="1:45" s="18" customFormat="1" ht="18" customHeight="1" x14ac:dyDescent="0.2">
      <c r="B39" s="18" t="s">
        <v>56</v>
      </c>
      <c r="C39" s="19"/>
      <c r="F39" s="18" t="s">
        <v>56</v>
      </c>
      <c r="Y39" s="18" t="s">
        <v>57</v>
      </c>
      <c r="AI39" s="19"/>
      <c r="AJ39" s="19"/>
      <c r="AR39" s="19"/>
      <c r="AS39" s="19"/>
    </row>
    <row r="40" spans="1:45" s="18" customFormat="1" ht="15.75" customHeight="1" x14ac:dyDescent="0.2">
      <c r="B40" s="18" t="s">
        <v>58</v>
      </c>
      <c r="C40" s="19"/>
      <c r="F40" s="18" t="s">
        <v>59</v>
      </c>
      <c r="Y40" s="18" t="s">
        <v>58</v>
      </c>
      <c r="AI40" s="19"/>
      <c r="AJ40" s="19"/>
      <c r="AR40" s="19"/>
      <c r="AS40" s="19"/>
    </row>
    <row r="41" spans="1:45" s="18" customFormat="1" ht="6" customHeight="1" thickBot="1" x14ac:dyDescent="0.25">
      <c r="C41" s="19"/>
      <c r="AI41" s="19"/>
      <c r="AJ41" s="19"/>
    </row>
    <row r="42" spans="1:45" s="88" customFormat="1" ht="24.95" customHeight="1" x14ac:dyDescent="0.25">
      <c r="A42" s="294">
        <v>11</v>
      </c>
      <c r="B42" s="295"/>
      <c r="C42" s="93"/>
      <c r="D42" s="295"/>
      <c r="E42" s="93"/>
      <c r="F42" s="311"/>
      <c r="G42" s="104"/>
      <c r="H42" s="105"/>
      <c r="I42" s="105"/>
      <c r="J42" s="106"/>
      <c r="K42" s="105"/>
      <c r="L42" s="105"/>
      <c r="M42" s="105"/>
      <c r="N42" s="104"/>
      <c r="O42" s="105"/>
      <c r="P42" s="105"/>
      <c r="Q42" s="105"/>
      <c r="R42" s="106"/>
      <c r="S42" s="104"/>
      <c r="T42" s="105"/>
      <c r="U42" s="105"/>
      <c r="V42" s="105"/>
      <c r="W42" s="107"/>
      <c r="X42" s="104"/>
      <c r="Y42" s="107"/>
      <c r="Z42" s="108"/>
      <c r="AB42" s="104"/>
      <c r="AC42" s="104"/>
      <c r="AD42" s="109"/>
      <c r="AE42" s="109"/>
    </row>
    <row r="43" spans="1:45" s="88" customFormat="1" ht="24.95" customHeight="1" x14ac:dyDescent="0.25">
      <c r="A43" s="95">
        <f>A42+1</f>
        <v>12</v>
      </c>
      <c r="B43" s="103"/>
      <c r="C43" s="97"/>
      <c r="D43" s="103"/>
      <c r="E43" s="97"/>
      <c r="F43" s="310"/>
      <c r="G43" s="111"/>
      <c r="H43" s="112"/>
      <c r="I43" s="112"/>
      <c r="J43" s="113"/>
      <c r="K43" s="112"/>
      <c r="L43" s="112"/>
      <c r="M43" s="112"/>
      <c r="N43" s="111"/>
      <c r="O43" s="112"/>
      <c r="P43" s="112"/>
      <c r="Q43" s="112"/>
      <c r="R43" s="113"/>
      <c r="S43" s="111"/>
      <c r="T43" s="112"/>
      <c r="U43" s="112"/>
      <c r="V43" s="112"/>
      <c r="W43" s="114"/>
      <c r="X43" s="111"/>
      <c r="Y43" s="114"/>
      <c r="Z43" s="115"/>
      <c r="AB43" s="111"/>
      <c r="AC43" s="111"/>
      <c r="AD43" s="110"/>
      <c r="AE43" s="110"/>
    </row>
    <row r="44" spans="1:45" s="88" customFormat="1" ht="24.95" customHeight="1" x14ac:dyDescent="0.25">
      <c r="A44" s="95">
        <f t="shared" ref="A44:A51" si="1">A43+1</f>
        <v>13</v>
      </c>
      <c r="B44" s="103"/>
      <c r="C44" s="97"/>
      <c r="D44" s="103"/>
      <c r="E44" s="97"/>
      <c r="F44" s="310"/>
      <c r="G44" s="111"/>
      <c r="H44" s="112"/>
      <c r="I44" s="112"/>
      <c r="J44" s="113"/>
      <c r="K44" s="112"/>
      <c r="L44" s="112"/>
      <c r="M44" s="112"/>
      <c r="N44" s="111"/>
      <c r="O44" s="112"/>
      <c r="P44" s="112"/>
      <c r="Q44" s="112"/>
      <c r="R44" s="113"/>
      <c r="S44" s="111"/>
      <c r="T44" s="112"/>
      <c r="U44" s="112"/>
      <c r="V44" s="112"/>
      <c r="W44" s="114"/>
      <c r="X44" s="111"/>
      <c r="Y44" s="114"/>
      <c r="Z44" s="115"/>
      <c r="AB44" s="111"/>
      <c r="AC44" s="111"/>
      <c r="AD44" s="110"/>
      <c r="AE44" s="110"/>
    </row>
    <row r="45" spans="1:45" s="88" customFormat="1" ht="24.95" customHeight="1" x14ac:dyDescent="0.25">
      <c r="A45" s="95">
        <f t="shared" si="1"/>
        <v>14</v>
      </c>
      <c r="B45" s="103"/>
      <c r="C45" s="97"/>
      <c r="D45" s="103"/>
      <c r="E45" s="97"/>
      <c r="F45" s="310"/>
      <c r="G45" s="111"/>
      <c r="H45" s="112"/>
      <c r="I45" s="112"/>
      <c r="J45" s="113"/>
      <c r="K45" s="112"/>
      <c r="L45" s="112"/>
      <c r="M45" s="112"/>
      <c r="N45" s="111"/>
      <c r="O45" s="112"/>
      <c r="P45" s="112"/>
      <c r="Q45" s="112"/>
      <c r="R45" s="113"/>
      <c r="S45" s="111"/>
      <c r="T45" s="112"/>
      <c r="U45" s="112"/>
      <c r="V45" s="112"/>
      <c r="W45" s="114"/>
      <c r="X45" s="111"/>
      <c r="Y45" s="114"/>
      <c r="Z45" s="115"/>
      <c r="AB45" s="111"/>
      <c r="AC45" s="111"/>
      <c r="AD45" s="110"/>
      <c r="AE45" s="110"/>
    </row>
    <row r="46" spans="1:45" s="88" customFormat="1" ht="24.95" customHeight="1" x14ac:dyDescent="0.25">
      <c r="A46" s="95">
        <f t="shared" si="1"/>
        <v>15</v>
      </c>
      <c r="B46" s="103"/>
      <c r="C46" s="97"/>
      <c r="D46" s="103"/>
      <c r="E46" s="103"/>
      <c r="F46" s="293"/>
      <c r="G46" s="111"/>
      <c r="H46" s="112"/>
      <c r="I46" s="112"/>
      <c r="J46" s="113"/>
      <c r="K46" s="112"/>
      <c r="L46" s="112"/>
      <c r="M46" s="112"/>
      <c r="N46" s="111"/>
      <c r="O46" s="112"/>
      <c r="P46" s="112"/>
      <c r="Q46" s="112"/>
      <c r="R46" s="113"/>
      <c r="S46" s="111"/>
      <c r="T46" s="112"/>
      <c r="U46" s="112"/>
      <c r="V46" s="112"/>
      <c r="W46" s="114"/>
      <c r="X46" s="111"/>
      <c r="Y46" s="114"/>
      <c r="Z46" s="115"/>
      <c r="AB46" s="111"/>
      <c r="AC46" s="111"/>
      <c r="AD46" s="110"/>
      <c r="AE46" s="110"/>
    </row>
    <row r="47" spans="1:45" s="88" customFormat="1" ht="24.95" customHeight="1" x14ac:dyDescent="0.25">
      <c r="A47" s="95">
        <f t="shared" si="1"/>
        <v>16</v>
      </c>
      <c r="B47" s="103"/>
      <c r="C47" s="97"/>
      <c r="D47" s="103"/>
      <c r="E47" s="103"/>
      <c r="F47" s="293"/>
      <c r="G47" s="111"/>
      <c r="H47" s="112"/>
      <c r="I47" s="112"/>
      <c r="J47" s="113"/>
      <c r="K47" s="112"/>
      <c r="L47" s="112"/>
      <c r="M47" s="112"/>
      <c r="N47" s="111"/>
      <c r="O47" s="112"/>
      <c r="P47" s="112"/>
      <c r="Q47" s="112"/>
      <c r="R47" s="113"/>
      <c r="S47" s="111"/>
      <c r="T47" s="112"/>
      <c r="U47" s="112"/>
      <c r="V47" s="112"/>
      <c r="W47" s="114"/>
      <c r="X47" s="111"/>
      <c r="Y47" s="114"/>
      <c r="Z47" s="115"/>
      <c r="AB47" s="111"/>
      <c r="AC47" s="111"/>
      <c r="AD47" s="110"/>
      <c r="AE47" s="110"/>
    </row>
    <row r="48" spans="1:45" s="88" customFormat="1" ht="24.95" customHeight="1" x14ac:dyDescent="0.25">
      <c r="A48" s="95">
        <f t="shared" si="1"/>
        <v>17</v>
      </c>
      <c r="B48" s="103"/>
      <c r="C48" s="97"/>
      <c r="D48" s="103"/>
      <c r="E48" s="103"/>
      <c r="F48" s="293"/>
      <c r="G48" s="111"/>
      <c r="H48" s="112"/>
      <c r="I48" s="112"/>
      <c r="J48" s="113"/>
      <c r="K48" s="112"/>
      <c r="L48" s="112"/>
      <c r="M48" s="112"/>
      <c r="N48" s="111"/>
      <c r="O48" s="112"/>
      <c r="P48" s="112"/>
      <c r="Q48" s="112"/>
      <c r="R48" s="113"/>
      <c r="S48" s="111"/>
      <c r="T48" s="112"/>
      <c r="U48" s="112"/>
      <c r="V48" s="112"/>
      <c r="W48" s="114"/>
      <c r="X48" s="111"/>
      <c r="Y48" s="114"/>
      <c r="Z48" s="115"/>
      <c r="AB48" s="111"/>
      <c r="AC48" s="111"/>
      <c r="AD48" s="110"/>
      <c r="AE48" s="110"/>
    </row>
    <row r="49" spans="1:31" s="88" customFormat="1" ht="24.95" customHeight="1" x14ac:dyDescent="0.25">
      <c r="A49" s="95">
        <f t="shared" si="1"/>
        <v>18</v>
      </c>
      <c r="B49" s="103"/>
      <c r="C49" s="97"/>
      <c r="D49" s="103"/>
      <c r="E49" s="103"/>
      <c r="F49" s="293"/>
      <c r="G49" s="111"/>
      <c r="H49" s="112"/>
      <c r="I49" s="112"/>
      <c r="J49" s="113"/>
      <c r="K49" s="112"/>
      <c r="L49" s="112"/>
      <c r="M49" s="112"/>
      <c r="N49" s="111"/>
      <c r="O49" s="112"/>
      <c r="P49" s="112"/>
      <c r="Q49" s="112"/>
      <c r="R49" s="113"/>
      <c r="S49" s="111"/>
      <c r="T49" s="112"/>
      <c r="U49" s="112"/>
      <c r="V49" s="112"/>
      <c r="W49" s="114"/>
      <c r="X49" s="111"/>
      <c r="Y49" s="114"/>
      <c r="Z49" s="115"/>
      <c r="AB49" s="111"/>
      <c r="AC49" s="111"/>
      <c r="AD49" s="110"/>
      <c r="AE49" s="110"/>
    </row>
    <row r="50" spans="1:31" s="88" customFormat="1" ht="24.95" customHeight="1" x14ac:dyDescent="0.25">
      <c r="A50" s="95">
        <f t="shared" si="1"/>
        <v>19</v>
      </c>
      <c r="B50" s="103"/>
      <c r="C50" s="97"/>
      <c r="D50" s="103"/>
      <c r="E50" s="103"/>
      <c r="F50" s="293"/>
      <c r="G50" s="111"/>
      <c r="H50" s="112"/>
      <c r="I50" s="112"/>
      <c r="J50" s="113"/>
      <c r="K50" s="112"/>
      <c r="L50" s="112"/>
      <c r="M50" s="112"/>
      <c r="N50" s="111"/>
      <c r="O50" s="112"/>
      <c r="P50" s="112"/>
      <c r="Q50" s="112"/>
      <c r="R50" s="113"/>
      <c r="S50" s="111"/>
      <c r="T50" s="112"/>
      <c r="U50" s="112"/>
      <c r="V50" s="112"/>
      <c r="W50" s="114"/>
      <c r="X50" s="111"/>
      <c r="Y50" s="114"/>
      <c r="Z50" s="115"/>
      <c r="AB50" s="111"/>
      <c r="AC50" s="111"/>
      <c r="AD50" s="110"/>
      <c r="AE50" s="110"/>
    </row>
    <row r="51" spans="1:31" s="88" customFormat="1" ht="24.95" customHeight="1" thickBot="1" x14ac:dyDescent="0.3">
      <c r="A51" s="95">
        <f t="shared" si="1"/>
        <v>20</v>
      </c>
      <c r="B51" s="103"/>
      <c r="C51" s="97"/>
      <c r="D51" s="103"/>
      <c r="E51" s="103"/>
      <c r="F51" s="293"/>
      <c r="G51" s="111"/>
      <c r="H51" s="112"/>
      <c r="I51" s="112"/>
      <c r="J51" s="113"/>
      <c r="K51" s="112"/>
      <c r="L51" s="112"/>
      <c r="M51" s="112"/>
      <c r="N51" s="111"/>
      <c r="O51" s="112"/>
      <c r="P51" s="112"/>
      <c r="Q51" s="112"/>
      <c r="R51" s="113"/>
      <c r="S51" s="111"/>
      <c r="T51" s="112"/>
      <c r="U51" s="112"/>
      <c r="V51" s="112"/>
      <c r="W51" s="114"/>
      <c r="X51" s="111"/>
      <c r="Y51" s="114"/>
      <c r="Z51" s="115"/>
      <c r="AB51" s="643"/>
      <c r="AC51" s="643"/>
      <c r="AD51" s="644"/>
      <c r="AE51" s="644"/>
    </row>
    <row r="52" spans="1:31" s="5" customFormat="1" ht="18.75" customHeight="1" x14ac:dyDescent="0.2">
      <c r="A52" s="74" t="s">
        <v>106</v>
      </c>
      <c r="B52" s="2"/>
      <c r="C52" s="44"/>
      <c r="D52" s="168"/>
      <c r="E52" s="2"/>
      <c r="F52" s="2"/>
      <c r="G52" s="2"/>
      <c r="H52" s="2"/>
      <c r="I52" s="2"/>
      <c r="J52" s="84"/>
      <c r="K52" s="3"/>
      <c r="L52" s="3"/>
      <c r="M52" s="169"/>
      <c r="N52" s="84" t="s">
        <v>110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4"/>
      <c r="AB52" s="645" t="s">
        <v>50</v>
      </c>
      <c r="AC52" s="646"/>
      <c r="AD52" s="646"/>
      <c r="AE52" s="4"/>
    </row>
    <row r="53" spans="1:31" s="17" customFormat="1" ht="12" customHeight="1" x14ac:dyDescent="0.2">
      <c r="A53" s="137" t="s">
        <v>8</v>
      </c>
      <c r="B53" s="138" t="s">
        <v>91</v>
      </c>
      <c r="C53" s="78"/>
      <c r="D53" s="170" t="s">
        <v>126</v>
      </c>
      <c r="E53" s="138"/>
      <c r="J53" s="76"/>
      <c r="K53" s="85"/>
      <c r="L53" s="76"/>
      <c r="M53" s="171"/>
      <c r="N53" s="159" t="s">
        <v>8</v>
      </c>
      <c r="O53" s="120" t="s">
        <v>135</v>
      </c>
      <c r="P53" s="135"/>
      <c r="Z53" s="77"/>
      <c r="AB53" s="463"/>
      <c r="AC53" s="639"/>
      <c r="AD53" s="639"/>
      <c r="AE53" s="77"/>
    </row>
    <row r="54" spans="1:31" s="17" customFormat="1" ht="12" customHeight="1" x14ac:dyDescent="0.2">
      <c r="A54" s="75"/>
      <c r="B54" s="138" t="s">
        <v>107</v>
      </c>
      <c r="C54" s="78"/>
      <c r="D54" s="170" t="s">
        <v>133</v>
      </c>
      <c r="E54" s="138"/>
      <c r="J54" s="76"/>
      <c r="K54" s="85"/>
      <c r="L54" s="76"/>
      <c r="M54" s="171"/>
      <c r="N54" s="159" t="s">
        <v>9</v>
      </c>
      <c r="O54" s="120" t="s">
        <v>136</v>
      </c>
      <c r="P54" s="135"/>
      <c r="Z54" s="77"/>
      <c r="AB54" s="87" t="s">
        <v>10</v>
      </c>
      <c r="AC54" s="640"/>
      <c r="AD54" s="640"/>
      <c r="AE54" s="77"/>
    </row>
    <row r="55" spans="1:31" s="17" customFormat="1" ht="12" customHeight="1" x14ac:dyDescent="0.2">
      <c r="A55" s="75"/>
      <c r="B55" s="138" t="s">
        <v>108</v>
      </c>
      <c r="C55" s="78"/>
      <c r="D55" s="170" t="s">
        <v>115</v>
      </c>
      <c r="E55" s="138"/>
      <c r="M55" s="171"/>
      <c r="N55" s="159" t="s">
        <v>11</v>
      </c>
      <c r="O55" s="120" t="s">
        <v>137</v>
      </c>
      <c r="P55" s="135"/>
      <c r="Z55" s="77"/>
      <c r="AB55" s="86" t="s">
        <v>177</v>
      </c>
      <c r="AC55" s="640"/>
      <c r="AD55" s="640"/>
      <c r="AE55" s="77"/>
    </row>
    <row r="56" spans="1:31" s="17" customFormat="1" ht="12" customHeight="1" x14ac:dyDescent="0.2">
      <c r="A56" s="137" t="s">
        <v>9</v>
      </c>
      <c r="B56" s="138" t="s">
        <v>109</v>
      </c>
      <c r="C56" s="78"/>
      <c r="D56" s="170" t="s">
        <v>118</v>
      </c>
      <c r="E56" s="138"/>
      <c r="M56" s="171"/>
      <c r="N56" s="159" t="s">
        <v>12</v>
      </c>
      <c r="O56" s="120" t="s">
        <v>138</v>
      </c>
      <c r="P56" s="135"/>
      <c r="Z56" s="77"/>
      <c r="AB56" s="86" t="s">
        <v>174</v>
      </c>
      <c r="AC56" s="640"/>
      <c r="AD56" s="640"/>
      <c r="AE56" s="77"/>
    </row>
    <row r="57" spans="1:31" s="17" customFormat="1" ht="12" customHeight="1" x14ac:dyDescent="0.2">
      <c r="A57" s="137" t="s">
        <v>11</v>
      </c>
      <c r="B57" s="457" t="s">
        <v>123</v>
      </c>
      <c r="C57" s="457"/>
      <c r="D57" s="172"/>
      <c r="J57" s="7"/>
      <c r="K57" s="52"/>
      <c r="L57" s="76"/>
      <c r="M57" s="162"/>
      <c r="N57" s="159" t="s">
        <v>13</v>
      </c>
      <c r="O57" s="120" t="s">
        <v>139</v>
      </c>
      <c r="P57" s="135"/>
      <c r="R57" s="76"/>
      <c r="V57" s="76"/>
      <c r="W57" s="78"/>
      <c r="Z57" s="77"/>
      <c r="AB57" s="86"/>
      <c r="AC57" s="640"/>
      <c r="AD57" s="640"/>
      <c r="AE57" s="77"/>
    </row>
    <row r="58" spans="1:31" s="17" customFormat="1" ht="12" customHeight="1" x14ac:dyDescent="0.2">
      <c r="A58" s="143"/>
      <c r="B58" s="457"/>
      <c r="C58" s="457"/>
      <c r="D58" s="172"/>
      <c r="J58" s="76"/>
      <c r="K58" s="85"/>
      <c r="L58" s="76"/>
      <c r="M58" s="162"/>
      <c r="N58" s="159" t="s">
        <v>111</v>
      </c>
      <c r="O58" s="120" t="s">
        <v>140</v>
      </c>
      <c r="P58" s="135"/>
      <c r="R58" s="76"/>
      <c r="V58" s="76"/>
      <c r="W58" s="78"/>
      <c r="Z58" s="77"/>
      <c r="AB58" s="87" t="s">
        <v>19</v>
      </c>
      <c r="AC58" s="640"/>
      <c r="AD58" s="641"/>
      <c r="AE58" s="77"/>
    </row>
    <row r="59" spans="1:31" s="17" customFormat="1" ht="12.75" customHeight="1" x14ac:dyDescent="0.2">
      <c r="A59" s="143"/>
      <c r="B59" s="457"/>
      <c r="C59" s="457"/>
      <c r="D59" s="166" t="s">
        <v>116</v>
      </c>
      <c r="E59" s="7"/>
      <c r="J59" s="76"/>
      <c r="K59" s="85"/>
      <c r="L59" s="76"/>
      <c r="M59" s="162"/>
      <c r="N59" s="141"/>
      <c r="O59" s="142"/>
      <c r="P59" s="135"/>
      <c r="R59" s="76"/>
      <c r="V59" s="76"/>
      <c r="W59" s="78"/>
      <c r="Z59" s="77"/>
      <c r="AB59" s="86" t="s">
        <v>175</v>
      </c>
      <c r="AC59" s="640"/>
      <c r="AD59" s="641"/>
      <c r="AE59" s="77"/>
    </row>
    <row r="60" spans="1:31" s="17" customFormat="1" ht="12" customHeight="1" x14ac:dyDescent="0.2">
      <c r="A60" s="137" t="s">
        <v>12</v>
      </c>
      <c r="B60" s="457" t="s">
        <v>124</v>
      </c>
      <c r="C60" s="457"/>
      <c r="D60" s="172"/>
      <c r="J60" s="76"/>
      <c r="K60" s="85"/>
      <c r="L60" s="76"/>
      <c r="M60" s="162"/>
      <c r="N60" s="7" t="s">
        <v>46</v>
      </c>
      <c r="R60" s="76"/>
      <c r="V60" s="76"/>
      <c r="W60" s="78"/>
      <c r="Z60" s="77"/>
      <c r="AB60" s="86" t="s">
        <v>178</v>
      </c>
      <c r="AC60" s="640"/>
      <c r="AD60" s="640"/>
      <c r="AE60" s="77"/>
    </row>
    <row r="61" spans="1:31" s="17" customFormat="1" ht="12" customHeight="1" x14ac:dyDescent="0.2">
      <c r="A61" s="143"/>
      <c r="B61" s="457"/>
      <c r="C61" s="457"/>
      <c r="D61" s="166" t="s">
        <v>44</v>
      </c>
      <c r="E61" s="7"/>
      <c r="J61" s="76"/>
      <c r="K61" s="85"/>
      <c r="L61" s="76"/>
      <c r="M61" s="162"/>
      <c r="N61" s="144" t="s">
        <v>47</v>
      </c>
      <c r="V61" s="76"/>
      <c r="W61" s="78"/>
      <c r="Z61" s="77"/>
      <c r="AB61" s="143"/>
      <c r="AC61" s="640"/>
      <c r="AD61" s="640"/>
      <c r="AE61" s="77"/>
    </row>
    <row r="62" spans="1:31" s="17" customFormat="1" ht="12" customHeight="1" x14ac:dyDescent="0.2">
      <c r="A62" s="143"/>
      <c r="B62" s="457"/>
      <c r="C62" s="457"/>
      <c r="D62" s="151" t="s">
        <v>52</v>
      </c>
      <c r="E62" s="144"/>
      <c r="J62" s="76"/>
      <c r="M62" s="171"/>
      <c r="N62" s="144" t="s">
        <v>48</v>
      </c>
      <c r="V62" s="76"/>
      <c r="W62" s="78"/>
      <c r="Z62" s="77"/>
      <c r="AB62" s="86"/>
      <c r="AC62" s="640"/>
      <c r="AD62" s="640"/>
      <c r="AE62" s="77"/>
    </row>
    <row r="63" spans="1:31" s="17" customFormat="1" ht="12" customHeight="1" x14ac:dyDescent="0.2">
      <c r="A63" s="137" t="s">
        <v>13</v>
      </c>
      <c r="B63" s="457" t="s">
        <v>125</v>
      </c>
      <c r="C63" s="457"/>
      <c r="D63" s="151" t="s">
        <v>45</v>
      </c>
      <c r="E63" s="144"/>
      <c r="J63" s="76"/>
      <c r="M63" s="171"/>
      <c r="N63" s="144" t="s">
        <v>49</v>
      </c>
      <c r="V63" s="76"/>
      <c r="W63" s="78"/>
      <c r="Z63" s="77"/>
      <c r="AB63" s="86"/>
      <c r="AC63" s="642"/>
      <c r="AD63" s="642"/>
      <c r="AE63" s="77"/>
    </row>
    <row r="64" spans="1:31" s="17" customFormat="1" ht="12.75" customHeight="1" thickBot="1" x14ac:dyDescent="0.25">
      <c r="A64" s="79"/>
      <c r="B64" s="480"/>
      <c r="C64" s="480"/>
      <c r="D64" s="167"/>
      <c r="E64" s="80"/>
      <c r="F64" s="80"/>
      <c r="G64" s="80"/>
      <c r="H64" s="80"/>
      <c r="I64" s="80"/>
      <c r="J64" s="81"/>
      <c r="K64" s="80"/>
      <c r="L64" s="80"/>
      <c r="M64" s="173"/>
      <c r="N64" s="80"/>
      <c r="O64" s="80"/>
      <c r="P64" s="80"/>
      <c r="Q64" s="80"/>
      <c r="R64" s="80"/>
      <c r="S64" s="80"/>
      <c r="T64" s="80"/>
      <c r="U64" s="80"/>
      <c r="V64" s="81"/>
      <c r="W64" s="82"/>
      <c r="X64" s="80"/>
      <c r="Y64" s="80"/>
      <c r="Z64" s="83"/>
      <c r="AB64" s="79"/>
      <c r="AC64" s="80"/>
      <c r="AD64" s="80"/>
      <c r="AE64" s="83"/>
    </row>
    <row r="65" spans="1:45" s="133" customFormat="1" ht="18" customHeight="1" x14ac:dyDescent="0.2">
      <c r="A65" s="134" t="s">
        <v>119</v>
      </c>
      <c r="B65" s="145"/>
      <c r="C65" s="146"/>
      <c r="J65" s="147"/>
      <c r="V65" s="147"/>
      <c r="W65" s="148"/>
    </row>
    <row r="66" spans="1:45" s="18" customFormat="1" ht="15" customHeight="1" x14ac:dyDescent="0.2">
      <c r="A66" s="134" t="s">
        <v>122</v>
      </c>
      <c r="C66" s="19"/>
      <c r="AI66" s="19"/>
      <c r="AJ66" s="19"/>
      <c r="AR66" s="19"/>
      <c r="AS66" s="19"/>
    </row>
    <row r="67" spans="1:45" s="18" customFormat="1" ht="7.5" customHeight="1" x14ac:dyDescent="0.2">
      <c r="C67" s="19"/>
      <c r="AI67" s="19"/>
      <c r="AJ67" s="19"/>
      <c r="AR67" s="19"/>
      <c r="AS67" s="19"/>
    </row>
    <row r="68" spans="1:45" s="88" customFormat="1" ht="15" x14ac:dyDescent="0.25">
      <c r="B68" s="88" t="s">
        <v>53</v>
      </c>
      <c r="C68" s="89"/>
      <c r="F68" s="88" t="s">
        <v>54</v>
      </c>
      <c r="Y68" s="88" t="s">
        <v>55</v>
      </c>
      <c r="AI68" s="89"/>
      <c r="AJ68" s="89"/>
      <c r="AR68" s="89"/>
      <c r="AS68" s="89"/>
    </row>
    <row r="69" spans="1:45" s="18" customFormat="1" ht="21.75" customHeight="1" x14ac:dyDescent="0.2">
      <c r="C69" s="19"/>
      <c r="AI69" s="19"/>
      <c r="AJ69" s="19"/>
      <c r="AR69" s="19"/>
      <c r="AS69" s="19"/>
    </row>
    <row r="70" spans="1:45" s="18" customFormat="1" ht="22.5" customHeight="1" x14ac:dyDescent="0.2">
      <c r="C70" s="19"/>
      <c r="AI70" s="19"/>
      <c r="AJ70" s="19"/>
      <c r="AR70" s="19"/>
      <c r="AS70" s="19"/>
    </row>
    <row r="71" spans="1:45" s="18" customFormat="1" ht="17.25" customHeight="1" x14ac:dyDescent="0.2">
      <c r="B71" s="90"/>
      <c r="C71" s="19"/>
      <c r="F71" s="90"/>
      <c r="G71" s="90"/>
      <c r="H71" s="90"/>
      <c r="I71" s="90"/>
      <c r="J71" s="90"/>
      <c r="K71" s="90"/>
      <c r="L71" s="90"/>
      <c r="M71" s="90"/>
      <c r="Y71" s="90"/>
      <c r="Z71" s="90"/>
      <c r="AA71" s="90"/>
      <c r="AB71" s="90"/>
      <c r="AC71" s="90"/>
      <c r="AI71" s="19"/>
      <c r="AJ71" s="19"/>
      <c r="AR71" s="19"/>
      <c r="AS71" s="19"/>
    </row>
    <row r="72" spans="1:45" s="18" customFormat="1" ht="18" customHeight="1" x14ac:dyDescent="0.2">
      <c r="B72" s="18" t="s">
        <v>56</v>
      </c>
      <c r="C72" s="19"/>
      <c r="F72" s="18" t="s">
        <v>56</v>
      </c>
      <c r="Y72" s="18" t="s">
        <v>57</v>
      </c>
      <c r="AI72" s="19"/>
      <c r="AJ72" s="19"/>
      <c r="AR72" s="19"/>
      <c r="AS72" s="19"/>
    </row>
    <row r="73" spans="1:45" s="18" customFormat="1" ht="15.75" customHeight="1" x14ac:dyDescent="0.2">
      <c r="B73" s="18" t="s">
        <v>58</v>
      </c>
      <c r="C73" s="19"/>
      <c r="F73" s="18" t="s">
        <v>59</v>
      </c>
      <c r="Y73" s="18" t="s">
        <v>58</v>
      </c>
      <c r="AI73" s="19"/>
      <c r="AJ73" s="19"/>
      <c r="AR73" s="19"/>
      <c r="AS73" s="19"/>
    </row>
    <row r="74" spans="1:45" s="18" customFormat="1" ht="6" customHeight="1" thickBot="1" x14ac:dyDescent="0.25">
      <c r="C74" s="19"/>
      <c r="AI74" s="19"/>
      <c r="AJ74" s="19"/>
    </row>
    <row r="75" spans="1:45" s="88" customFormat="1" ht="24.95" customHeight="1" x14ac:dyDescent="0.25">
      <c r="A75" s="294">
        <v>21</v>
      </c>
      <c r="B75" s="295"/>
      <c r="C75" s="93"/>
      <c r="D75" s="295"/>
      <c r="E75" s="93"/>
      <c r="F75" s="311"/>
      <c r="G75" s="104"/>
      <c r="H75" s="105"/>
      <c r="I75" s="105"/>
      <c r="J75" s="106"/>
      <c r="K75" s="105"/>
      <c r="L75" s="105"/>
      <c r="M75" s="105"/>
      <c r="N75" s="104"/>
      <c r="O75" s="105"/>
      <c r="P75" s="105"/>
      <c r="Q75" s="105"/>
      <c r="R75" s="106"/>
      <c r="S75" s="104"/>
      <c r="T75" s="105"/>
      <c r="U75" s="105"/>
      <c r="V75" s="105"/>
      <c r="W75" s="107"/>
      <c r="X75" s="104"/>
      <c r="Y75" s="107"/>
      <c r="Z75" s="108"/>
      <c r="AB75" s="104"/>
      <c r="AC75" s="104"/>
      <c r="AD75" s="109"/>
      <c r="AE75" s="109"/>
    </row>
    <row r="76" spans="1:45" s="88" customFormat="1" ht="24.95" customHeight="1" x14ac:dyDescent="0.25">
      <c r="A76" s="95">
        <f>A75+1</f>
        <v>22</v>
      </c>
      <c r="B76" s="103"/>
      <c r="C76" s="97"/>
      <c r="D76" s="103"/>
      <c r="E76" s="97"/>
      <c r="F76" s="310"/>
      <c r="G76" s="111"/>
      <c r="H76" s="112"/>
      <c r="I76" s="112"/>
      <c r="J76" s="113"/>
      <c r="K76" s="112"/>
      <c r="L76" s="112"/>
      <c r="M76" s="112"/>
      <c r="N76" s="111"/>
      <c r="O76" s="112"/>
      <c r="P76" s="112"/>
      <c r="Q76" s="112"/>
      <c r="R76" s="113"/>
      <c r="S76" s="111"/>
      <c r="T76" s="112"/>
      <c r="U76" s="112"/>
      <c r="V76" s="112"/>
      <c r="W76" s="114"/>
      <c r="X76" s="111"/>
      <c r="Y76" s="114"/>
      <c r="Z76" s="115"/>
      <c r="AB76" s="111"/>
      <c r="AC76" s="111"/>
      <c r="AD76" s="110"/>
      <c r="AE76" s="110"/>
    </row>
    <row r="77" spans="1:45" s="88" customFormat="1" ht="24.95" customHeight="1" x14ac:dyDescent="0.25">
      <c r="A77" s="95">
        <f t="shared" ref="A77:A84" si="2">A76+1</f>
        <v>23</v>
      </c>
      <c r="B77" s="103"/>
      <c r="C77" s="97"/>
      <c r="D77" s="103"/>
      <c r="E77" s="97"/>
      <c r="F77" s="310"/>
      <c r="G77" s="111"/>
      <c r="H77" s="112"/>
      <c r="I77" s="112"/>
      <c r="J77" s="113"/>
      <c r="K77" s="112"/>
      <c r="L77" s="112"/>
      <c r="M77" s="112"/>
      <c r="N77" s="111"/>
      <c r="O77" s="112"/>
      <c r="P77" s="112"/>
      <c r="Q77" s="112"/>
      <c r="R77" s="113"/>
      <c r="S77" s="111"/>
      <c r="T77" s="112"/>
      <c r="U77" s="112"/>
      <c r="V77" s="112"/>
      <c r="W77" s="114"/>
      <c r="X77" s="111"/>
      <c r="Y77" s="114"/>
      <c r="Z77" s="115"/>
      <c r="AB77" s="111"/>
      <c r="AC77" s="111"/>
      <c r="AD77" s="110"/>
      <c r="AE77" s="110"/>
    </row>
    <row r="78" spans="1:45" s="88" customFormat="1" ht="24.95" customHeight="1" x14ac:dyDescent="0.25">
      <c r="A78" s="95">
        <f t="shared" si="2"/>
        <v>24</v>
      </c>
      <c r="B78" s="103"/>
      <c r="C78" s="97"/>
      <c r="D78" s="103"/>
      <c r="E78" s="97"/>
      <c r="F78" s="310"/>
      <c r="G78" s="111"/>
      <c r="H78" s="112"/>
      <c r="I78" s="112"/>
      <c r="J78" s="113"/>
      <c r="K78" s="112"/>
      <c r="L78" s="112"/>
      <c r="M78" s="112"/>
      <c r="N78" s="111"/>
      <c r="O78" s="112"/>
      <c r="P78" s="112"/>
      <c r="Q78" s="112"/>
      <c r="R78" s="113"/>
      <c r="S78" s="111"/>
      <c r="T78" s="112"/>
      <c r="U78" s="112"/>
      <c r="V78" s="112"/>
      <c r="W78" s="114"/>
      <c r="X78" s="111"/>
      <c r="Y78" s="114"/>
      <c r="Z78" s="115"/>
      <c r="AB78" s="111"/>
      <c r="AC78" s="111"/>
      <c r="AD78" s="110"/>
      <c r="AE78" s="110"/>
    </row>
    <row r="79" spans="1:45" s="88" customFormat="1" ht="24.95" customHeight="1" x14ac:dyDescent="0.25">
      <c r="A79" s="95">
        <f t="shared" si="2"/>
        <v>25</v>
      </c>
      <c r="B79" s="103"/>
      <c r="C79" s="97"/>
      <c r="D79" s="103"/>
      <c r="E79" s="97"/>
      <c r="F79" s="310"/>
      <c r="G79" s="111"/>
      <c r="H79" s="112"/>
      <c r="I79" s="112"/>
      <c r="J79" s="113"/>
      <c r="K79" s="112"/>
      <c r="L79" s="112"/>
      <c r="M79" s="112"/>
      <c r="N79" s="111"/>
      <c r="O79" s="112"/>
      <c r="P79" s="112"/>
      <c r="Q79" s="112"/>
      <c r="R79" s="113"/>
      <c r="S79" s="111"/>
      <c r="T79" s="112"/>
      <c r="U79" s="112"/>
      <c r="V79" s="112"/>
      <c r="W79" s="114"/>
      <c r="X79" s="111"/>
      <c r="Y79" s="114"/>
      <c r="Z79" s="115"/>
      <c r="AB79" s="111"/>
      <c r="AC79" s="111"/>
      <c r="AD79" s="110"/>
      <c r="AE79" s="110"/>
    </row>
    <row r="80" spans="1:45" s="88" customFormat="1" ht="24.95" customHeight="1" x14ac:dyDescent="0.25">
      <c r="A80" s="95">
        <f t="shared" si="2"/>
        <v>26</v>
      </c>
      <c r="B80" s="103"/>
      <c r="C80" s="97"/>
      <c r="D80" s="103"/>
      <c r="E80" s="97"/>
      <c r="F80" s="310"/>
      <c r="G80" s="111"/>
      <c r="H80" s="112"/>
      <c r="I80" s="112"/>
      <c r="J80" s="113"/>
      <c r="K80" s="112"/>
      <c r="L80" s="112"/>
      <c r="M80" s="112"/>
      <c r="N80" s="111"/>
      <c r="O80" s="112"/>
      <c r="P80" s="112"/>
      <c r="Q80" s="112"/>
      <c r="R80" s="113"/>
      <c r="S80" s="111"/>
      <c r="T80" s="112"/>
      <c r="U80" s="112"/>
      <c r="V80" s="112"/>
      <c r="W80" s="114"/>
      <c r="X80" s="111"/>
      <c r="Y80" s="114"/>
      <c r="Z80" s="115"/>
      <c r="AB80" s="111"/>
      <c r="AC80" s="111"/>
      <c r="AD80" s="110"/>
      <c r="AE80" s="110"/>
    </row>
    <row r="81" spans="1:31" s="88" customFormat="1" ht="24.95" customHeight="1" x14ac:dyDescent="0.25">
      <c r="A81" s="95">
        <f t="shared" si="2"/>
        <v>27</v>
      </c>
      <c r="B81" s="103"/>
      <c r="C81" s="97"/>
      <c r="D81" s="103"/>
      <c r="E81" s="97"/>
      <c r="F81" s="310"/>
      <c r="G81" s="111"/>
      <c r="H81" s="112"/>
      <c r="I81" s="112"/>
      <c r="J81" s="113"/>
      <c r="K81" s="112"/>
      <c r="L81" s="112"/>
      <c r="M81" s="112"/>
      <c r="N81" s="111"/>
      <c r="O81" s="112"/>
      <c r="P81" s="112"/>
      <c r="Q81" s="112"/>
      <c r="R81" s="113"/>
      <c r="S81" s="111"/>
      <c r="T81" s="112"/>
      <c r="U81" s="112"/>
      <c r="V81" s="112"/>
      <c r="W81" s="114"/>
      <c r="X81" s="111"/>
      <c r="Y81" s="114"/>
      <c r="Z81" s="115"/>
      <c r="AB81" s="111"/>
      <c r="AC81" s="111"/>
      <c r="AD81" s="110"/>
      <c r="AE81" s="110"/>
    </row>
    <row r="82" spans="1:31" s="88" customFormat="1" ht="24.95" customHeight="1" x14ac:dyDescent="0.25">
      <c r="A82" s="95">
        <f t="shared" si="2"/>
        <v>28</v>
      </c>
      <c r="B82" s="103"/>
      <c r="C82" s="97"/>
      <c r="D82" s="103"/>
      <c r="E82" s="97"/>
      <c r="F82" s="310"/>
      <c r="G82" s="111"/>
      <c r="H82" s="112"/>
      <c r="I82" s="112"/>
      <c r="J82" s="113"/>
      <c r="K82" s="112"/>
      <c r="L82" s="112"/>
      <c r="M82" s="112"/>
      <c r="N82" s="111"/>
      <c r="O82" s="112"/>
      <c r="P82" s="112"/>
      <c r="Q82" s="112"/>
      <c r="R82" s="113"/>
      <c r="S82" s="111"/>
      <c r="T82" s="112"/>
      <c r="U82" s="112"/>
      <c r="V82" s="112"/>
      <c r="W82" s="114"/>
      <c r="X82" s="111"/>
      <c r="Y82" s="114"/>
      <c r="Z82" s="115"/>
      <c r="AB82" s="111"/>
      <c r="AC82" s="111"/>
      <c r="AD82" s="110"/>
      <c r="AE82" s="110"/>
    </row>
    <row r="83" spans="1:31" s="88" customFormat="1" ht="24.95" customHeight="1" x14ac:dyDescent="0.25">
      <c r="A83" s="95">
        <f t="shared" si="2"/>
        <v>29</v>
      </c>
      <c r="B83" s="103"/>
      <c r="C83" s="97"/>
      <c r="D83" s="103"/>
      <c r="E83" s="97"/>
      <c r="F83" s="310"/>
      <c r="G83" s="111"/>
      <c r="H83" s="112"/>
      <c r="I83" s="112"/>
      <c r="J83" s="113"/>
      <c r="K83" s="112"/>
      <c r="L83" s="112"/>
      <c r="M83" s="112"/>
      <c r="N83" s="111"/>
      <c r="O83" s="112"/>
      <c r="P83" s="112"/>
      <c r="Q83" s="112"/>
      <c r="R83" s="113"/>
      <c r="S83" s="111"/>
      <c r="T83" s="112"/>
      <c r="U83" s="112"/>
      <c r="V83" s="112"/>
      <c r="W83" s="114"/>
      <c r="X83" s="111"/>
      <c r="Y83" s="114"/>
      <c r="Z83" s="115"/>
      <c r="AB83" s="111"/>
      <c r="AC83" s="111"/>
      <c r="AD83" s="110"/>
      <c r="AE83" s="110"/>
    </row>
    <row r="84" spans="1:31" s="88" customFormat="1" ht="24.95" customHeight="1" thickBot="1" x14ac:dyDescent="0.3">
      <c r="A84" s="95">
        <f t="shared" si="2"/>
        <v>30</v>
      </c>
      <c r="B84" s="103"/>
      <c r="C84" s="97"/>
      <c r="D84" s="103"/>
      <c r="E84" s="97"/>
      <c r="F84" s="310"/>
      <c r="G84" s="111"/>
      <c r="H84" s="112"/>
      <c r="I84" s="112"/>
      <c r="J84" s="113"/>
      <c r="K84" s="112"/>
      <c r="L84" s="112"/>
      <c r="M84" s="112"/>
      <c r="N84" s="111"/>
      <c r="O84" s="112"/>
      <c r="P84" s="112"/>
      <c r="Q84" s="112"/>
      <c r="R84" s="113"/>
      <c r="S84" s="111"/>
      <c r="T84" s="112"/>
      <c r="U84" s="112"/>
      <c r="V84" s="112"/>
      <c r="W84" s="114"/>
      <c r="X84" s="111"/>
      <c r="Y84" s="114"/>
      <c r="Z84" s="115"/>
      <c r="AB84" s="643"/>
      <c r="AC84" s="643"/>
      <c r="AD84" s="644"/>
      <c r="AE84" s="644"/>
    </row>
    <row r="85" spans="1:31" s="5" customFormat="1" ht="18.75" customHeight="1" x14ac:dyDescent="0.2">
      <c r="A85" s="74" t="s">
        <v>106</v>
      </c>
      <c r="B85" s="2"/>
      <c r="C85" s="44"/>
      <c r="D85" s="168"/>
      <c r="E85" s="2"/>
      <c r="F85" s="2"/>
      <c r="G85" s="2"/>
      <c r="H85" s="2"/>
      <c r="I85" s="2"/>
      <c r="J85" s="84"/>
      <c r="K85" s="3"/>
      <c r="L85" s="3"/>
      <c r="M85" s="169"/>
      <c r="N85" s="84" t="s">
        <v>110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4"/>
      <c r="AB85" s="645" t="s">
        <v>50</v>
      </c>
      <c r="AC85" s="646"/>
      <c r="AD85" s="646"/>
      <c r="AE85" s="4"/>
    </row>
    <row r="86" spans="1:31" s="17" customFormat="1" ht="12" customHeight="1" x14ac:dyDescent="0.2">
      <c r="A86" s="137" t="s">
        <v>8</v>
      </c>
      <c r="B86" s="138" t="s">
        <v>91</v>
      </c>
      <c r="C86" s="78"/>
      <c r="D86" s="170" t="s">
        <v>126</v>
      </c>
      <c r="E86" s="138"/>
      <c r="J86" s="76"/>
      <c r="K86" s="85"/>
      <c r="L86" s="76"/>
      <c r="M86" s="171"/>
      <c r="N86" s="159" t="s">
        <v>8</v>
      </c>
      <c r="O86" s="120" t="s">
        <v>135</v>
      </c>
      <c r="P86" s="135"/>
      <c r="Z86" s="77"/>
      <c r="AB86" s="463"/>
      <c r="AC86" s="639"/>
      <c r="AD86" s="639"/>
      <c r="AE86" s="77"/>
    </row>
    <row r="87" spans="1:31" s="17" customFormat="1" ht="12" customHeight="1" x14ac:dyDescent="0.2">
      <c r="A87" s="75"/>
      <c r="B87" s="138" t="s">
        <v>107</v>
      </c>
      <c r="C87" s="78"/>
      <c r="D87" s="170" t="s">
        <v>133</v>
      </c>
      <c r="E87" s="138"/>
      <c r="J87" s="76"/>
      <c r="K87" s="85"/>
      <c r="L87" s="76"/>
      <c r="M87" s="171"/>
      <c r="N87" s="159" t="s">
        <v>9</v>
      </c>
      <c r="O87" s="120" t="s">
        <v>136</v>
      </c>
      <c r="P87" s="135"/>
      <c r="Z87" s="77"/>
      <c r="AB87" s="87" t="s">
        <v>10</v>
      </c>
      <c r="AC87" s="640"/>
      <c r="AD87" s="640"/>
      <c r="AE87" s="77"/>
    </row>
    <row r="88" spans="1:31" s="17" customFormat="1" ht="12" customHeight="1" x14ac:dyDescent="0.2">
      <c r="A88" s="75"/>
      <c r="B88" s="138" t="s">
        <v>108</v>
      </c>
      <c r="C88" s="78"/>
      <c r="D88" s="170" t="s">
        <v>115</v>
      </c>
      <c r="E88" s="138"/>
      <c r="M88" s="171"/>
      <c r="N88" s="159" t="s">
        <v>11</v>
      </c>
      <c r="O88" s="120" t="s">
        <v>137</v>
      </c>
      <c r="P88" s="135"/>
      <c r="Z88" s="77"/>
      <c r="AB88" s="86" t="s">
        <v>177</v>
      </c>
      <c r="AC88" s="640"/>
      <c r="AD88" s="640"/>
      <c r="AE88" s="77"/>
    </row>
    <row r="89" spans="1:31" s="17" customFormat="1" ht="12" customHeight="1" x14ac:dyDescent="0.2">
      <c r="A89" s="137" t="s">
        <v>9</v>
      </c>
      <c r="B89" s="138" t="s">
        <v>109</v>
      </c>
      <c r="C89" s="78"/>
      <c r="D89" s="170" t="s">
        <v>118</v>
      </c>
      <c r="E89" s="138"/>
      <c r="M89" s="171"/>
      <c r="N89" s="159" t="s">
        <v>12</v>
      </c>
      <c r="O89" s="120" t="s">
        <v>138</v>
      </c>
      <c r="P89" s="135"/>
      <c r="Z89" s="77"/>
      <c r="AB89" s="86" t="s">
        <v>174</v>
      </c>
      <c r="AC89" s="640"/>
      <c r="AD89" s="640"/>
      <c r="AE89" s="77"/>
    </row>
    <row r="90" spans="1:31" s="17" customFormat="1" ht="12" customHeight="1" x14ac:dyDescent="0.2">
      <c r="A90" s="137" t="s">
        <v>11</v>
      </c>
      <c r="B90" s="457" t="s">
        <v>123</v>
      </c>
      <c r="C90" s="457"/>
      <c r="D90" s="172"/>
      <c r="J90" s="7"/>
      <c r="K90" s="52"/>
      <c r="L90" s="76"/>
      <c r="M90" s="162"/>
      <c r="N90" s="159" t="s">
        <v>13</v>
      </c>
      <c r="O90" s="120" t="s">
        <v>139</v>
      </c>
      <c r="P90" s="135"/>
      <c r="R90" s="76"/>
      <c r="V90" s="76"/>
      <c r="W90" s="78"/>
      <c r="Z90" s="77"/>
      <c r="AB90" s="86"/>
      <c r="AC90" s="640"/>
      <c r="AD90" s="640"/>
      <c r="AE90" s="77"/>
    </row>
    <row r="91" spans="1:31" s="17" customFormat="1" ht="12" customHeight="1" x14ac:dyDescent="0.2">
      <c r="A91" s="143"/>
      <c r="B91" s="457"/>
      <c r="C91" s="457"/>
      <c r="D91" s="172"/>
      <c r="J91" s="76"/>
      <c r="K91" s="85"/>
      <c r="L91" s="76"/>
      <c r="M91" s="162"/>
      <c r="N91" s="159" t="s">
        <v>111</v>
      </c>
      <c r="O91" s="120" t="s">
        <v>140</v>
      </c>
      <c r="P91" s="135"/>
      <c r="R91" s="76"/>
      <c r="V91" s="76"/>
      <c r="W91" s="78"/>
      <c r="Z91" s="77"/>
      <c r="AB91" s="87" t="s">
        <v>19</v>
      </c>
      <c r="AC91" s="640"/>
      <c r="AD91" s="641"/>
      <c r="AE91" s="77"/>
    </row>
    <row r="92" spans="1:31" s="17" customFormat="1" ht="12.75" customHeight="1" x14ac:dyDescent="0.2">
      <c r="A92" s="143"/>
      <c r="B92" s="457"/>
      <c r="C92" s="457"/>
      <c r="D92" s="166" t="s">
        <v>116</v>
      </c>
      <c r="E92" s="7"/>
      <c r="J92" s="76"/>
      <c r="K92" s="85"/>
      <c r="L92" s="76"/>
      <c r="M92" s="162"/>
      <c r="N92" s="141"/>
      <c r="O92" s="142"/>
      <c r="P92" s="135"/>
      <c r="R92" s="76"/>
      <c r="V92" s="76"/>
      <c r="W92" s="78"/>
      <c r="Z92" s="77"/>
      <c r="AB92" s="86" t="s">
        <v>175</v>
      </c>
      <c r="AC92" s="640"/>
      <c r="AD92" s="641"/>
      <c r="AE92" s="77"/>
    </row>
    <row r="93" spans="1:31" s="17" customFormat="1" ht="12" customHeight="1" x14ac:dyDescent="0.2">
      <c r="A93" s="137" t="s">
        <v>12</v>
      </c>
      <c r="B93" s="457" t="s">
        <v>124</v>
      </c>
      <c r="C93" s="457"/>
      <c r="D93" s="172"/>
      <c r="J93" s="76"/>
      <c r="K93" s="85"/>
      <c r="L93" s="76"/>
      <c r="M93" s="162"/>
      <c r="N93" s="7" t="s">
        <v>46</v>
      </c>
      <c r="R93" s="76"/>
      <c r="V93" s="76"/>
      <c r="W93" s="78"/>
      <c r="Z93" s="77"/>
      <c r="AB93" s="86" t="s">
        <v>178</v>
      </c>
      <c r="AC93" s="640"/>
      <c r="AD93" s="640"/>
      <c r="AE93" s="77"/>
    </row>
    <row r="94" spans="1:31" s="17" customFormat="1" ht="12" customHeight="1" x14ac:dyDescent="0.2">
      <c r="A94" s="143"/>
      <c r="B94" s="457"/>
      <c r="C94" s="457"/>
      <c r="D94" s="166" t="s">
        <v>44</v>
      </c>
      <c r="E94" s="7"/>
      <c r="J94" s="76"/>
      <c r="K94" s="85"/>
      <c r="L94" s="76"/>
      <c r="M94" s="162"/>
      <c r="N94" s="144" t="s">
        <v>47</v>
      </c>
      <c r="V94" s="76"/>
      <c r="W94" s="78"/>
      <c r="Z94" s="77"/>
      <c r="AB94" s="143"/>
      <c r="AC94" s="640"/>
      <c r="AD94" s="640"/>
      <c r="AE94" s="77"/>
    </row>
    <row r="95" spans="1:31" s="17" customFormat="1" ht="12" customHeight="1" x14ac:dyDescent="0.2">
      <c r="A95" s="143"/>
      <c r="B95" s="457"/>
      <c r="C95" s="457"/>
      <c r="D95" s="151" t="s">
        <v>52</v>
      </c>
      <c r="E95" s="144"/>
      <c r="J95" s="76"/>
      <c r="M95" s="171"/>
      <c r="N95" s="144" t="s">
        <v>48</v>
      </c>
      <c r="V95" s="76"/>
      <c r="W95" s="78"/>
      <c r="Z95" s="77"/>
      <c r="AB95" s="86"/>
      <c r="AC95" s="640"/>
      <c r="AD95" s="640"/>
      <c r="AE95" s="77"/>
    </row>
    <row r="96" spans="1:31" s="17" customFormat="1" ht="12" customHeight="1" x14ac:dyDescent="0.2">
      <c r="A96" s="137" t="s">
        <v>13</v>
      </c>
      <c r="B96" s="457" t="s">
        <v>125</v>
      </c>
      <c r="C96" s="457"/>
      <c r="D96" s="151" t="s">
        <v>45</v>
      </c>
      <c r="E96" s="144"/>
      <c r="J96" s="76"/>
      <c r="M96" s="171"/>
      <c r="N96" s="144" t="s">
        <v>49</v>
      </c>
      <c r="V96" s="76"/>
      <c r="W96" s="78"/>
      <c r="Z96" s="77"/>
      <c r="AB96" s="86"/>
      <c r="AC96" s="642"/>
      <c r="AD96" s="642"/>
      <c r="AE96" s="77"/>
    </row>
    <row r="97" spans="1:45" s="17" customFormat="1" ht="12.75" customHeight="1" thickBot="1" x14ac:dyDescent="0.25">
      <c r="A97" s="79"/>
      <c r="B97" s="480"/>
      <c r="C97" s="480"/>
      <c r="D97" s="167"/>
      <c r="E97" s="80"/>
      <c r="F97" s="80"/>
      <c r="G97" s="80"/>
      <c r="H97" s="80"/>
      <c r="I97" s="80"/>
      <c r="J97" s="81"/>
      <c r="K97" s="80"/>
      <c r="L97" s="80"/>
      <c r="M97" s="173"/>
      <c r="N97" s="80"/>
      <c r="O97" s="80"/>
      <c r="P97" s="80"/>
      <c r="Q97" s="80"/>
      <c r="R97" s="80"/>
      <c r="S97" s="80"/>
      <c r="T97" s="80"/>
      <c r="U97" s="80"/>
      <c r="V97" s="81"/>
      <c r="W97" s="82"/>
      <c r="X97" s="80"/>
      <c r="Y97" s="80"/>
      <c r="Z97" s="83"/>
      <c r="AB97" s="79"/>
      <c r="AC97" s="80"/>
      <c r="AD97" s="80"/>
      <c r="AE97" s="83"/>
    </row>
    <row r="98" spans="1:45" s="133" customFormat="1" ht="18" customHeight="1" x14ac:dyDescent="0.2">
      <c r="A98" s="134" t="s">
        <v>119</v>
      </c>
      <c r="B98" s="145"/>
      <c r="C98" s="146"/>
      <c r="J98" s="147"/>
      <c r="V98" s="147"/>
      <c r="W98" s="148"/>
    </row>
    <row r="99" spans="1:45" s="18" customFormat="1" ht="15" customHeight="1" x14ac:dyDescent="0.2">
      <c r="A99" s="134" t="s">
        <v>122</v>
      </c>
      <c r="C99" s="19"/>
      <c r="AI99" s="19"/>
      <c r="AJ99" s="19"/>
      <c r="AR99" s="19"/>
      <c r="AS99" s="19"/>
    </row>
    <row r="100" spans="1:45" s="18" customFormat="1" ht="7.5" customHeight="1" x14ac:dyDescent="0.2">
      <c r="C100" s="19"/>
      <c r="AI100" s="19"/>
      <c r="AJ100" s="19"/>
      <c r="AR100" s="19"/>
      <c r="AS100" s="19"/>
    </row>
    <row r="101" spans="1:45" s="88" customFormat="1" ht="15" x14ac:dyDescent="0.25">
      <c r="B101" s="88" t="s">
        <v>53</v>
      </c>
      <c r="C101" s="89"/>
      <c r="F101" s="88" t="s">
        <v>54</v>
      </c>
      <c r="Y101" s="88" t="s">
        <v>55</v>
      </c>
      <c r="AI101" s="89"/>
      <c r="AJ101" s="89"/>
      <c r="AR101" s="89"/>
      <c r="AS101" s="89"/>
    </row>
    <row r="102" spans="1:45" s="18" customFormat="1" ht="21.75" customHeight="1" x14ac:dyDescent="0.2">
      <c r="C102" s="19"/>
      <c r="AI102" s="19"/>
      <c r="AJ102" s="19"/>
      <c r="AR102" s="19"/>
      <c r="AS102" s="19"/>
    </row>
    <row r="103" spans="1:45" s="18" customFormat="1" ht="22.5" customHeight="1" x14ac:dyDescent="0.2">
      <c r="C103" s="19"/>
      <c r="AI103" s="19"/>
      <c r="AJ103" s="19"/>
      <c r="AR103" s="19"/>
      <c r="AS103" s="19"/>
    </row>
    <row r="104" spans="1:45" s="18" customFormat="1" ht="17.25" customHeight="1" x14ac:dyDescent="0.2">
      <c r="B104" s="90"/>
      <c r="C104" s="19"/>
      <c r="F104" s="90"/>
      <c r="G104" s="90"/>
      <c r="H104" s="90"/>
      <c r="I104" s="90"/>
      <c r="J104" s="90"/>
      <c r="K104" s="90"/>
      <c r="L104" s="90"/>
      <c r="M104" s="90"/>
      <c r="Y104" s="90"/>
      <c r="Z104" s="90"/>
      <c r="AA104" s="90"/>
      <c r="AB104" s="90"/>
      <c r="AC104" s="90"/>
      <c r="AI104" s="19"/>
      <c r="AJ104" s="19"/>
      <c r="AR104" s="19"/>
      <c r="AS104" s="19"/>
    </row>
    <row r="105" spans="1:45" s="18" customFormat="1" ht="18" customHeight="1" x14ac:dyDescent="0.2">
      <c r="B105" s="18" t="s">
        <v>56</v>
      </c>
      <c r="C105" s="19"/>
      <c r="F105" s="18" t="s">
        <v>56</v>
      </c>
      <c r="Y105" s="18" t="s">
        <v>57</v>
      </c>
      <c r="AI105" s="19"/>
      <c r="AJ105" s="19"/>
      <c r="AR105" s="19"/>
      <c r="AS105" s="19"/>
    </row>
    <row r="106" spans="1:45" s="18" customFormat="1" ht="15.75" customHeight="1" x14ac:dyDescent="0.2">
      <c r="B106" s="18" t="s">
        <v>58</v>
      </c>
      <c r="C106" s="19"/>
      <c r="F106" s="18" t="s">
        <v>59</v>
      </c>
      <c r="Y106" s="18" t="s">
        <v>58</v>
      </c>
      <c r="AI106" s="19"/>
      <c r="AJ106" s="19"/>
      <c r="AR106" s="19"/>
      <c r="AS106" s="19"/>
    </row>
    <row r="107" spans="1:45" s="18" customFormat="1" ht="6" customHeight="1" thickBot="1" x14ac:dyDescent="0.25">
      <c r="C107" s="19"/>
      <c r="AI107" s="19"/>
      <c r="AJ107" s="19"/>
    </row>
    <row r="108" spans="1:45" s="88" customFormat="1" ht="24.95" customHeight="1" x14ac:dyDescent="0.25">
      <c r="A108" s="294">
        <v>31</v>
      </c>
      <c r="B108" s="295"/>
      <c r="C108" s="93"/>
      <c r="D108" s="295"/>
      <c r="E108" s="93"/>
      <c r="F108" s="311"/>
      <c r="G108" s="104"/>
      <c r="H108" s="105"/>
      <c r="I108" s="105"/>
      <c r="J108" s="106"/>
      <c r="K108" s="105"/>
      <c r="L108" s="105"/>
      <c r="M108" s="105"/>
      <c r="N108" s="104"/>
      <c r="O108" s="105"/>
      <c r="P108" s="105"/>
      <c r="Q108" s="105"/>
      <c r="R108" s="106"/>
      <c r="S108" s="104"/>
      <c r="T108" s="105"/>
      <c r="U108" s="105"/>
      <c r="V108" s="105"/>
      <c r="W108" s="107"/>
      <c r="X108" s="104"/>
      <c r="Y108" s="107"/>
      <c r="Z108" s="108"/>
      <c r="AB108" s="104"/>
      <c r="AC108" s="104"/>
      <c r="AD108" s="109"/>
      <c r="AE108" s="109"/>
    </row>
    <row r="109" spans="1:45" s="88" customFormat="1" ht="24.95" customHeight="1" x14ac:dyDescent="0.25">
      <c r="A109" s="95">
        <f>A108+1</f>
        <v>32</v>
      </c>
      <c r="B109" s="103"/>
      <c r="C109" s="97"/>
      <c r="D109" s="103"/>
      <c r="E109" s="97"/>
      <c r="F109" s="310"/>
      <c r="G109" s="111"/>
      <c r="H109" s="112"/>
      <c r="I109" s="112"/>
      <c r="J109" s="113"/>
      <c r="K109" s="112"/>
      <c r="L109" s="112"/>
      <c r="M109" s="112"/>
      <c r="N109" s="111"/>
      <c r="O109" s="112"/>
      <c r="P109" s="112"/>
      <c r="Q109" s="112"/>
      <c r="R109" s="113"/>
      <c r="S109" s="111"/>
      <c r="T109" s="112"/>
      <c r="U109" s="112"/>
      <c r="V109" s="112"/>
      <c r="W109" s="114"/>
      <c r="X109" s="111"/>
      <c r="Y109" s="114"/>
      <c r="Z109" s="115"/>
      <c r="AB109" s="111"/>
      <c r="AC109" s="111"/>
      <c r="AD109" s="110"/>
      <c r="AE109" s="110"/>
    </row>
    <row r="110" spans="1:45" s="88" customFormat="1" ht="24.95" customHeight="1" x14ac:dyDescent="0.25">
      <c r="A110" s="95">
        <f t="shared" ref="A110:A117" si="3">A109+1</f>
        <v>33</v>
      </c>
      <c r="B110" s="103"/>
      <c r="C110" s="97"/>
      <c r="D110" s="103"/>
      <c r="E110" s="97"/>
      <c r="F110" s="310"/>
      <c r="G110" s="111"/>
      <c r="H110" s="112"/>
      <c r="I110" s="112"/>
      <c r="J110" s="113"/>
      <c r="K110" s="112"/>
      <c r="L110" s="112"/>
      <c r="M110" s="112"/>
      <c r="N110" s="111"/>
      <c r="O110" s="112"/>
      <c r="P110" s="112"/>
      <c r="Q110" s="112"/>
      <c r="R110" s="113"/>
      <c r="S110" s="111"/>
      <c r="T110" s="112"/>
      <c r="U110" s="112"/>
      <c r="V110" s="112"/>
      <c r="W110" s="114"/>
      <c r="X110" s="111"/>
      <c r="Y110" s="114"/>
      <c r="Z110" s="115"/>
      <c r="AB110" s="111"/>
      <c r="AC110" s="111"/>
      <c r="AD110" s="110"/>
      <c r="AE110" s="110"/>
    </row>
    <row r="111" spans="1:45" s="88" customFormat="1" ht="24.95" customHeight="1" x14ac:dyDescent="0.25">
      <c r="A111" s="95">
        <f t="shared" si="3"/>
        <v>34</v>
      </c>
      <c r="B111" s="103"/>
      <c r="C111" s="97"/>
      <c r="D111" s="103"/>
      <c r="E111" s="97"/>
      <c r="F111" s="310"/>
      <c r="G111" s="111"/>
      <c r="H111" s="112"/>
      <c r="I111" s="112"/>
      <c r="J111" s="113"/>
      <c r="K111" s="112"/>
      <c r="L111" s="112"/>
      <c r="M111" s="112"/>
      <c r="N111" s="111"/>
      <c r="O111" s="112"/>
      <c r="P111" s="112"/>
      <c r="Q111" s="112"/>
      <c r="R111" s="113"/>
      <c r="S111" s="111"/>
      <c r="T111" s="112"/>
      <c r="U111" s="112"/>
      <c r="V111" s="112"/>
      <c r="W111" s="114"/>
      <c r="X111" s="111"/>
      <c r="Y111" s="114"/>
      <c r="Z111" s="115"/>
      <c r="AB111" s="111"/>
      <c r="AC111" s="111"/>
      <c r="AD111" s="110"/>
      <c r="AE111" s="110"/>
    </row>
    <row r="112" spans="1:45" s="88" customFormat="1" ht="24.95" customHeight="1" x14ac:dyDescent="0.25">
      <c r="A112" s="95">
        <f t="shared" si="3"/>
        <v>35</v>
      </c>
      <c r="B112" s="103"/>
      <c r="C112" s="97"/>
      <c r="D112" s="103"/>
      <c r="E112" s="103"/>
      <c r="F112" s="293"/>
      <c r="G112" s="111"/>
      <c r="H112" s="112"/>
      <c r="I112" s="112"/>
      <c r="J112" s="113"/>
      <c r="K112" s="112"/>
      <c r="L112" s="112"/>
      <c r="M112" s="112"/>
      <c r="N112" s="111"/>
      <c r="O112" s="112"/>
      <c r="P112" s="112"/>
      <c r="Q112" s="112"/>
      <c r="R112" s="113"/>
      <c r="S112" s="111"/>
      <c r="T112" s="112"/>
      <c r="U112" s="112"/>
      <c r="V112" s="112"/>
      <c r="W112" s="114"/>
      <c r="X112" s="111"/>
      <c r="Y112" s="114"/>
      <c r="Z112" s="115"/>
      <c r="AB112" s="111"/>
      <c r="AC112" s="111"/>
      <c r="AD112" s="110"/>
      <c r="AE112" s="110"/>
    </row>
    <row r="113" spans="1:31" s="88" customFormat="1" ht="24.95" customHeight="1" x14ac:dyDescent="0.25">
      <c r="A113" s="95">
        <f t="shared" si="3"/>
        <v>36</v>
      </c>
      <c r="B113" s="103"/>
      <c r="C113" s="97"/>
      <c r="D113" s="103"/>
      <c r="E113" s="103"/>
      <c r="F113" s="293"/>
      <c r="G113" s="111"/>
      <c r="H113" s="112"/>
      <c r="I113" s="112"/>
      <c r="J113" s="113"/>
      <c r="K113" s="112"/>
      <c r="L113" s="112"/>
      <c r="M113" s="112"/>
      <c r="N113" s="111"/>
      <c r="O113" s="112"/>
      <c r="P113" s="112"/>
      <c r="Q113" s="112"/>
      <c r="R113" s="113"/>
      <c r="S113" s="111"/>
      <c r="T113" s="112"/>
      <c r="U113" s="112"/>
      <c r="V113" s="112"/>
      <c r="W113" s="114"/>
      <c r="X113" s="111"/>
      <c r="Y113" s="114"/>
      <c r="Z113" s="115"/>
      <c r="AB113" s="111"/>
      <c r="AC113" s="111"/>
      <c r="AD113" s="110"/>
      <c r="AE113" s="110"/>
    </row>
    <row r="114" spans="1:31" s="88" customFormat="1" ht="24.95" customHeight="1" x14ac:dyDescent="0.25">
      <c r="A114" s="95">
        <f t="shared" si="3"/>
        <v>37</v>
      </c>
      <c r="B114" s="103"/>
      <c r="C114" s="97"/>
      <c r="D114" s="103"/>
      <c r="E114" s="103"/>
      <c r="F114" s="293"/>
      <c r="G114" s="111"/>
      <c r="H114" s="112"/>
      <c r="I114" s="112"/>
      <c r="J114" s="113"/>
      <c r="K114" s="112"/>
      <c r="L114" s="112"/>
      <c r="M114" s="112"/>
      <c r="N114" s="111"/>
      <c r="O114" s="112"/>
      <c r="P114" s="112"/>
      <c r="Q114" s="112"/>
      <c r="R114" s="113"/>
      <c r="S114" s="111"/>
      <c r="T114" s="112"/>
      <c r="U114" s="112"/>
      <c r="V114" s="112"/>
      <c r="W114" s="114"/>
      <c r="X114" s="111"/>
      <c r="Y114" s="114"/>
      <c r="Z114" s="115"/>
      <c r="AB114" s="111"/>
      <c r="AC114" s="111"/>
      <c r="AD114" s="110"/>
      <c r="AE114" s="110"/>
    </row>
    <row r="115" spans="1:31" s="88" customFormat="1" ht="24.95" customHeight="1" x14ac:dyDescent="0.25">
      <c r="A115" s="95">
        <f t="shared" si="3"/>
        <v>38</v>
      </c>
      <c r="B115" s="103"/>
      <c r="C115" s="97"/>
      <c r="D115" s="103"/>
      <c r="E115" s="103"/>
      <c r="F115" s="293"/>
      <c r="G115" s="111"/>
      <c r="H115" s="112"/>
      <c r="I115" s="112"/>
      <c r="J115" s="113"/>
      <c r="K115" s="112"/>
      <c r="L115" s="112"/>
      <c r="M115" s="112"/>
      <c r="N115" s="111"/>
      <c r="O115" s="112"/>
      <c r="P115" s="112"/>
      <c r="Q115" s="112"/>
      <c r="R115" s="113"/>
      <c r="S115" s="111"/>
      <c r="T115" s="112"/>
      <c r="U115" s="112"/>
      <c r="V115" s="112"/>
      <c r="W115" s="114"/>
      <c r="X115" s="111"/>
      <c r="Y115" s="114"/>
      <c r="Z115" s="115"/>
      <c r="AB115" s="111"/>
      <c r="AC115" s="111"/>
      <c r="AD115" s="110"/>
      <c r="AE115" s="110"/>
    </row>
    <row r="116" spans="1:31" s="88" customFormat="1" ht="24.95" customHeight="1" x14ac:dyDescent="0.25">
      <c r="A116" s="95">
        <f t="shared" si="3"/>
        <v>39</v>
      </c>
      <c r="B116" s="103"/>
      <c r="C116" s="97"/>
      <c r="D116" s="103"/>
      <c r="E116" s="103"/>
      <c r="F116" s="293"/>
      <c r="G116" s="111"/>
      <c r="H116" s="112"/>
      <c r="I116" s="112"/>
      <c r="J116" s="113"/>
      <c r="K116" s="112"/>
      <c r="L116" s="112"/>
      <c r="M116" s="112"/>
      <c r="N116" s="111"/>
      <c r="O116" s="112"/>
      <c r="P116" s="112"/>
      <c r="Q116" s="112"/>
      <c r="R116" s="113"/>
      <c r="S116" s="111"/>
      <c r="T116" s="112"/>
      <c r="U116" s="112"/>
      <c r="V116" s="112"/>
      <c r="W116" s="114"/>
      <c r="X116" s="111"/>
      <c r="Y116" s="114"/>
      <c r="Z116" s="115"/>
      <c r="AB116" s="111"/>
      <c r="AC116" s="111"/>
      <c r="AD116" s="110"/>
      <c r="AE116" s="110"/>
    </row>
    <row r="117" spans="1:31" s="88" customFormat="1" ht="24.95" customHeight="1" thickBot="1" x14ac:dyDescent="0.3">
      <c r="A117" s="95">
        <f t="shared" si="3"/>
        <v>40</v>
      </c>
      <c r="B117" s="103"/>
      <c r="C117" s="97"/>
      <c r="D117" s="103"/>
      <c r="E117" s="103"/>
      <c r="F117" s="293"/>
      <c r="G117" s="111"/>
      <c r="H117" s="112"/>
      <c r="I117" s="112"/>
      <c r="J117" s="113"/>
      <c r="K117" s="112"/>
      <c r="L117" s="112"/>
      <c r="M117" s="112"/>
      <c r="N117" s="111"/>
      <c r="O117" s="112"/>
      <c r="P117" s="112"/>
      <c r="Q117" s="112"/>
      <c r="R117" s="113"/>
      <c r="S117" s="111"/>
      <c r="T117" s="112"/>
      <c r="U117" s="112"/>
      <c r="V117" s="112"/>
      <c r="W117" s="114"/>
      <c r="X117" s="111"/>
      <c r="Y117" s="114"/>
      <c r="Z117" s="115"/>
      <c r="AB117" s="643"/>
      <c r="AC117" s="643"/>
      <c r="AD117" s="644"/>
      <c r="AE117" s="644"/>
    </row>
    <row r="118" spans="1:31" s="5" customFormat="1" ht="18.75" customHeight="1" x14ac:dyDescent="0.2">
      <c r="A118" s="74" t="s">
        <v>106</v>
      </c>
      <c r="B118" s="2"/>
      <c r="C118" s="44"/>
      <c r="D118" s="168"/>
      <c r="E118" s="2"/>
      <c r="F118" s="2"/>
      <c r="G118" s="2"/>
      <c r="H118" s="2"/>
      <c r="I118" s="2"/>
      <c r="J118" s="84"/>
      <c r="K118" s="3"/>
      <c r="L118" s="3"/>
      <c r="M118" s="169"/>
      <c r="N118" s="84" t="s">
        <v>110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4"/>
      <c r="AB118" s="645" t="s">
        <v>50</v>
      </c>
      <c r="AC118" s="646"/>
      <c r="AD118" s="646"/>
      <c r="AE118" s="4"/>
    </row>
    <row r="119" spans="1:31" s="17" customFormat="1" ht="12" customHeight="1" x14ac:dyDescent="0.2">
      <c r="A119" s="137" t="s">
        <v>8</v>
      </c>
      <c r="B119" s="138" t="s">
        <v>91</v>
      </c>
      <c r="C119" s="78"/>
      <c r="D119" s="170" t="s">
        <v>126</v>
      </c>
      <c r="E119" s="138"/>
      <c r="J119" s="76"/>
      <c r="K119" s="85"/>
      <c r="L119" s="76"/>
      <c r="M119" s="171"/>
      <c r="N119" s="159" t="s">
        <v>8</v>
      </c>
      <c r="O119" s="120" t="s">
        <v>135</v>
      </c>
      <c r="P119" s="135"/>
      <c r="Z119" s="77"/>
      <c r="AB119" s="463"/>
      <c r="AC119" s="639"/>
      <c r="AD119" s="639"/>
      <c r="AE119" s="77"/>
    </row>
    <row r="120" spans="1:31" s="17" customFormat="1" ht="12" customHeight="1" x14ac:dyDescent="0.2">
      <c r="A120" s="75"/>
      <c r="B120" s="138" t="s">
        <v>107</v>
      </c>
      <c r="C120" s="78"/>
      <c r="D120" s="170" t="s">
        <v>133</v>
      </c>
      <c r="E120" s="138"/>
      <c r="J120" s="76"/>
      <c r="K120" s="85"/>
      <c r="L120" s="76"/>
      <c r="M120" s="171"/>
      <c r="N120" s="159" t="s">
        <v>9</v>
      </c>
      <c r="O120" s="120" t="s">
        <v>136</v>
      </c>
      <c r="P120" s="135"/>
      <c r="Z120" s="77"/>
      <c r="AB120" s="87" t="s">
        <v>10</v>
      </c>
      <c r="AC120" s="640"/>
      <c r="AD120" s="640"/>
      <c r="AE120" s="77"/>
    </row>
    <row r="121" spans="1:31" s="17" customFormat="1" ht="12" customHeight="1" x14ac:dyDescent="0.2">
      <c r="A121" s="75"/>
      <c r="B121" s="138" t="s">
        <v>108</v>
      </c>
      <c r="C121" s="78"/>
      <c r="D121" s="170" t="s">
        <v>115</v>
      </c>
      <c r="E121" s="138"/>
      <c r="M121" s="171"/>
      <c r="N121" s="159" t="s">
        <v>11</v>
      </c>
      <c r="O121" s="120" t="s">
        <v>137</v>
      </c>
      <c r="P121" s="135"/>
      <c r="Z121" s="77"/>
      <c r="AB121" s="86" t="s">
        <v>177</v>
      </c>
      <c r="AC121" s="640"/>
      <c r="AD121" s="640"/>
      <c r="AE121" s="77"/>
    </row>
    <row r="122" spans="1:31" s="17" customFormat="1" ht="12" customHeight="1" x14ac:dyDescent="0.2">
      <c r="A122" s="137" t="s">
        <v>9</v>
      </c>
      <c r="B122" s="138" t="s">
        <v>109</v>
      </c>
      <c r="C122" s="78"/>
      <c r="D122" s="170" t="s">
        <v>118</v>
      </c>
      <c r="E122" s="138"/>
      <c r="M122" s="171"/>
      <c r="N122" s="159" t="s">
        <v>12</v>
      </c>
      <c r="O122" s="120" t="s">
        <v>138</v>
      </c>
      <c r="P122" s="135"/>
      <c r="Z122" s="77"/>
      <c r="AB122" s="86" t="s">
        <v>174</v>
      </c>
      <c r="AC122" s="640"/>
      <c r="AD122" s="640"/>
      <c r="AE122" s="77"/>
    </row>
    <row r="123" spans="1:31" s="17" customFormat="1" ht="12" customHeight="1" x14ac:dyDescent="0.2">
      <c r="A123" s="137" t="s">
        <v>11</v>
      </c>
      <c r="B123" s="457" t="s">
        <v>123</v>
      </c>
      <c r="C123" s="457"/>
      <c r="D123" s="172"/>
      <c r="J123" s="7"/>
      <c r="K123" s="52"/>
      <c r="L123" s="76"/>
      <c r="M123" s="162"/>
      <c r="N123" s="159" t="s">
        <v>13</v>
      </c>
      <c r="O123" s="120" t="s">
        <v>139</v>
      </c>
      <c r="P123" s="135"/>
      <c r="R123" s="76"/>
      <c r="V123" s="76"/>
      <c r="W123" s="78"/>
      <c r="Z123" s="77"/>
      <c r="AB123" s="86"/>
      <c r="AC123" s="640"/>
      <c r="AD123" s="640"/>
      <c r="AE123" s="77"/>
    </row>
    <row r="124" spans="1:31" s="17" customFormat="1" ht="12" customHeight="1" x14ac:dyDescent="0.2">
      <c r="A124" s="143"/>
      <c r="B124" s="457"/>
      <c r="C124" s="457"/>
      <c r="D124" s="172"/>
      <c r="J124" s="76"/>
      <c r="K124" s="85"/>
      <c r="L124" s="76"/>
      <c r="M124" s="162"/>
      <c r="N124" s="159" t="s">
        <v>111</v>
      </c>
      <c r="O124" s="120" t="s">
        <v>140</v>
      </c>
      <c r="P124" s="135"/>
      <c r="R124" s="76"/>
      <c r="V124" s="76"/>
      <c r="W124" s="78"/>
      <c r="Z124" s="77"/>
      <c r="AB124" s="87" t="s">
        <v>19</v>
      </c>
      <c r="AC124" s="640"/>
      <c r="AD124" s="641"/>
      <c r="AE124" s="77"/>
    </row>
    <row r="125" spans="1:31" s="17" customFormat="1" ht="12.75" customHeight="1" x14ac:dyDescent="0.2">
      <c r="A125" s="143"/>
      <c r="B125" s="457"/>
      <c r="C125" s="457"/>
      <c r="D125" s="166" t="s">
        <v>116</v>
      </c>
      <c r="E125" s="7"/>
      <c r="J125" s="76"/>
      <c r="K125" s="85"/>
      <c r="L125" s="76"/>
      <c r="M125" s="162"/>
      <c r="N125" s="141"/>
      <c r="O125" s="142"/>
      <c r="P125" s="135"/>
      <c r="R125" s="76"/>
      <c r="V125" s="76"/>
      <c r="W125" s="78"/>
      <c r="Z125" s="77"/>
      <c r="AB125" s="86" t="s">
        <v>175</v>
      </c>
      <c r="AC125" s="640"/>
      <c r="AD125" s="641"/>
      <c r="AE125" s="77"/>
    </row>
    <row r="126" spans="1:31" s="17" customFormat="1" ht="12" customHeight="1" x14ac:dyDescent="0.2">
      <c r="A126" s="137" t="s">
        <v>12</v>
      </c>
      <c r="B126" s="457" t="s">
        <v>124</v>
      </c>
      <c r="C126" s="457"/>
      <c r="D126" s="172"/>
      <c r="J126" s="76"/>
      <c r="K126" s="85"/>
      <c r="L126" s="76"/>
      <c r="M126" s="162"/>
      <c r="N126" s="7" t="s">
        <v>46</v>
      </c>
      <c r="R126" s="76"/>
      <c r="V126" s="76"/>
      <c r="W126" s="78"/>
      <c r="Z126" s="77"/>
      <c r="AB126" s="86" t="s">
        <v>178</v>
      </c>
      <c r="AC126" s="640"/>
      <c r="AD126" s="640"/>
      <c r="AE126" s="77"/>
    </row>
    <row r="127" spans="1:31" s="17" customFormat="1" ht="12" customHeight="1" x14ac:dyDescent="0.2">
      <c r="A127" s="143"/>
      <c r="B127" s="457"/>
      <c r="C127" s="457"/>
      <c r="D127" s="166" t="s">
        <v>44</v>
      </c>
      <c r="E127" s="7"/>
      <c r="J127" s="76"/>
      <c r="K127" s="85"/>
      <c r="L127" s="76"/>
      <c r="M127" s="162"/>
      <c r="N127" s="144" t="s">
        <v>47</v>
      </c>
      <c r="V127" s="76"/>
      <c r="W127" s="78"/>
      <c r="Z127" s="77"/>
      <c r="AB127" s="143"/>
      <c r="AC127" s="640"/>
      <c r="AD127" s="640"/>
      <c r="AE127" s="77"/>
    </row>
    <row r="128" spans="1:31" s="17" customFormat="1" ht="12" customHeight="1" x14ac:dyDescent="0.2">
      <c r="A128" s="143"/>
      <c r="B128" s="457"/>
      <c r="C128" s="457"/>
      <c r="D128" s="151" t="s">
        <v>52</v>
      </c>
      <c r="E128" s="144"/>
      <c r="J128" s="76"/>
      <c r="M128" s="171"/>
      <c r="N128" s="144" t="s">
        <v>48</v>
      </c>
      <c r="V128" s="76"/>
      <c r="W128" s="78"/>
      <c r="Z128" s="77"/>
      <c r="AB128" s="86"/>
      <c r="AC128" s="640"/>
      <c r="AD128" s="640"/>
      <c r="AE128" s="77"/>
    </row>
    <row r="129" spans="1:45" s="17" customFormat="1" ht="12" customHeight="1" x14ac:dyDescent="0.2">
      <c r="A129" s="137" t="s">
        <v>13</v>
      </c>
      <c r="B129" s="457" t="s">
        <v>125</v>
      </c>
      <c r="C129" s="457"/>
      <c r="D129" s="151" t="s">
        <v>45</v>
      </c>
      <c r="E129" s="144"/>
      <c r="J129" s="76"/>
      <c r="M129" s="171"/>
      <c r="N129" s="144" t="s">
        <v>49</v>
      </c>
      <c r="V129" s="76"/>
      <c r="W129" s="78"/>
      <c r="Z129" s="77"/>
      <c r="AB129" s="86"/>
      <c r="AC129" s="642"/>
      <c r="AD129" s="642"/>
      <c r="AE129" s="77"/>
    </row>
    <row r="130" spans="1:45" s="17" customFormat="1" ht="12.75" customHeight="1" thickBot="1" x14ac:dyDescent="0.25">
      <c r="A130" s="79"/>
      <c r="B130" s="480"/>
      <c r="C130" s="480"/>
      <c r="D130" s="167"/>
      <c r="E130" s="80"/>
      <c r="F130" s="80"/>
      <c r="G130" s="80"/>
      <c r="H130" s="80"/>
      <c r="I130" s="80"/>
      <c r="J130" s="81"/>
      <c r="K130" s="80"/>
      <c r="L130" s="80"/>
      <c r="M130" s="173"/>
      <c r="N130" s="80"/>
      <c r="O130" s="80"/>
      <c r="P130" s="80"/>
      <c r="Q130" s="80"/>
      <c r="R130" s="80"/>
      <c r="S130" s="80"/>
      <c r="T130" s="80"/>
      <c r="U130" s="80"/>
      <c r="V130" s="81"/>
      <c r="W130" s="82"/>
      <c r="X130" s="80"/>
      <c r="Y130" s="80"/>
      <c r="Z130" s="83"/>
      <c r="AB130" s="79"/>
      <c r="AC130" s="80"/>
      <c r="AD130" s="80"/>
      <c r="AE130" s="83"/>
    </row>
    <row r="131" spans="1:45" s="133" customFormat="1" ht="18" customHeight="1" x14ac:dyDescent="0.2">
      <c r="A131" s="134" t="s">
        <v>119</v>
      </c>
      <c r="B131" s="145"/>
      <c r="C131" s="146"/>
      <c r="J131" s="147"/>
      <c r="V131" s="147"/>
      <c r="W131" s="148"/>
    </row>
    <row r="132" spans="1:45" s="18" customFormat="1" ht="15" customHeight="1" x14ac:dyDescent="0.2">
      <c r="A132" s="134" t="s">
        <v>122</v>
      </c>
      <c r="C132" s="19"/>
      <c r="AI132" s="19"/>
      <c r="AJ132" s="19"/>
      <c r="AR132" s="19"/>
      <c r="AS132" s="19"/>
    </row>
    <row r="133" spans="1:45" s="18" customFormat="1" ht="7.5" customHeight="1" x14ac:dyDescent="0.2">
      <c r="C133" s="19"/>
      <c r="AI133" s="19"/>
      <c r="AJ133" s="19"/>
      <c r="AR133" s="19"/>
      <c r="AS133" s="19"/>
    </row>
    <row r="134" spans="1:45" s="88" customFormat="1" ht="15" x14ac:dyDescent="0.25">
      <c r="B134" s="88" t="s">
        <v>53</v>
      </c>
      <c r="C134" s="89"/>
      <c r="F134" s="88" t="s">
        <v>54</v>
      </c>
      <c r="Y134" s="88" t="s">
        <v>55</v>
      </c>
      <c r="AI134" s="89"/>
      <c r="AJ134" s="89"/>
      <c r="AR134" s="89"/>
      <c r="AS134" s="89"/>
    </row>
    <row r="135" spans="1:45" s="18" customFormat="1" ht="21.75" customHeight="1" x14ac:dyDescent="0.2">
      <c r="C135" s="19"/>
      <c r="AI135" s="19"/>
      <c r="AJ135" s="19"/>
      <c r="AR135" s="19"/>
      <c r="AS135" s="19"/>
    </row>
    <row r="136" spans="1:45" s="18" customFormat="1" ht="22.5" customHeight="1" x14ac:dyDescent="0.2">
      <c r="C136" s="19"/>
      <c r="AI136" s="19"/>
      <c r="AJ136" s="19"/>
      <c r="AR136" s="19"/>
      <c r="AS136" s="19"/>
    </row>
    <row r="137" spans="1:45" s="18" customFormat="1" ht="17.25" customHeight="1" x14ac:dyDescent="0.2">
      <c r="B137" s="90"/>
      <c r="C137" s="19"/>
      <c r="F137" s="90"/>
      <c r="G137" s="90"/>
      <c r="H137" s="90"/>
      <c r="I137" s="90"/>
      <c r="J137" s="90"/>
      <c r="K137" s="90"/>
      <c r="L137" s="90"/>
      <c r="M137" s="90"/>
      <c r="Y137" s="90"/>
      <c r="Z137" s="90"/>
      <c r="AA137" s="90"/>
      <c r="AB137" s="90"/>
      <c r="AC137" s="90"/>
      <c r="AI137" s="19"/>
      <c r="AJ137" s="19"/>
      <c r="AR137" s="19"/>
      <c r="AS137" s="19"/>
    </row>
    <row r="138" spans="1:45" s="18" customFormat="1" ht="18" customHeight="1" x14ac:dyDescent="0.2">
      <c r="B138" s="18" t="s">
        <v>56</v>
      </c>
      <c r="C138" s="19"/>
      <c r="F138" s="18" t="s">
        <v>56</v>
      </c>
      <c r="Y138" s="18" t="s">
        <v>57</v>
      </c>
      <c r="AI138" s="19"/>
      <c r="AJ138" s="19"/>
      <c r="AR138" s="19"/>
      <c r="AS138" s="19"/>
    </row>
    <row r="139" spans="1:45" s="18" customFormat="1" ht="15.75" customHeight="1" x14ac:dyDescent="0.2">
      <c r="B139" s="18" t="s">
        <v>58</v>
      </c>
      <c r="C139" s="19"/>
      <c r="F139" s="18" t="s">
        <v>59</v>
      </c>
      <c r="Y139" s="18" t="s">
        <v>58</v>
      </c>
      <c r="AI139" s="19"/>
      <c r="AJ139" s="19"/>
      <c r="AR139" s="19"/>
      <c r="AS139" s="19"/>
    </row>
    <row r="140" spans="1:45" s="18" customFormat="1" ht="6" customHeight="1" thickBot="1" x14ac:dyDescent="0.25">
      <c r="C140" s="19"/>
      <c r="AI140" s="19"/>
      <c r="AJ140" s="19"/>
    </row>
    <row r="141" spans="1:45" s="88" customFormat="1" ht="24.95" customHeight="1" x14ac:dyDescent="0.25">
      <c r="A141" s="294">
        <v>41</v>
      </c>
      <c r="B141" s="295"/>
      <c r="C141" s="93"/>
      <c r="D141" s="295"/>
      <c r="E141" s="93"/>
      <c r="F141" s="311"/>
      <c r="G141" s="104"/>
      <c r="H141" s="105"/>
      <c r="I141" s="105"/>
      <c r="J141" s="106"/>
      <c r="K141" s="105"/>
      <c r="L141" s="105"/>
      <c r="M141" s="105"/>
      <c r="N141" s="104"/>
      <c r="O141" s="105"/>
      <c r="P141" s="105"/>
      <c r="Q141" s="105"/>
      <c r="R141" s="106"/>
      <c r="S141" s="104"/>
      <c r="T141" s="105"/>
      <c r="U141" s="105"/>
      <c r="V141" s="105"/>
      <c r="W141" s="107"/>
      <c r="X141" s="104"/>
      <c r="Y141" s="107"/>
      <c r="Z141" s="108"/>
      <c r="AB141" s="104"/>
      <c r="AC141" s="104"/>
      <c r="AD141" s="109"/>
      <c r="AE141" s="109"/>
    </row>
    <row r="142" spans="1:45" s="88" customFormat="1" ht="24.95" customHeight="1" x14ac:dyDescent="0.25">
      <c r="A142" s="95">
        <f>A141+1</f>
        <v>42</v>
      </c>
      <c r="B142" s="103"/>
      <c r="C142" s="97"/>
      <c r="D142" s="103"/>
      <c r="E142" s="97"/>
      <c r="F142" s="310"/>
      <c r="G142" s="111"/>
      <c r="H142" s="112"/>
      <c r="I142" s="112"/>
      <c r="J142" s="113"/>
      <c r="K142" s="112"/>
      <c r="L142" s="112"/>
      <c r="M142" s="112"/>
      <c r="N142" s="111"/>
      <c r="O142" s="112"/>
      <c r="P142" s="112"/>
      <c r="Q142" s="112"/>
      <c r="R142" s="113"/>
      <c r="S142" s="111"/>
      <c r="T142" s="112"/>
      <c r="U142" s="112"/>
      <c r="V142" s="112"/>
      <c r="W142" s="114"/>
      <c r="X142" s="111"/>
      <c r="Y142" s="114"/>
      <c r="Z142" s="115"/>
      <c r="AB142" s="111"/>
      <c r="AC142" s="111"/>
      <c r="AD142" s="110"/>
      <c r="AE142" s="110"/>
    </row>
    <row r="143" spans="1:45" s="88" customFormat="1" ht="24.95" customHeight="1" x14ac:dyDescent="0.25">
      <c r="A143" s="95">
        <f t="shared" ref="A143:A150" si="4">A142+1</f>
        <v>43</v>
      </c>
      <c r="B143" s="103"/>
      <c r="C143" s="97"/>
      <c r="D143" s="103"/>
      <c r="E143" s="97"/>
      <c r="F143" s="310"/>
      <c r="G143" s="111"/>
      <c r="H143" s="112"/>
      <c r="I143" s="112"/>
      <c r="J143" s="113"/>
      <c r="K143" s="112"/>
      <c r="L143" s="112"/>
      <c r="M143" s="112"/>
      <c r="N143" s="111"/>
      <c r="O143" s="112"/>
      <c r="P143" s="112"/>
      <c r="Q143" s="112"/>
      <c r="R143" s="113"/>
      <c r="S143" s="111"/>
      <c r="T143" s="112"/>
      <c r="U143" s="112"/>
      <c r="V143" s="112"/>
      <c r="W143" s="114"/>
      <c r="X143" s="111"/>
      <c r="Y143" s="114"/>
      <c r="Z143" s="115"/>
      <c r="AB143" s="111"/>
      <c r="AC143" s="111"/>
      <c r="AD143" s="110"/>
      <c r="AE143" s="110"/>
    </row>
    <row r="144" spans="1:45" s="88" customFormat="1" ht="24.95" customHeight="1" x14ac:dyDescent="0.25">
      <c r="A144" s="95">
        <f t="shared" si="4"/>
        <v>44</v>
      </c>
      <c r="B144" s="103"/>
      <c r="C144" s="97"/>
      <c r="D144" s="103"/>
      <c r="E144" s="97"/>
      <c r="F144" s="310"/>
      <c r="G144" s="111"/>
      <c r="H144" s="112"/>
      <c r="I144" s="112"/>
      <c r="J144" s="113"/>
      <c r="K144" s="112"/>
      <c r="L144" s="112"/>
      <c r="M144" s="112"/>
      <c r="N144" s="111"/>
      <c r="O144" s="112"/>
      <c r="P144" s="112"/>
      <c r="Q144" s="112"/>
      <c r="R144" s="113"/>
      <c r="S144" s="111"/>
      <c r="T144" s="112"/>
      <c r="U144" s="112"/>
      <c r="V144" s="112"/>
      <c r="W144" s="114"/>
      <c r="X144" s="111"/>
      <c r="Y144" s="114"/>
      <c r="Z144" s="115"/>
      <c r="AB144" s="111"/>
      <c r="AC144" s="111"/>
      <c r="AD144" s="110"/>
      <c r="AE144" s="110"/>
    </row>
    <row r="145" spans="1:31" s="88" customFormat="1" ht="24.95" customHeight="1" x14ac:dyDescent="0.25">
      <c r="A145" s="95">
        <f t="shared" si="4"/>
        <v>45</v>
      </c>
      <c r="B145" s="103"/>
      <c r="C145" s="97"/>
      <c r="D145" s="103"/>
      <c r="E145" s="103"/>
      <c r="F145" s="293"/>
      <c r="G145" s="111"/>
      <c r="H145" s="112"/>
      <c r="I145" s="112"/>
      <c r="J145" s="113"/>
      <c r="K145" s="112"/>
      <c r="L145" s="112"/>
      <c r="M145" s="112"/>
      <c r="N145" s="111"/>
      <c r="O145" s="112"/>
      <c r="P145" s="112"/>
      <c r="Q145" s="112"/>
      <c r="R145" s="113"/>
      <c r="S145" s="111"/>
      <c r="T145" s="112"/>
      <c r="U145" s="112"/>
      <c r="V145" s="112"/>
      <c r="W145" s="114"/>
      <c r="X145" s="111"/>
      <c r="Y145" s="114"/>
      <c r="Z145" s="115"/>
      <c r="AB145" s="111"/>
      <c r="AC145" s="111"/>
      <c r="AD145" s="110"/>
      <c r="AE145" s="110"/>
    </row>
    <row r="146" spans="1:31" s="88" customFormat="1" ht="24.95" customHeight="1" x14ac:dyDescent="0.25">
      <c r="A146" s="95">
        <f t="shared" si="4"/>
        <v>46</v>
      </c>
      <c r="B146" s="103"/>
      <c r="C146" s="97"/>
      <c r="D146" s="103"/>
      <c r="E146" s="103"/>
      <c r="F146" s="293"/>
      <c r="G146" s="111"/>
      <c r="H146" s="112"/>
      <c r="I146" s="112"/>
      <c r="J146" s="113"/>
      <c r="K146" s="112"/>
      <c r="L146" s="112"/>
      <c r="M146" s="112"/>
      <c r="N146" s="111"/>
      <c r="O146" s="112"/>
      <c r="P146" s="112"/>
      <c r="Q146" s="112"/>
      <c r="R146" s="113"/>
      <c r="S146" s="111"/>
      <c r="T146" s="112"/>
      <c r="U146" s="112"/>
      <c r="V146" s="112"/>
      <c r="W146" s="114"/>
      <c r="X146" s="111"/>
      <c r="Y146" s="114"/>
      <c r="Z146" s="115"/>
      <c r="AB146" s="111"/>
      <c r="AC146" s="111"/>
      <c r="AD146" s="110"/>
      <c r="AE146" s="110"/>
    </row>
    <row r="147" spans="1:31" s="88" customFormat="1" ht="24.95" customHeight="1" x14ac:dyDescent="0.25">
      <c r="A147" s="95">
        <f t="shared" si="4"/>
        <v>47</v>
      </c>
      <c r="B147" s="103"/>
      <c r="C147" s="97"/>
      <c r="D147" s="103"/>
      <c r="E147" s="103"/>
      <c r="F147" s="293"/>
      <c r="G147" s="111"/>
      <c r="H147" s="112"/>
      <c r="I147" s="112"/>
      <c r="J147" s="113"/>
      <c r="K147" s="112"/>
      <c r="L147" s="112"/>
      <c r="M147" s="112"/>
      <c r="N147" s="111"/>
      <c r="O147" s="112"/>
      <c r="P147" s="112"/>
      <c r="Q147" s="112"/>
      <c r="R147" s="113"/>
      <c r="S147" s="111"/>
      <c r="T147" s="112"/>
      <c r="U147" s="112"/>
      <c r="V147" s="112"/>
      <c r="W147" s="114"/>
      <c r="X147" s="111"/>
      <c r="Y147" s="114"/>
      <c r="Z147" s="115"/>
      <c r="AB147" s="111"/>
      <c r="AC147" s="111"/>
      <c r="AD147" s="110"/>
      <c r="AE147" s="110"/>
    </row>
    <row r="148" spans="1:31" s="88" customFormat="1" ht="24.95" customHeight="1" x14ac:dyDescent="0.25">
      <c r="A148" s="95">
        <f t="shared" si="4"/>
        <v>48</v>
      </c>
      <c r="B148" s="103"/>
      <c r="C148" s="97"/>
      <c r="D148" s="103"/>
      <c r="E148" s="103"/>
      <c r="F148" s="293"/>
      <c r="G148" s="111"/>
      <c r="H148" s="112"/>
      <c r="I148" s="112"/>
      <c r="J148" s="113"/>
      <c r="K148" s="112"/>
      <c r="L148" s="112"/>
      <c r="M148" s="112"/>
      <c r="N148" s="111"/>
      <c r="O148" s="112"/>
      <c r="P148" s="112"/>
      <c r="Q148" s="112"/>
      <c r="R148" s="113"/>
      <c r="S148" s="111"/>
      <c r="T148" s="112"/>
      <c r="U148" s="112"/>
      <c r="V148" s="112"/>
      <c r="W148" s="114"/>
      <c r="X148" s="111"/>
      <c r="Y148" s="114"/>
      <c r="Z148" s="115"/>
      <c r="AB148" s="111"/>
      <c r="AC148" s="111"/>
      <c r="AD148" s="110"/>
      <c r="AE148" s="110"/>
    </row>
    <row r="149" spans="1:31" s="88" customFormat="1" ht="24.95" customHeight="1" x14ac:dyDescent="0.25">
      <c r="A149" s="95">
        <f t="shared" si="4"/>
        <v>49</v>
      </c>
      <c r="B149" s="103"/>
      <c r="C149" s="97"/>
      <c r="D149" s="103"/>
      <c r="E149" s="103"/>
      <c r="F149" s="293"/>
      <c r="G149" s="111"/>
      <c r="H149" s="112"/>
      <c r="I149" s="112"/>
      <c r="J149" s="113"/>
      <c r="K149" s="112"/>
      <c r="L149" s="112"/>
      <c r="M149" s="112"/>
      <c r="N149" s="111"/>
      <c r="O149" s="112"/>
      <c r="P149" s="112"/>
      <c r="Q149" s="112"/>
      <c r="R149" s="113"/>
      <c r="S149" s="111"/>
      <c r="T149" s="112"/>
      <c r="U149" s="112"/>
      <c r="V149" s="112"/>
      <c r="W149" s="114"/>
      <c r="X149" s="111"/>
      <c r="Y149" s="114"/>
      <c r="Z149" s="115"/>
      <c r="AB149" s="111"/>
      <c r="AC149" s="111"/>
      <c r="AD149" s="110"/>
      <c r="AE149" s="110"/>
    </row>
    <row r="150" spans="1:31" s="88" customFormat="1" ht="24.95" customHeight="1" thickBot="1" x14ac:dyDescent="0.3">
      <c r="A150" s="95">
        <f t="shared" si="4"/>
        <v>50</v>
      </c>
      <c r="B150" s="103"/>
      <c r="C150" s="97"/>
      <c r="D150" s="103"/>
      <c r="E150" s="103"/>
      <c r="F150" s="293"/>
      <c r="G150" s="111"/>
      <c r="H150" s="112"/>
      <c r="I150" s="112"/>
      <c r="J150" s="113"/>
      <c r="K150" s="112"/>
      <c r="L150" s="112"/>
      <c r="M150" s="112"/>
      <c r="N150" s="111"/>
      <c r="O150" s="112"/>
      <c r="P150" s="112"/>
      <c r="Q150" s="112"/>
      <c r="R150" s="113"/>
      <c r="S150" s="111"/>
      <c r="T150" s="112"/>
      <c r="U150" s="112"/>
      <c r="V150" s="112"/>
      <c r="W150" s="114"/>
      <c r="X150" s="111"/>
      <c r="Y150" s="114"/>
      <c r="Z150" s="115"/>
      <c r="AB150" s="643"/>
      <c r="AC150" s="643"/>
      <c r="AD150" s="644"/>
      <c r="AE150" s="644"/>
    </row>
    <row r="151" spans="1:31" s="5" customFormat="1" ht="18.75" customHeight="1" x14ac:dyDescent="0.2">
      <c r="A151" s="74" t="s">
        <v>106</v>
      </c>
      <c r="B151" s="2"/>
      <c r="C151" s="44"/>
      <c r="D151" s="168"/>
      <c r="E151" s="2"/>
      <c r="F151" s="2"/>
      <c r="G151" s="2"/>
      <c r="H151" s="2"/>
      <c r="I151" s="2"/>
      <c r="J151" s="84"/>
      <c r="K151" s="3"/>
      <c r="L151" s="3"/>
      <c r="M151" s="169"/>
      <c r="N151" s="84" t="s">
        <v>110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4"/>
      <c r="AB151" s="645" t="s">
        <v>50</v>
      </c>
      <c r="AC151" s="646"/>
      <c r="AD151" s="646"/>
      <c r="AE151" s="4"/>
    </row>
    <row r="152" spans="1:31" s="17" customFormat="1" ht="12" customHeight="1" x14ac:dyDescent="0.2">
      <c r="A152" s="137" t="s">
        <v>8</v>
      </c>
      <c r="B152" s="138" t="s">
        <v>91</v>
      </c>
      <c r="C152" s="78"/>
      <c r="D152" s="170" t="s">
        <v>126</v>
      </c>
      <c r="E152" s="138"/>
      <c r="J152" s="76"/>
      <c r="K152" s="85"/>
      <c r="L152" s="76"/>
      <c r="M152" s="171"/>
      <c r="N152" s="159" t="s">
        <v>8</v>
      </c>
      <c r="O152" s="120" t="s">
        <v>135</v>
      </c>
      <c r="P152" s="135"/>
      <c r="Z152" s="77"/>
      <c r="AB152" s="463"/>
      <c r="AC152" s="639"/>
      <c r="AD152" s="639"/>
      <c r="AE152" s="77"/>
    </row>
    <row r="153" spans="1:31" s="17" customFormat="1" ht="12" customHeight="1" x14ac:dyDescent="0.2">
      <c r="A153" s="75"/>
      <c r="B153" s="138" t="s">
        <v>107</v>
      </c>
      <c r="C153" s="78"/>
      <c r="D153" s="170" t="s">
        <v>133</v>
      </c>
      <c r="E153" s="138"/>
      <c r="J153" s="76"/>
      <c r="K153" s="85"/>
      <c r="L153" s="76"/>
      <c r="M153" s="171"/>
      <c r="N153" s="159" t="s">
        <v>9</v>
      </c>
      <c r="O153" s="120" t="s">
        <v>136</v>
      </c>
      <c r="P153" s="135"/>
      <c r="Z153" s="77"/>
      <c r="AB153" s="87" t="s">
        <v>10</v>
      </c>
      <c r="AC153" s="640"/>
      <c r="AD153" s="640"/>
      <c r="AE153" s="77"/>
    </row>
    <row r="154" spans="1:31" s="17" customFormat="1" ht="12" customHeight="1" x14ac:dyDescent="0.2">
      <c r="A154" s="75"/>
      <c r="B154" s="138" t="s">
        <v>108</v>
      </c>
      <c r="C154" s="78"/>
      <c r="D154" s="170" t="s">
        <v>115</v>
      </c>
      <c r="E154" s="138"/>
      <c r="M154" s="171"/>
      <c r="N154" s="159" t="s">
        <v>11</v>
      </c>
      <c r="O154" s="120" t="s">
        <v>137</v>
      </c>
      <c r="P154" s="135"/>
      <c r="Z154" s="77"/>
      <c r="AB154" s="86" t="s">
        <v>177</v>
      </c>
      <c r="AC154" s="640"/>
      <c r="AD154" s="640"/>
      <c r="AE154" s="77"/>
    </row>
    <row r="155" spans="1:31" s="17" customFormat="1" ht="12" customHeight="1" x14ac:dyDescent="0.2">
      <c r="A155" s="137" t="s">
        <v>9</v>
      </c>
      <c r="B155" s="138" t="s">
        <v>109</v>
      </c>
      <c r="C155" s="78"/>
      <c r="D155" s="170" t="s">
        <v>118</v>
      </c>
      <c r="E155" s="138"/>
      <c r="M155" s="171"/>
      <c r="N155" s="159" t="s">
        <v>12</v>
      </c>
      <c r="O155" s="120" t="s">
        <v>138</v>
      </c>
      <c r="P155" s="135"/>
      <c r="Z155" s="77"/>
      <c r="AB155" s="86" t="s">
        <v>174</v>
      </c>
      <c r="AC155" s="640"/>
      <c r="AD155" s="640"/>
      <c r="AE155" s="77"/>
    </row>
    <row r="156" spans="1:31" s="17" customFormat="1" ht="12" customHeight="1" x14ac:dyDescent="0.2">
      <c r="A156" s="137" t="s">
        <v>11</v>
      </c>
      <c r="B156" s="457" t="s">
        <v>123</v>
      </c>
      <c r="C156" s="457"/>
      <c r="D156" s="172"/>
      <c r="J156" s="7"/>
      <c r="K156" s="52"/>
      <c r="L156" s="76"/>
      <c r="M156" s="162"/>
      <c r="N156" s="159" t="s">
        <v>13</v>
      </c>
      <c r="O156" s="120" t="s">
        <v>139</v>
      </c>
      <c r="P156" s="135"/>
      <c r="R156" s="76"/>
      <c r="V156" s="76"/>
      <c r="W156" s="78"/>
      <c r="Z156" s="77"/>
      <c r="AB156" s="86"/>
      <c r="AC156" s="640"/>
      <c r="AD156" s="640"/>
      <c r="AE156" s="77"/>
    </row>
    <row r="157" spans="1:31" s="17" customFormat="1" ht="12" customHeight="1" x14ac:dyDescent="0.2">
      <c r="A157" s="143"/>
      <c r="B157" s="457"/>
      <c r="C157" s="457"/>
      <c r="D157" s="172"/>
      <c r="J157" s="76"/>
      <c r="K157" s="85"/>
      <c r="L157" s="76"/>
      <c r="M157" s="162"/>
      <c r="N157" s="159" t="s">
        <v>111</v>
      </c>
      <c r="O157" s="120" t="s">
        <v>140</v>
      </c>
      <c r="P157" s="135"/>
      <c r="R157" s="76"/>
      <c r="V157" s="76"/>
      <c r="W157" s="78"/>
      <c r="Z157" s="77"/>
      <c r="AB157" s="87" t="s">
        <v>19</v>
      </c>
      <c r="AC157" s="640"/>
      <c r="AD157" s="641"/>
      <c r="AE157" s="77"/>
    </row>
    <row r="158" spans="1:31" s="17" customFormat="1" ht="12.75" customHeight="1" x14ac:dyDescent="0.2">
      <c r="A158" s="143"/>
      <c r="B158" s="457"/>
      <c r="C158" s="457"/>
      <c r="D158" s="166" t="s">
        <v>116</v>
      </c>
      <c r="E158" s="7"/>
      <c r="J158" s="76"/>
      <c r="K158" s="85"/>
      <c r="L158" s="76"/>
      <c r="M158" s="162"/>
      <c r="N158" s="141"/>
      <c r="O158" s="142"/>
      <c r="P158" s="135"/>
      <c r="R158" s="76"/>
      <c r="V158" s="76"/>
      <c r="W158" s="78"/>
      <c r="Z158" s="77"/>
      <c r="AB158" s="86" t="s">
        <v>175</v>
      </c>
      <c r="AC158" s="640"/>
      <c r="AD158" s="641"/>
      <c r="AE158" s="77"/>
    </row>
    <row r="159" spans="1:31" s="17" customFormat="1" ht="12" customHeight="1" x14ac:dyDescent="0.2">
      <c r="A159" s="137" t="s">
        <v>12</v>
      </c>
      <c r="B159" s="457" t="s">
        <v>124</v>
      </c>
      <c r="C159" s="457"/>
      <c r="D159" s="172"/>
      <c r="J159" s="76"/>
      <c r="K159" s="85"/>
      <c r="L159" s="76"/>
      <c r="M159" s="162"/>
      <c r="N159" s="7" t="s">
        <v>46</v>
      </c>
      <c r="R159" s="76"/>
      <c r="V159" s="76"/>
      <c r="W159" s="78"/>
      <c r="Z159" s="77"/>
      <c r="AB159" s="86" t="s">
        <v>178</v>
      </c>
      <c r="AC159" s="640"/>
      <c r="AD159" s="640"/>
      <c r="AE159" s="77"/>
    </row>
    <row r="160" spans="1:31" s="17" customFormat="1" ht="12" customHeight="1" x14ac:dyDescent="0.2">
      <c r="A160" s="143"/>
      <c r="B160" s="457"/>
      <c r="C160" s="457"/>
      <c r="D160" s="166" t="s">
        <v>44</v>
      </c>
      <c r="E160" s="7"/>
      <c r="J160" s="76"/>
      <c r="K160" s="85"/>
      <c r="L160" s="76"/>
      <c r="M160" s="162"/>
      <c r="N160" s="144" t="s">
        <v>47</v>
      </c>
      <c r="V160" s="76"/>
      <c r="W160" s="78"/>
      <c r="Z160" s="77"/>
      <c r="AB160" s="143"/>
      <c r="AC160" s="640"/>
      <c r="AD160" s="640"/>
      <c r="AE160" s="77"/>
    </row>
    <row r="161" spans="1:45" s="17" customFormat="1" ht="12" customHeight="1" x14ac:dyDescent="0.2">
      <c r="A161" s="143"/>
      <c r="B161" s="457"/>
      <c r="C161" s="457"/>
      <c r="D161" s="151" t="s">
        <v>52</v>
      </c>
      <c r="E161" s="144"/>
      <c r="J161" s="76"/>
      <c r="M161" s="171"/>
      <c r="N161" s="144" t="s">
        <v>48</v>
      </c>
      <c r="V161" s="76"/>
      <c r="W161" s="78"/>
      <c r="Z161" s="77"/>
      <c r="AB161" s="86"/>
      <c r="AC161" s="640"/>
      <c r="AD161" s="640"/>
      <c r="AE161" s="77"/>
    </row>
    <row r="162" spans="1:45" s="17" customFormat="1" ht="12" customHeight="1" x14ac:dyDescent="0.2">
      <c r="A162" s="137" t="s">
        <v>13</v>
      </c>
      <c r="B162" s="457" t="s">
        <v>125</v>
      </c>
      <c r="C162" s="457"/>
      <c r="D162" s="151" t="s">
        <v>45</v>
      </c>
      <c r="E162" s="144"/>
      <c r="J162" s="76"/>
      <c r="M162" s="171"/>
      <c r="N162" s="144" t="s">
        <v>49</v>
      </c>
      <c r="V162" s="76"/>
      <c r="W162" s="78"/>
      <c r="Z162" s="77"/>
      <c r="AB162" s="86"/>
      <c r="AC162" s="642"/>
      <c r="AD162" s="642"/>
      <c r="AE162" s="77"/>
    </row>
    <row r="163" spans="1:45" s="17" customFormat="1" ht="12.75" customHeight="1" thickBot="1" x14ac:dyDescent="0.25">
      <c r="A163" s="79"/>
      <c r="B163" s="480"/>
      <c r="C163" s="480"/>
      <c r="D163" s="167"/>
      <c r="E163" s="80"/>
      <c r="F163" s="80"/>
      <c r="G163" s="80"/>
      <c r="H163" s="80"/>
      <c r="I163" s="80"/>
      <c r="J163" s="81"/>
      <c r="K163" s="80"/>
      <c r="L163" s="80"/>
      <c r="M163" s="173"/>
      <c r="N163" s="80"/>
      <c r="O163" s="80"/>
      <c r="P163" s="80"/>
      <c r="Q163" s="80"/>
      <c r="R163" s="80"/>
      <c r="S163" s="80"/>
      <c r="T163" s="80"/>
      <c r="U163" s="80"/>
      <c r="V163" s="81"/>
      <c r="W163" s="82"/>
      <c r="X163" s="80"/>
      <c r="Y163" s="80"/>
      <c r="Z163" s="83"/>
      <c r="AB163" s="79"/>
      <c r="AC163" s="80"/>
      <c r="AD163" s="80"/>
      <c r="AE163" s="83"/>
    </row>
    <row r="164" spans="1:45" s="133" customFormat="1" ht="18" customHeight="1" x14ac:dyDescent="0.2">
      <c r="A164" s="134" t="s">
        <v>119</v>
      </c>
      <c r="B164" s="145"/>
      <c r="C164" s="146"/>
      <c r="J164" s="147"/>
      <c r="V164" s="147"/>
      <c r="W164" s="148"/>
    </row>
    <row r="165" spans="1:45" s="18" customFormat="1" ht="15" customHeight="1" x14ac:dyDescent="0.2">
      <c r="A165" s="134" t="s">
        <v>122</v>
      </c>
      <c r="C165" s="19"/>
      <c r="AI165" s="19"/>
      <c r="AJ165" s="19"/>
      <c r="AR165" s="19"/>
      <c r="AS165" s="19"/>
    </row>
    <row r="166" spans="1:45" s="18" customFormat="1" ht="7.5" customHeight="1" x14ac:dyDescent="0.2">
      <c r="C166" s="19"/>
      <c r="AI166" s="19"/>
      <c r="AJ166" s="19"/>
      <c r="AR166" s="19"/>
      <c r="AS166" s="19"/>
    </row>
    <row r="167" spans="1:45" s="88" customFormat="1" ht="15" x14ac:dyDescent="0.25">
      <c r="B167" s="88" t="s">
        <v>53</v>
      </c>
      <c r="C167" s="89"/>
      <c r="F167" s="88" t="s">
        <v>54</v>
      </c>
      <c r="Y167" s="88" t="s">
        <v>55</v>
      </c>
      <c r="AI167" s="89"/>
      <c r="AJ167" s="89"/>
      <c r="AR167" s="89"/>
      <c r="AS167" s="89"/>
    </row>
    <row r="168" spans="1:45" s="18" customFormat="1" ht="21.75" customHeight="1" x14ac:dyDescent="0.2">
      <c r="C168" s="19"/>
      <c r="AI168" s="19"/>
      <c r="AJ168" s="19"/>
      <c r="AR168" s="19"/>
      <c r="AS168" s="19"/>
    </row>
    <row r="169" spans="1:45" s="18" customFormat="1" ht="22.5" customHeight="1" x14ac:dyDescent="0.2">
      <c r="C169" s="19"/>
      <c r="AI169" s="19"/>
      <c r="AJ169" s="19"/>
      <c r="AR169" s="19"/>
      <c r="AS169" s="19"/>
    </row>
    <row r="170" spans="1:45" s="18" customFormat="1" ht="17.25" customHeight="1" x14ac:dyDescent="0.2">
      <c r="B170" s="90"/>
      <c r="C170" s="19"/>
      <c r="F170" s="90"/>
      <c r="G170" s="90"/>
      <c r="H170" s="90"/>
      <c r="I170" s="90"/>
      <c r="J170" s="90"/>
      <c r="K170" s="90"/>
      <c r="L170" s="90"/>
      <c r="M170" s="90"/>
      <c r="Y170" s="90"/>
      <c r="Z170" s="90"/>
      <c r="AA170" s="90"/>
      <c r="AB170" s="90"/>
      <c r="AC170" s="90"/>
      <c r="AI170" s="19"/>
      <c r="AJ170" s="19"/>
      <c r="AR170" s="19"/>
      <c r="AS170" s="19"/>
    </row>
    <row r="171" spans="1:45" s="18" customFormat="1" ht="18" customHeight="1" x14ac:dyDescent="0.2">
      <c r="B171" s="18" t="s">
        <v>56</v>
      </c>
      <c r="C171" s="19"/>
      <c r="F171" s="18" t="s">
        <v>56</v>
      </c>
      <c r="Y171" s="18" t="s">
        <v>57</v>
      </c>
      <c r="AI171" s="19"/>
      <c r="AJ171" s="19"/>
      <c r="AR171" s="19"/>
      <c r="AS171" s="19"/>
    </row>
    <row r="172" spans="1:45" s="18" customFormat="1" ht="15.75" customHeight="1" x14ac:dyDescent="0.2">
      <c r="B172" s="18" t="s">
        <v>58</v>
      </c>
      <c r="C172" s="19"/>
      <c r="F172" s="18" t="s">
        <v>59</v>
      </c>
      <c r="Y172" s="18" t="s">
        <v>58</v>
      </c>
      <c r="AI172" s="19"/>
      <c r="AJ172" s="19"/>
      <c r="AR172" s="19"/>
      <c r="AS172" s="19"/>
    </row>
    <row r="174" spans="1:45" s="6" customFormat="1" ht="21" customHeight="1" x14ac:dyDescent="0.25">
      <c r="A174" s="393" t="s">
        <v>264</v>
      </c>
      <c r="C174" s="48"/>
    </row>
  </sheetData>
  <mergeCells count="48">
    <mergeCell ref="AE4:AE7"/>
    <mergeCell ref="B159:C161"/>
    <mergeCell ref="B162:C163"/>
    <mergeCell ref="B123:C125"/>
    <mergeCell ref="B126:C128"/>
    <mergeCell ref="B129:C130"/>
    <mergeCell ref="I6:I7"/>
    <mergeCell ref="J6:J7"/>
    <mergeCell ref="K6:K7"/>
    <mergeCell ref="AB151:AD152"/>
    <mergeCell ref="B156:C158"/>
    <mergeCell ref="AB85:AD86"/>
    <mergeCell ref="B90:C92"/>
    <mergeCell ref="B93:C95"/>
    <mergeCell ref="B96:C97"/>
    <mergeCell ref="AB118:AD119"/>
    <mergeCell ref="A1:AD1"/>
    <mergeCell ref="A2:AD2"/>
    <mergeCell ref="L6:L7"/>
    <mergeCell ref="M6:M7"/>
    <mergeCell ref="N6:R6"/>
    <mergeCell ref="S6:W6"/>
    <mergeCell ref="X6:Y6"/>
    <mergeCell ref="G4:M4"/>
    <mergeCell ref="N4:W4"/>
    <mergeCell ref="G5:M5"/>
    <mergeCell ref="N5:W5"/>
    <mergeCell ref="X4:Y5"/>
    <mergeCell ref="A4:A8"/>
    <mergeCell ref="B4:B8"/>
    <mergeCell ref="C4:C8"/>
    <mergeCell ref="D4:D8"/>
    <mergeCell ref="F4:F8"/>
    <mergeCell ref="AB52:AD53"/>
    <mergeCell ref="B57:C59"/>
    <mergeCell ref="B60:C62"/>
    <mergeCell ref="B63:C64"/>
    <mergeCell ref="E4:E8"/>
    <mergeCell ref="Z4:Z7"/>
    <mergeCell ref="AB19:AD20"/>
    <mergeCell ref="AB4:AC4"/>
    <mergeCell ref="AD4:AD7"/>
    <mergeCell ref="AB5:AC5"/>
    <mergeCell ref="B24:C26"/>
    <mergeCell ref="B27:C29"/>
    <mergeCell ref="B30:C31"/>
    <mergeCell ref="G6:G7"/>
    <mergeCell ref="H6:H7"/>
  </mergeCells>
  <phoneticPr fontId="0" type="noConversion"/>
  <pageMargins left="0.36" right="0.196850393700787" top="0.196850393700787" bottom="0.118110236220472" header="0.15748031496063" footer="0.15748031496063"/>
  <pageSetup paperSize="5" scale="70" orientation="landscape" r:id="rId1"/>
  <headerFooter alignWithMargins="0"/>
  <rowBreaks count="4" manualBreakCount="4">
    <brk id="41" max="30" man="1"/>
    <brk id="74" max="30" man="1"/>
    <brk id="107" max="30" man="1"/>
    <brk id="140" max="30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15BC2-82C4-443D-B761-E25981D34E51}">
  <sheetPr>
    <tabColor theme="9" tint="-0.249977111117893"/>
  </sheetPr>
  <dimension ref="A1:AE154"/>
  <sheetViews>
    <sheetView showGridLines="0" view="pageBreakPreview" zoomScaleNormal="100" zoomScaleSheetLayoutView="100" workbookViewId="0">
      <selection activeCell="M9" sqref="M9"/>
    </sheetView>
  </sheetViews>
  <sheetFormatPr defaultColWidth="3.7109375" defaultRowHeight="11.25" x14ac:dyDescent="0.2"/>
  <cols>
    <col min="1" max="1" width="4.85546875" style="264" customWidth="1"/>
    <col min="2" max="2" width="31.42578125" style="264" customWidth="1"/>
    <col min="3" max="8" width="5" style="264" customWidth="1"/>
    <col min="9" max="9" width="6" style="264" customWidth="1"/>
    <col min="10" max="11" width="6.28515625" style="264" customWidth="1"/>
    <col min="12" max="12" width="7.140625" style="264" customWidth="1"/>
    <col min="13" max="13" width="9.140625" style="264" customWidth="1"/>
    <col min="14" max="14" width="5.5703125" style="264" customWidth="1"/>
    <col min="15" max="15" width="6.140625" style="264" customWidth="1"/>
    <col min="16" max="16" width="1.7109375" style="264" customWidth="1"/>
    <col min="17" max="25" width="3.7109375" style="264"/>
    <col min="26" max="26" width="34.140625" style="264" customWidth="1"/>
    <col min="27" max="246" width="3.7109375" style="264"/>
    <col min="247" max="247" width="24.5703125" style="264" customWidth="1"/>
    <col min="248" max="253" width="3.7109375" style="264"/>
    <col min="254" max="254" width="4.28515625" style="264" customWidth="1"/>
    <col min="255" max="258" width="3.7109375" style="264"/>
    <col min="259" max="259" width="4.28515625" style="264" customWidth="1"/>
    <col min="260" max="260" width="4.7109375" style="264" customWidth="1"/>
    <col min="261" max="261" width="1.7109375" style="264" customWidth="1"/>
    <col min="262" max="502" width="3.7109375" style="264"/>
    <col min="503" max="503" width="24.5703125" style="264" customWidth="1"/>
    <col min="504" max="509" width="3.7109375" style="264"/>
    <col min="510" max="510" width="4.28515625" style="264" customWidth="1"/>
    <col min="511" max="514" width="3.7109375" style="264"/>
    <col min="515" max="515" width="4.28515625" style="264" customWidth="1"/>
    <col min="516" max="516" width="4.7109375" style="264" customWidth="1"/>
    <col min="517" max="517" width="1.7109375" style="264" customWidth="1"/>
    <col min="518" max="758" width="3.7109375" style="264"/>
    <col min="759" max="759" width="24.5703125" style="264" customWidth="1"/>
    <col min="760" max="765" width="3.7109375" style="264"/>
    <col min="766" max="766" width="4.28515625" style="264" customWidth="1"/>
    <col min="767" max="770" width="3.7109375" style="264"/>
    <col min="771" max="771" width="4.28515625" style="264" customWidth="1"/>
    <col min="772" max="772" width="4.7109375" style="264" customWidth="1"/>
    <col min="773" max="773" width="1.7109375" style="264" customWidth="1"/>
    <col min="774" max="1014" width="3.7109375" style="264"/>
    <col min="1015" max="1015" width="24.5703125" style="264" customWidth="1"/>
    <col min="1016" max="1021" width="3.7109375" style="264"/>
    <col min="1022" max="1022" width="4.28515625" style="264" customWidth="1"/>
    <col min="1023" max="1026" width="3.7109375" style="264"/>
    <col min="1027" max="1027" width="4.28515625" style="264" customWidth="1"/>
    <col min="1028" max="1028" width="4.7109375" style="264" customWidth="1"/>
    <col min="1029" max="1029" width="1.7109375" style="264" customWidth="1"/>
    <col min="1030" max="1270" width="3.7109375" style="264"/>
    <col min="1271" max="1271" width="24.5703125" style="264" customWidth="1"/>
    <col min="1272" max="1277" width="3.7109375" style="264"/>
    <col min="1278" max="1278" width="4.28515625" style="264" customWidth="1"/>
    <col min="1279" max="1282" width="3.7109375" style="264"/>
    <col min="1283" max="1283" width="4.28515625" style="264" customWidth="1"/>
    <col min="1284" max="1284" width="4.7109375" style="264" customWidth="1"/>
    <col min="1285" max="1285" width="1.7109375" style="264" customWidth="1"/>
    <col min="1286" max="1526" width="3.7109375" style="264"/>
    <col min="1527" max="1527" width="24.5703125" style="264" customWidth="1"/>
    <col min="1528" max="1533" width="3.7109375" style="264"/>
    <col min="1534" max="1534" width="4.28515625" style="264" customWidth="1"/>
    <col min="1535" max="1538" width="3.7109375" style="264"/>
    <col min="1539" max="1539" width="4.28515625" style="264" customWidth="1"/>
    <col min="1540" max="1540" width="4.7109375" style="264" customWidth="1"/>
    <col min="1541" max="1541" width="1.7109375" style="264" customWidth="1"/>
    <col min="1542" max="1782" width="3.7109375" style="264"/>
    <col min="1783" max="1783" width="24.5703125" style="264" customWidth="1"/>
    <col min="1784" max="1789" width="3.7109375" style="264"/>
    <col min="1790" max="1790" width="4.28515625" style="264" customWidth="1"/>
    <col min="1791" max="1794" width="3.7109375" style="264"/>
    <col min="1795" max="1795" width="4.28515625" style="264" customWidth="1"/>
    <col min="1796" max="1796" width="4.7109375" style="264" customWidth="1"/>
    <col min="1797" max="1797" width="1.7109375" style="264" customWidth="1"/>
    <col min="1798" max="2038" width="3.7109375" style="264"/>
    <col min="2039" max="2039" width="24.5703125" style="264" customWidth="1"/>
    <col min="2040" max="2045" width="3.7109375" style="264"/>
    <col min="2046" max="2046" width="4.28515625" style="264" customWidth="1"/>
    <col min="2047" max="2050" width="3.7109375" style="264"/>
    <col min="2051" max="2051" width="4.28515625" style="264" customWidth="1"/>
    <col min="2052" max="2052" width="4.7109375" style="264" customWidth="1"/>
    <col min="2053" max="2053" width="1.7109375" style="264" customWidth="1"/>
    <col min="2054" max="2294" width="3.7109375" style="264"/>
    <col min="2295" max="2295" width="24.5703125" style="264" customWidth="1"/>
    <col min="2296" max="2301" width="3.7109375" style="264"/>
    <col min="2302" max="2302" width="4.28515625" style="264" customWidth="1"/>
    <col min="2303" max="2306" width="3.7109375" style="264"/>
    <col min="2307" max="2307" width="4.28515625" style="264" customWidth="1"/>
    <col min="2308" max="2308" width="4.7109375" style="264" customWidth="1"/>
    <col min="2309" max="2309" width="1.7109375" style="264" customWidth="1"/>
    <col min="2310" max="2550" width="3.7109375" style="264"/>
    <col min="2551" max="2551" width="24.5703125" style="264" customWidth="1"/>
    <col min="2552" max="2557" width="3.7109375" style="264"/>
    <col min="2558" max="2558" width="4.28515625" style="264" customWidth="1"/>
    <col min="2559" max="2562" width="3.7109375" style="264"/>
    <col min="2563" max="2563" width="4.28515625" style="264" customWidth="1"/>
    <col min="2564" max="2564" width="4.7109375" style="264" customWidth="1"/>
    <col min="2565" max="2565" width="1.7109375" style="264" customWidth="1"/>
    <col min="2566" max="2806" width="3.7109375" style="264"/>
    <col min="2807" max="2807" width="24.5703125" style="264" customWidth="1"/>
    <col min="2808" max="2813" width="3.7109375" style="264"/>
    <col min="2814" max="2814" width="4.28515625" style="264" customWidth="1"/>
    <col min="2815" max="2818" width="3.7109375" style="264"/>
    <col min="2819" max="2819" width="4.28515625" style="264" customWidth="1"/>
    <col min="2820" max="2820" width="4.7109375" style="264" customWidth="1"/>
    <col min="2821" max="2821" width="1.7109375" style="264" customWidth="1"/>
    <col min="2822" max="3062" width="3.7109375" style="264"/>
    <col min="3063" max="3063" width="24.5703125" style="264" customWidth="1"/>
    <col min="3064" max="3069" width="3.7109375" style="264"/>
    <col min="3070" max="3070" width="4.28515625" style="264" customWidth="1"/>
    <col min="3071" max="3074" width="3.7109375" style="264"/>
    <col min="3075" max="3075" width="4.28515625" style="264" customWidth="1"/>
    <col min="3076" max="3076" width="4.7109375" style="264" customWidth="1"/>
    <col min="3077" max="3077" width="1.7109375" style="264" customWidth="1"/>
    <col min="3078" max="3318" width="3.7109375" style="264"/>
    <col min="3319" max="3319" width="24.5703125" style="264" customWidth="1"/>
    <col min="3320" max="3325" width="3.7109375" style="264"/>
    <col min="3326" max="3326" width="4.28515625" style="264" customWidth="1"/>
    <col min="3327" max="3330" width="3.7109375" style="264"/>
    <col min="3331" max="3331" width="4.28515625" style="264" customWidth="1"/>
    <col min="3332" max="3332" width="4.7109375" style="264" customWidth="1"/>
    <col min="3333" max="3333" width="1.7109375" style="264" customWidth="1"/>
    <col min="3334" max="3574" width="3.7109375" style="264"/>
    <col min="3575" max="3575" width="24.5703125" style="264" customWidth="1"/>
    <col min="3576" max="3581" width="3.7109375" style="264"/>
    <col min="3582" max="3582" width="4.28515625" style="264" customWidth="1"/>
    <col min="3583" max="3586" width="3.7109375" style="264"/>
    <col min="3587" max="3587" width="4.28515625" style="264" customWidth="1"/>
    <col min="3588" max="3588" width="4.7109375" style="264" customWidth="1"/>
    <col min="3589" max="3589" width="1.7109375" style="264" customWidth="1"/>
    <col min="3590" max="3830" width="3.7109375" style="264"/>
    <col min="3831" max="3831" width="24.5703125" style="264" customWidth="1"/>
    <col min="3832" max="3837" width="3.7109375" style="264"/>
    <col min="3838" max="3838" width="4.28515625" style="264" customWidth="1"/>
    <col min="3839" max="3842" width="3.7109375" style="264"/>
    <col min="3843" max="3843" width="4.28515625" style="264" customWidth="1"/>
    <col min="3844" max="3844" width="4.7109375" style="264" customWidth="1"/>
    <col min="3845" max="3845" width="1.7109375" style="264" customWidth="1"/>
    <col min="3846" max="4086" width="3.7109375" style="264"/>
    <col min="4087" max="4087" width="24.5703125" style="264" customWidth="1"/>
    <col min="4088" max="4093" width="3.7109375" style="264"/>
    <col min="4094" max="4094" width="4.28515625" style="264" customWidth="1"/>
    <col min="4095" max="4098" width="3.7109375" style="264"/>
    <col min="4099" max="4099" width="4.28515625" style="264" customWidth="1"/>
    <col min="4100" max="4100" width="4.7109375" style="264" customWidth="1"/>
    <col min="4101" max="4101" width="1.7109375" style="264" customWidth="1"/>
    <col min="4102" max="4342" width="3.7109375" style="264"/>
    <col min="4343" max="4343" width="24.5703125" style="264" customWidth="1"/>
    <col min="4344" max="4349" width="3.7109375" style="264"/>
    <col min="4350" max="4350" width="4.28515625" style="264" customWidth="1"/>
    <col min="4351" max="4354" width="3.7109375" style="264"/>
    <col min="4355" max="4355" width="4.28515625" style="264" customWidth="1"/>
    <col min="4356" max="4356" width="4.7109375" style="264" customWidth="1"/>
    <col min="4357" max="4357" width="1.7109375" style="264" customWidth="1"/>
    <col min="4358" max="4598" width="3.7109375" style="264"/>
    <col min="4599" max="4599" width="24.5703125" style="264" customWidth="1"/>
    <col min="4600" max="4605" width="3.7109375" style="264"/>
    <col min="4606" max="4606" width="4.28515625" style="264" customWidth="1"/>
    <col min="4607" max="4610" width="3.7109375" style="264"/>
    <col min="4611" max="4611" width="4.28515625" style="264" customWidth="1"/>
    <col min="4612" max="4612" width="4.7109375" style="264" customWidth="1"/>
    <col min="4613" max="4613" width="1.7109375" style="264" customWidth="1"/>
    <col min="4614" max="4854" width="3.7109375" style="264"/>
    <col min="4855" max="4855" width="24.5703125" style="264" customWidth="1"/>
    <col min="4856" max="4861" width="3.7109375" style="264"/>
    <col min="4862" max="4862" width="4.28515625" style="264" customWidth="1"/>
    <col min="4863" max="4866" width="3.7109375" style="264"/>
    <col min="4867" max="4867" width="4.28515625" style="264" customWidth="1"/>
    <col min="4868" max="4868" width="4.7109375" style="264" customWidth="1"/>
    <col min="4869" max="4869" width="1.7109375" style="264" customWidth="1"/>
    <col min="4870" max="5110" width="3.7109375" style="264"/>
    <col min="5111" max="5111" width="24.5703125" style="264" customWidth="1"/>
    <col min="5112" max="5117" width="3.7109375" style="264"/>
    <col min="5118" max="5118" width="4.28515625" style="264" customWidth="1"/>
    <col min="5119" max="5122" width="3.7109375" style="264"/>
    <col min="5123" max="5123" width="4.28515625" style="264" customWidth="1"/>
    <col min="5124" max="5124" width="4.7109375" style="264" customWidth="1"/>
    <col min="5125" max="5125" width="1.7109375" style="264" customWidth="1"/>
    <col min="5126" max="5366" width="3.7109375" style="264"/>
    <col min="5367" max="5367" width="24.5703125" style="264" customWidth="1"/>
    <col min="5368" max="5373" width="3.7109375" style="264"/>
    <col min="5374" max="5374" width="4.28515625" style="264" customWidth="1"/>
    <col min="5375" max="5378" width="3.7109375" style="264"/>
    <col min="5379" max="5379" width="4.28515625" style="264" customWidth="1"/>
    <col min="5380" max="5380" width="4.7109375" style="264" customWidth="1"/>
    <col min="5381" max="5381" width="1.7109375" style="264" customWidth="1"/>
    <col min="5382" max="5622" width="3.7109375" style="264"/>
    <col min="5623" max="5623" width="24.5703125" style="264" customWidth="1"/>
    <col min="5624" max="5629" width="3.7109375" style="264"/>
    <col min="5630" max="5630" width="4.28515625" style="264" customWidth="1"/>
    <col min="5631" max="5634" width="3.7109375" style="264"/>
    <col min="5635" max="5635" width="4.28515625" style="264" customWidth="1"/>
    <col min="5636" max="5636" width="4.7109375" style="264" customWidth="1"/>
    <col min="5637" max="5637" width="1.7109375" style="264" customWidth="1"/>
    <col min="5638" max="5878" width="3.7109375" style="264"/>
    <col min="5879" max="5879" width="24.5703125" style="264" customWidth="1"/>
    <col min="5880" max="5885" width="3.7109375" style="264"/>
    <col min="5886" max="5886" width="4.28515625" style="264" customWidth="1"/>
    <col min="5887" max="5890" width="3.7109375" style="264"/>
    <col min="5891" max="5891" width="4.28515625" style="264" customWidth="1"/>
    <col min="5892" max="5892" width="4.7109375" style="264" customWidth="1"/>
    <col min="5893" max="5893" width="1.7109375" style="264" customWidth="1"/>
    <col min="5894" max="6134" width="3.7109375" style="264"/>
    <col min="6135" max="6135" width="24.5703125" style="264" customWidth="1"/>
    <col min="6136" max="6141" width="3.7109375" style="264"/>
    <col min="6142" max="6142" width="4.28515625" style="264" customWidth="1"/>
    <col min="6143" max="6146" width="3.7109375" style="264"/>
    <col min="6147" max="6147" width="4.28515625" style="264" customWidth="1"/>
    <col min="6148" max="6148" width="4.7109375" style="264" customWidth="1"/>
    <col min="6149" max="6149" width="1.7109375" style="264" customWidth="1"/>
    <col min="6150" max="6390" width="3.7109375" style="264"/>
    <col min="6391" max="6391" width="24.5703125" style="264" customWidth="1"/>
    <col min="6392" max="6397" width="3.7109375" style="264"/>
    <col min="6398" max="6398" width="4.28515625" style="264" customWidth="1"/>
    <col min="6399" max="6402" width="3.7109375" style="264"/>
    <col min="6403" max="6403" width="4.28515625" style="264" customWidth="1"/>
    <col min="6404" max="6404" width="4.7109375" style="264" customWidth="1"/>
    <col min="6405" max="6405" width="1.7109375" style="264" customWidth="1"/>
    <col min="6406" max="6646" width="3.7109375" style="264"/>
    <col min="6647" max="6647" width="24.5703125" style="264" customWidth="1"/>
    <col min="6648" max="6653" width="3.7109375" style="264"/>
    <col min="6654" max="6654" width="4.28515625" style="264" customWidth="1"/>
    <col min="6655" max="6658" width="3.7109375" style="264"/>
    <col min="6659" max="6659" width="4.28515625" style="264" customWidth="1"/>
    <col min="6660" max="6660" width="4.7109375" style="264" customWidth="1"/>
    <col min="6661" max="6661" width="1.7109375" style="264" customWidth="1"/>
    <col min="6662" max="6902" width="3.7109375" style="264"/>
    <col min="6903" max="6903" width="24.5703125" style="264" customWidth="1"/>
    <col min="6904" max="6909" width="3.7109375" style="264"/>
    <col min="6910" max="6910" width="4.28515625" style="264" customWidth="1"/>
    <col min="6911" max="6914" width="3.7109375" style="264"/>
    <col min="6915" max="6915" width="4.28515625" style="264" customWidth="1"/>
    <col min="6916" max="6916" width="4.7109375" style="264" customWidth="1"/>
    <col min="6917" max="6917" width="1.7109375" style="264" customWidth="1"/>
    <col min="6918" max="7158" width="3.7109375" style="264"/>
    <col min="7159" max="7159" width="24.5703125" style="264" customWidth="1"/>
    <col min="7160" max="7165" width="3.7109375" style="264"/>
    <col min="7166" max="7166" width="4.28515625" style="264" customWidth="1"/>
    <col min="7167" max="7170" width="3.7109375" style="264"/>
    <col min="7171" max="7171" width="4.28515625" style="264" customWidth="1"/>
    <col min="7172" max="7172" width="4.7109375" style="264" customWidth="1"/>
    <col min="7173" max="7173" width="1.7109375" style="264" customWidth="1"/>
    <col min="7174" max="7414" width="3.7109375" style="264"/>
    <col min="7415" max="7415" width="24.5703125" style="264" customWidth="1"/>
    <col min="7416" max="7421" width="3.7109375" style="264"/>
    <col min="7422" max="7422" width="4.28515625" style="264" customWidth="1"/>
    <col min="7423" max="7426" width="3.7109375" style="264"/>
    <col min="7427" max="7427" width="4.28515625" style="264" customWidth="1"/>
    <col min="7428" max="7428" width="4.7109375" style="264" customWidth="1"/>
    <col min="7429" max="7429" width="1.7109375" style="264" customWidth="1"/>
    <col min="7430" max="7670" width="3.7109375" style="264"/>
    <col min="7671" max="7671" width="24.5703125" style="264" customWidth="1"/>
    <col min="7672" max="7677" width="3.7109375" style="264"/>
    <col min="7678" max="7678" width="4.28515625" style="264" customWidth="1"/>
    <col min="7679" max="7682" width="3.7109375" style="264"/>
    <col min="7683" max="7683" width="4.28515625" style="264" customWidth="1"/>
    <col min="7684" max="7684" width="4.7109375" style="264" customWidth="1"/>
    <col min="7685" max="7685" width="1.7109375" style="264" customWidth="1"/>
    <col min="7686" max="7926" width="3.7109375" style="264"/>
    <col min="7927" max="7927" width="24.5703125" style="264" customWidth="1"/>
    <col min="7928" max="7933" width="3.7109375" style="264"/>
    <col min="7934" max="7934" width="4.28515625" style="264" customWidth="1"/>
    <col min="7935" max="7938" width="3.7109375" style="264"/>
    <col min="7939" max="7939" width="4.28515625" style="264" customWidth="1"/>
    <col min="7940" max="7940" width="4.7109375" style="264" customWidth="1"/>
    <col min="7941" max="7941" width="1.7109375" style="264" customWidth="1"/>
    <col min="7942" max="8182" width="3.7109375" style="264"/>
    <col min="8183" max="8183" width="24.5703125" style="264" customWidth="1"/>
    <col min="8184" max="8189" width="3.7109375" style="264"/>
    <col min="8190" max="8190" width="4.28515625" style="264" customWidth="1"/>
    <col min="8191" max="8194" width="3.7109375" style="264"/>
    <col min="8195" max="8195" width="4.28515625" style="264" customWidth="1"/>
    <col min="8196" max="8196" width="4.7109375" style="264" customWidth="1"/>
    <col min="8197" max="8197" width="1.7109375" style="264" customWidth="1"/>
    <col min="8198" max="8438" width="3.7109375" style="264"/>
    <col min="8439" max="8439" width="24.5703125" style="264" customWidth="1"/>
    <col min="8440" max="8445" width="3.7109375" style="264"/>
    <col min="8446" max="8446" width="4.28515625" style="264" customWidth="1"/>
    <col min="8447" max="8450" width="3.7109375" style="264"/>
    <col min="8451" max="8451" width="4.28515625" style="264" customWidth="1"/>
    <col min="8452" max="8452" width="4.7109375" style="264" customWidth="1"/>
    <col min="8453" max="8453" width="1.7109375" style="264" customWidth="1"/>
    <col min="8454" max="8694" width="3.7109375" style="264"/>
    <col min="8695" max="8695" width="24.5703125" style="264" customWidth="1"/>
    <col min="8696" max="8701" width="3.7109375" style="264"/>
    <col min="8702" max="8702" width="4.28515625" style="264" customWidth="1"/>
    <col min="8703" max="8706" width="3.7109375" style="264"/>
    <col min="8707" max="8707" width="4.28515625" style="264" customWidth="1"/>
    <col min="8708" max="8708" width="4.7109375" style="264" customWidth="1"/>
    <col min="8709" max="8709" width="1.7109375" style="264" customWidth="1"/>
    <col min="8710" max="8950" width="3.7109375" style="264"/>
    <col min="8951" max="8951" width="24.5703125" style="264" customWidth="1"/>
    <col min="8952" max="8957" width="3.7109375" style="264"/>
    <col min="8958" max="8958" width="4.28515625" style="264" customWidth="1"/>
    <col min="8959" max="8962" width="3.7109375" style="264"/>
    <col min="8963" max="8963" width="4.28515625" style="264" customWidth="1"/>
    <col min="8964" max="8964" width="4.7109375" style="264" customWidth="1"/>
    <col min="8965" max="8965" width="1.7109375" style="264" customWidth="1"/>
    <col min="8966" max="9206" width="3.7109375" style="264"/>
    <col min="9207" max="9207" width="24.5703125" style="264" customWidth="1"/>
    <col min="9208" max="9213" width="3.7109375" style="264"/>
    <col min="9214" max="9214" width="4.28515625" style="264" customWidth="1"/>
    <col min="9215" max="9218" width="3.7109375" style="264"/>
    <col min="9219" max="9219" width="4.28515625" style="264" customWidth="1"/>
    <col min="9220" max="9220" width="4.7109375" style="264" customWidth="1"/>
    <col min="9221" max="9221" width="1.7109375" style="264" customWidth="1"/>
    <col min="9222" max="9462" width="3.7109375" style="264"/>
    <col min="9463" max="9463" width="24.5703125" style="264" customWidth="1"/>
    <col min="9464" max="9469" width="3.7109375" style="264"/>
    <col min="9470" max="9470" width="4.28515625" style="264" customWidth="1"/>
    <col min="9471" max="9474" width="3.7109375" style="264"/>
    <col min="9475" max="9475" width="4.28515625" style="264" customWidth="1"/>
    <col min="9476" max="9476" width="4.7109375" style="264" customWidth="1"/>
    <col min="9477" max="9477" width="1.7109375" style="264" customWidth="1"/>
    <col min="9478" max="9718" width="3.7109375" style="264"/>
    <col min="9719" max="9719" width="24.5703125" style="264" customWidth="1"/>
    <col min="9720" max="9725" width="3.7109375" style="264"/>
    <col min="9726" max="9726" width="4.28515625" style="264" customWidth="1"/>
    <col min="9727" max="9730" width="3.7109375" style="264"/>
    <col min="9731" max="9731" width="4.28515625" style="264" customWidth="1"/>
    <col min="9732" max="9732" width="4.7109375" style="264" customWidth="1"/>
    <col min="9733" max="9733" width="1.7109375" style="264" customWidth="1"/>
    <col min="9734" max="9974" width="3.7109375" style="264"/>
    <col min="9975" max="9975" width="24.5703125" style="264" customWidth="1"/>
    <col min="9976" max="9981" width="3.7109375" style="264"/>
    <col min="9982" max="9982" width="4.28515625" style="264" customWidth="1"/>
    <col min="9983" max="9986" width="3.7109375" style="264"/>
    <col min="9987" max="9987" width="4.28515625" style="264" customWidth="1"/>
    <col min="9988" max="9988" width="4.7109375" style="264" customWidth="1"/>
    <col min="9989" max="9989" width="1.7109375" style="264" customWidth="1"/>
    <col min="9990" max="10230" width="3.7109375" style="264"/>
    <col min="10231" max="10231" width="24.5703125" style="264" customWidth="1"/>
    <col min="10232" max="10237" width="3.7109375" style="264"/>
    <col min="10238" max="10238" width="4.28515625" style="264" customWidth="1"/>
    <col min="10239" max="10242" width="3.7109375" style="264"/>
    <col min="10243" max="10243" width="4.28515625" style="264" customWidth="1"/>
    <col min="10244" max="10244" width="4.7109375" style="264" customWidth="1"/>
    <col min="10245" max="10245" width="1.7109375" style="264" customWidth="1"/>
    <col min="10246" max="10486" width="3.7109375" style="264"/>
    <col min="10487" max="10487" width="24.5703125" style="264" customWidth="1"/>
    <col min="10488" max="10493" width="3.7109375" style="264"/>
    <col min="10494" max="10494" width="4.28515625" style="264" customWidth="1"/>
    <col min="10495" max="10498" width="3.7109375" style="264"/>
    <col min="10499" max="10499" width="4.28515625" style="264" customWidth="1"/>
    <col min="10500" max="10500" width="4.7109375" style="264" customWidth="1"/>
    <col min="10501" max="10501" width="1.7109375" style="264" customWidth="1"/>
    <col min="10502" max="10742" width="3.7109375" style="264"/>
    <col min="10743" max="10743" width="24.5703125" style="264" customWidth="1"/>
    <col min="10744" max="10749" width="3.7109375" style="264"/>
    <col min="10750" max="10750" width="4.28515625" style="264" customWidth="1"/>
    <col min="10751" max="10754" width="3.7109375" style="264"/>
    <col min="10755" max="10755" width="4.28515625" style="264" customWidth="1"/>
    <col min="10756" max="10756" width="4.7109375" style="264" customWidth="1"/>
    <col min="10757" max="10757" width="1.7109375" style="264" customWidth="1"/>
    <col min="10758" max="10998" width="3.7109375" style="264"/>
    <col min="10999" max="10999" width="24.5703125" style="264" customWidth="1"/>
    <col min="11000" max="11005" width="3.7109375" style="264"/>
    <col min="11006" max="11006" width="4.28515625" style="264" customWidth="1"/>
    <col min="11007" max="11010" width="3.7109375" style="264"/>
    <col min="11011" max="11011" width="4.28515625" style="264" customWidth="1"/>
    <col min="11012" max="11012" width="4.7109375" style="264" customWidth="1"/>
    <col min="11013" max="11013" width="1.7109375" style="264" customWidth="1"/>
    <col min="11014" max="11254" width="3.7109375" style="264"/>
    <col min="11255" max="11255" width="24.5703125" style="264" customWidth="1"/>
    <col min="11256" max="11261" width="3.7109375" style="264"/>
    <col min="11262" max="11262" width="4.28515625" style="264" customWidth="1"/>
    <col min="11263" max="11266" width="3.7109375" style="264"/>
    <col min="11267" max="11267" width="4.28515625" style="264" customWidth="1"/>
    <col min="11268" max="11268" width="4.7109375" style="264" customWidth="1"/>
    <col min="11269" max="11269" width="1.7109375" style="264" customWidth="1"/>
    <col min="11270" max="11510" width="3.7109375" style="264"/>
    <col min="11511" max="11511" width="24.5703125" style="264" customWidth="1"/>
    <col min="11512" max="11517" width="3.7109375" style="264"/>
    <col min="11518" max="11518" width="4.28515625" style="264" customWidth="1"/>
    <col min="11519" max="11522" width="3.7109375" style="264"/>
    <col min="11523" max="11523" width="4.28515625" style="264" customWidth="1"/>
    <col min="11524" max="11524" width="4.7109375" style="264" customWidth="1"/>
    <col min="11525" max="11525" width="1.7109375" style="264" customWidth="1"/>
    <col min="11526" max="11766" width="3.7109375" style="264"/>
    <col min="11767" max="11767" width="24.5703125" style="264" customWidth="1"/>
    <col min="11768" max="11773" width="3.7109375" style="264"/>
    <col min="11774" max="11774" width="4.28515625" style="264" customWidth="1"/>
    <col min="11775" max="11778" width="3.7109375" style="264"/>
    <col min="11779" max="11779" width="4.28515625" style="264" customWidth="1"/>
    <col min="11780" max="11780" width="4.7109375" style="264" customWidth="1"/>
    <col min="11781" max="11781" width="1.7109375" style="264" customWidth="1"/>
    <col min="11782" max="12022" width="3.7109375" style="264"/>
    <col min="12023" max="12023" width="24.5703125" style="264" customWidth="1"/>
    <col min="12024" max="12029" width="3.7109375" style="264"/>
    <col min="12030" max="12030" width="4.28515625" style="264" customWidth="1"/>
    <col min="12031" max="12034" width="3.7109375" style="264"/>
    <col min="12035" max="12035" width="4.28515625" style="264" customWidth="1"/>
    <col min="12036" max="12036" width="4.7109375" style="264" customWidth="1"/>
    <col min="12037" max="12037" width="1.7109375" style="264" customWidth="1"/>
    <col min="12038" max="12278" width="3.7109375" style="264"/>
    <col min="12279" max="12279" width="24.5703125" style="264" customWidth="1"/>
    <col min="12280" max="12285" width="3.7109375" style="264"/>
    <col min="12286" max="12286" width="4.28515625" style="264" customWidth="1"/>
    <col min="12287" max="12290" width="3.7109375" style="264"/>
    <col min="12291" max="12291" width="4.28515625" style="264" customWidth="1"/>
    <col min="12292" max="12292" width="4.7109375" style="264" customWidth="1"/>
    <col min="12293" max="12293" width="1.7109375" style="264" customWidth="1"/>
    <col min="12294" max="12534" width="3.7109375" style="264"/>
    <col min="12535" max="12535" width="24.5703125" style="264" customWidth="1"/>
    <col min="12536" max="12541" width="3.7109375" style="264"/>
    <col min="12542" max="12542" width="4.28515625" style="264" customWidth="1"/>
    <col min="12543" max="12546" width="3.7109375" style="264"/>
    <col min="12547" max="12547" width="4.28515625" style="264" customWidth="1"/>
    <col min="12548" max="12548" width="4.7109375" style="264" customWidth="1"/>
    <col min="12549" max="12549" width="1.7109375" style="264" customWidth="1"/>
    <col min="12550" max="12790" width="3.7109375" style="264"/>
    <col min="12791" max="12791" width="24.5703125" style="264" customWidth="1"/>
    <col min="12792" max="12797" width="3.7109375" style="264"/>
    <col min="12798" max="12798" width="4.28515625" style="264" customWidth="1"/>
    <col min="12799" max="12802" width="3.7109375" style="264"/>
    <col min="12803" max="12803" width="4.28515625" style="264" customWidth="1"/>
    <col min="12804" max="12804" width="4.7109375" style="264" customWidth="1"/>
    <col min="12805" max="12805" width="1.7109375" style="264" customWidth="1"/>
    <col min="12806" max="13046" width="3.7109375" style="264"/>
    <col min="13047" max="13047" width="24.5703125" style="264" customWidth="1"/>
    <col min="13048" max="13053" width="3.7109375" style="264"/>
    <col min="13054" max="13054" width="4.28515625" style="264" customWidth="1"/>
    <col min="13055" max="13058" width="3.7109375" style="264"/>
    <col min="13059" max="13059" width="4.28515625" style="264" customWidth="1"/>
    <col min="13060" max="13060" width="4.7109375" style="264" customWidth="1"/>
    <col min="13061" max="13061" width="1.7109375" style="264" customWidth="1"/>
    <col min="13062" max="13302" width="3.7109375" style="264"/>
    <col min="13303" max="13303" width="24.5703125" style="264" customWidth="1"/>
    <col min="13304" max="13309" width="3.7109375" style="264"/>
    <col min="13310" max="13310" width="4.28515625" style="264" customWidth="1"/>
    <col min="13311" max="13314" width="3.7109375" style="264"/>
    <col min="13315" max="13315" width="4.28515625" style="264" customWidth="1"/>
    <col min="13316" max="13316" width="4.7109375" style="264" customWidth="1"/>
    <col min="13317" max="13317" width="1.7109375" style="264" customWidth="1"/>
    <col min="13318" max="13558" width="3.7109375" style="264"/>
    <col min="13559" max="13559" width="24.5703125" style="264" customWidth="1"/>
    <col min="13560" max="13565" width="3.7109375" style="264"/>
    <col min="13566" max="13566" width="4.28515625" style="264" customWidth="1"/>
    <col min="13567" max="13570" width="3.7109375" style="264"/>
    <col min="13571" max="13571" width="4.28515625" style="264" customWidth="1"/>
    <col min="13572" max="13572" width="4.7109375" style="264" customWidth="1"/>
    <col min="13573" max="13573" width="1.7109375" style="264" customWidth="1"/>
    <col min="13574" max="13814" width="3.7109375" style="264"/>
    <col min="13815" max="13815" width="24.5703125" style="264" customWidth="1"/>
    <col min="13816" max="13821" width="3.7109375" style="264"/>
    <col min="13822" max="13822" width="4.28515625" style="264" customWidth="1"/>
    <col min="13823" max="13826" width="3.7109375" style="264"/>
    <col min="13827" max="13827" width="4.28515625" style="264" customWidth="1"/>
    <col min="13828" max="13828" width="4.7109375" style="264" customWidth="1"/>
    <col min="13829" max="13829" width="1.7109375" style="264" customWidth="1"/>
    <col min="13830" max="14070" width="3.7109375" style="264"/>
    <col min="14071" max="14071" width="24.5703125" style="264" customWidth="1"/>
    <col min="14072" max="14077" width="3.7109375" style="264"/>
    <col min="14078" max="14078" width="4.28515625" style="264" customWidth="1"/>
    <col min="14079" max="14082" width="3.7109375" style="264"/>
    <col min="14083" max="14083" width="4.28515625" style="264" customWidth="1"/>
    <col min="14084" max="14084" width="4.7109375" style="264" customWidth="1"/>
    <col min="14085" max="14085" width="1.7109375" style="264" customWidth="1"/>
    <col min="14086" max="14326" width="3.7109375" style="264"/>
    <col min="14327" max="14327" width="24.5703125" style="264" customWidth="1"/>
    <col min="14328" max="14333" width="3.7109375" style="264"/>
    <col min="14334" max="14334" width="4.28515625" style="264" customWidth="1"/>
    <col min="14335" max="14338" width="3.7109375" style="264"/>
    <col min="14339" max="14339" width="4.28515625" style="264" customWidth="1"/>
    <col min="14340" max="14340" width="4.7109375" style="264" customWidth="1"/>
    <col min="14341" max="14341" width="1.7109375" style="264" customWidth="1"/>
    <col min="14342" max="14582" width="3.7109375" style="264"/>
    <col min="14583" max="14583" width="24.5703125" style="264" customWidth="1"/>
    <col min="14584" max="14589" width="3.7109375" style="264"/>
    <col min="14590" max="14590" width="4.28515625" style="264" customWidth="1"/>
    <col min="14591" max="14594" width="3.7109375" style="264"/>
    <col min="14595" max="14595" width="4.28515625" style="264" customWidth="1"/>
    <col min="14596" max="14596" width="4.7109375" style="264" customWidth="1"/>
    <col min="14597" max="14597" width="1.7109375" style="264" customWidth="1"/>
    <col min="14598" max="14838" width="3.7109375" style="264"/>
    <col min="14839" max="14839" width="24.5703125" style="264" customWidth="1"/>
    <col min="14840" max="14845" width="3.7109375" style="264"/>
    <col min="14846" max="14846" width="4.28515625" style="264" customWidth="1"/>
    <col min="14847" max="14850" width="3.7109375" style="264"/>
    <col min="14851" max="14851" width="4.28515625" style="264" customWidth="1"/>
    <col min="14852" max="14852" width="4.7109375" style="264" customWidth="1"/>
    <col min="14853" max="14853" width="1.7109375" style="264" customWidth="1"/>
    <col min="14854" max="15094" width="3.7109375" style="264"/>
    <col min="15095" max="15095" width="24.5703125" style="264" customWidth="1"/>
    <col min="15096" max="15101" width="3.7109375" style="264"/>
    <col min="15102" max="15102" width="4.28515625" style="264" customWidth="1"/>
    <col min="15103" max="15106" width="3.7109375" style="264"/>
    <col min="15107" max="15107" width="4.28515625" style="264" customWidth="1"/>
    <col min="15108" max="15108" width="4.7109375" style="264" customWidth="1"/>
    <col min="15109" max="15109" width="1.7109375" style="264" customWidth="1"/>
    <col min="15110" max="15350" width="3.7109375" style="264"/>
    <col min="15351" max="15351" width="24.5703125" style="264" customWidth="1"/>
    <col min="15352" max="15357" width="3.7109375" style="264"/>
    <col min="15358" max="15358" width="4.28515625" style="264" customWidth="1"/>
    <col min="15359" max="15362" width="3.7109375" style="264"/>
    <col min="15363" max="15363" width="4.28515625" style="264" customWidth="1"/>
    <col min="15364" max="15364" width="4.7109375" style="264" customWidth="1"/>
    <col min="15365" max="15365" width="1.7109375" style="264" customWidth="1"/>
    <col min="15366" max="15606" width="3.7109375" style="264"/>
    <col min="15607" max="15607" width="24.5703125" style="264" customWidth="1"/>
    <col min="15608" max="15613" width="3.7109375" style="264"/>
    <col min="15614" max="15614" width="4.28515625" style="264" customWidth="1"/>
    <col min="15615" max="15618" width="3.7109375" style="264"/>
    <col min="15619" max="15619" width="4.28515625" style="264" customWidth="1"/>
    <col min="15620" max="15620" width="4.7109375" style="264" customWidth="1"/>
    <col min="15621" max="15621" width="1.7109375" style="264" customWidth="1"/>
    <col min="15622" max="15862" width="3.7109375" style="264"/>
    <col min="15863" max="15863" width="24.5703125" style="264" customWidth="1"/>
    <col min="15864" max="15869" width="3.7109375" style="264"/>
    <col min="15870" max="15870" width="4.28515625" style="264" customWidth="1"/>
    <col min="15871" max="15874" width="3.7109375" style="264"/>
    <col min="15875" max="15875" width="4.28515625" style="264" customWidth="1"/>
    <col min="15876" max="15876" width="4.7109375" style="264" customWidth="1"/>
    <col min="15877" max="15877" width="1.7109375" style="264" customWidth="1"/>
    <col min="15878" max="16118" width="3.7109375" style="264"/>
    <col min="16119" max="16119" width="24.5703125" style="264" customWidth="1"/>
    <col min="16120" max="16125" width="3.7109375" style="264"/>
    <col min="16126" max="16126" width="4.28515625" style="264" customWidth="1"/>
    <col min="16127" max="16130" width="3.7109375" style="264"/>
    <col min="16131" max="16131" width="4.28515625" style="264" customWidth="1"/>
    <col min="16132" max="16132" width="4.7109375" style="264" customWidth="1"/>
    <col min="16133" max="16133" width="1.7109375" style="264" customWidth="1"/>
    <col min="16134" max="16384" width="3.7109375" style="264"/>
  </cols>
  <sheetData>
    <row r="1" spans="1:31" s="102" customFormat="1" ht="22.5" customHeight="1" x14ac:dyDescent="0.2">
      <c r="A1" s="438" t="s">
        <v>18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S1" s="438"/>
      <c r="T1" s="438"/>
      <c r="U1" s="438"/>
      <c r="V1" s="438"/>
      <c r="W1" s="438"/>
      <c r="X1" s="438"/>
      <c r="Y1" s="438"/>
      <c r="Z1" s="438"/>
      <c r="AA1" s="149"/>
      <c r="AB1" s="149"/>
    </row>
    <row r="2" spans="1:31" customFormat="1" ht="22.5" customHeight="1" x14ac:dyDescent="0.2">
      <c r="A2" s="438" t="s">
        <v>251</v>
      </c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438"/>
      <c r="X2" s="438"/>
      <c r="Y2" s="438"/>
      <c r="Z2" s="438"/>
      <c r="AA2" s="149"/>
      <c r="AB2" s="149"/>
      <c r="AC2" s="17"/>
      <c r="AD2" s="17"/>
      <c r="AE2" s="17"/>
    </row>
    <row r="3" spans="1:31" s="41" customFormat="1" ht="21.75" customHeight="1" thickBot="1" x14ac:dyDescent="0.25">
      <c r="A3" s="391" t="s">
        <v>253</v>
      </c>
      <c r="C3" s="40"/>
      <c r="Q3" s="392"/>
      <c r="R3" s="391"/>
      <c r="Y3" s="41" t="s">
        <v>240</v>
      </c>
    </row>
    <row r="4" spans="1:31" ht="18.75" customHeight="1" x14ac:dyDescent="0.2">
      <c r="A4" s="521" t="s">
        <v>263</v>
      </c>
      <c r="B4" s="533" t="s">
        <v>1</v>
      </c>
      <c r="C4" s="536" t="s">
        <v>169</v>
      </c>
      <c r="D4" s="537"/>
      <c r="E4" s="537"/>
      <c r="F4" s="537"/>
      <c r="G4" s="537"/>
      <c r="H4" s="537"/>
      <c r="I4" s="538"/>
      <c r="J4" s="536" t="s">
        <v>170</v>
      </c>
      <c r="K4" s="537"/>
      <c r="L4" s="537"/>
      <c r="M4" s="537"/>
      <c r="N4" s="539"/>
      <c r="O4" s="540" t="s">
        <v>236</v>
      </c>
      <c r="Q4" s="542" t="s">
        <v>147</v>
      </c>
      <c r="R4" s="543"/>
      <c r="S4" s="543"/>
      <c r="T4" s="543"/>
      <c r="U4" s="543"/>
      <c r="V4" s="543"/>
      <c r="W4" s="543"/>
      <c r="X4" s="543"/>
      <c r="Y4" s="543"/>
      <c r="Z4" s="544"/>
    </row>
    <row r="5" spans="1:31" ht="49.5" customHeight="1" x14ac:dyDescent="0.2">
      <c r="A5" s="522"/>
      <c r="B5" s="534"/>
      <c r="C5" s="545" t="s">
        <v>239</v>
      </c>
      <c r="D5" s="546"/>
      <c r="E5" s="546"/>
      <c r="F5" s="546"/>
      <c r="G5" s="546"/>
      <c r="H5" s="547"/>
      <c r="I5" s="511" t="s">
        <v>3</v>
      </c>
      <c r="J5" s="549" t="s">
        <v>141</v>
      </c>
      <c r="K5" s="509" t="s">
        <v>142</v>
      </c>
      <c r="L5" s="509" t="s">
        <v>143</v>
      </c>
      <c r="M5" s="510" t="s">
        <v>144</v>
      </c>
      <c r="N5" s="511" t="s">
        <v>3</v>
      </c>
      <c r="O5" s="541"/>
      <c r="Q5" s="512"/>
      <c r="R5" s="513"/>
      <c r="S5" s="513"/>
      <c r="T5" s="513"/>
      <c r="U5" s="513"/>
      <c r="V5" s="513"/>
      <c r="W5" s="513"/>
      <c r="X5" s="513"/>
      <c r="Y5" s="513"/>
      <c r="Z5" s="514"/>
    </row>
    <row r="6" spans="1:31" ht="36.75" customHeight="1" x14ac:dyDescent="0.2">
      <c r="A6" s="522"/>
      <c r="B6" s="534"/>
      <c r="C6" s="548"/>
      <c r="D6" s="546"/>
      <c r="E6" s="546"/>
      <c r="F6" s="546"/>
      <c r="G6" s="546"/>
      <c r="H6" s="547"/>
      <c r="I6" s="511"/>
      <c r="J6" s="549"/>
      <c r="K6" s="509"/>
      <c r="L6" s="509"/>
      <c r="M6" s="510"/>
      <c r="N6" s="511"/>
      <c r="O6" s="541"/>
      <c r="Q6" s="515"/>
      <c r="R6" s="516"/>
      <c r="S6" s="516"/>
      <c r="T6" s="516"/>
      <c r="U6" s="516"/>
      <c r="V6" s="516"/>
      <c r="W6" s="516"/>
      <c r="X6" s="516"/>
      <c r="Y6" s="516"/>
      <c r="Z6" s="517"/>
    </row>
    <row r="7" spans="1:31" ht="15" customHeight="1" thickBot="1" x14ac:dyDescent="0.25">
      <c r="A7" s="522"/>
      <c r="B7" s="534"/>
      <c r="C7" s="281">
        <v>1</v>
      </c>
      <c r="D7" s="266">
        <v>2</v>
      </c>
      <c r="E7" s="266">
        <v>3</v>
      </c>
      <c r="F7" s="266">
        <v>4</v>
      </c>
      <c r="G7" s="266">
        <v>5</v>
      </c>
      <c r="H7" s="267">
        <v>6</v>
      </c>
      <c r="I7" s="511"/>
      <c r="J7" s="281">
        <v>1</v>
      </c>
      <c r="K7" s="266">
        <v>2</v>
      </c>
      <c r="L7" s="266">
        <v>3</v>
      </c>
      <c r="M7" s="267">
        <v>4</v>
      </c>
      <c r="N7" s="511"/>
      <c r="O7" s="541"/>
      <c r="Q7" s="518"/>
      <c r="R7" s="519"/>
      <c r="S7" s="519"/>
      <c r="T7" s="519"/>
      <c r="U7" s="519"/>
      <c r="V7" s="519"/>
      <c r="W7" s="519"/>
      <c r="X7" s="519"/>
      <c r="Y7" s="519"/>
      <c r="Z7" s="520"/>
    </row>
    <row r="8" spans="1:31" ht="15" customHeight="1" thickBot="1" x14ac:dyDescent="0.25">
      <c r="A8" s="523"/>
      <c r="B8" s="535"/>
      <c r="C8" s="289">
        <v>10</v>
      </c>
      <c r="D8" s="290">
        <v>10</v>
      </c>
      <c r="E8" s="290">
        <v>10</v>
      </c>
      <c r="F8" s="290">
        <v>10</v>
      </c>
      <c r="G8" s="290">
        <v>10</v>
      </c>
      <c r="H8" s="291">
        <v>10</v>
      </c>
      <c r="I8" s="327">
        <v>60</v>
      </c>
      <c r="J8" s="289">
        <v>10</v>
      </c>
      <c r="K8" s="290">
        <v>10</v>
      </c>
      <c r="L8" s="290">
        <v>10</v>
      </c>
      <c r="M8" s="291">
        <v>10</v>
      </c>
      <c r="N8" s="327">
        <v>40</v>
      </c>
      <c r="O8" s="292">
        <v>100</v>
      </c>
    </row>
    <row r="9" spans="1:31" ht="23.25" customHeight="1" thickBot="1" x14ac:dyDescent="0.25">
      <c r="A9" s="381">
        <v>1</v>
      </c>
      <c r="B9" s="413">
        <f>'1 KYU'!B9</f>
        <v>0</v>
      </c>
      <c r="C9" s="334"/>
      <c r="D9" s="335"/>
      <c r="E9" s="335"/>
      <c r="F9" s="335"/>
      <c r="G9" s="335"/>
      <c r="H9" s="336"/>
      <c r="I9" s="337"/>
      <c r="J9" s="334"/>
      <c r="K9" s="335"/>
      <c r="L9" s="335"/>
      <c r="M9" s="336"/>
      <c r="N9" s="337"/>
      <c r="O9" s="338"/>
      <c r="Q9" s="268"/>
      <c r="R9" s="500" t="s">
        <v>156</v>
      </c>
      <c r="S9" s="501"/>
      <c r="T9" s="501"/>
      <c r="U9" s="501"/>
      <c r="V9" s="501"/>
      <c r="W9" s="501"/>
      <c r="X9" s="501"/>
      <c r="Y9" s="501"/>
      <c r="Z9" s="502"/>
    </row>
    <row r="10" spans="1:31" ht="23.25" customHeight="1" thickTop="1" thickBot="1" x14ac:dyDescent="0.25">
      <c r="A10" s="384">
        <v>2</v>
      </c>
      <c r="B10" s="414">
        <f>'1 KYU'!B10</f>
        <v>0</v>
      </c>
      <c r="C10" s="282"/>
      <c r="D10" s="283"/>
      <c r="E10" s="283"/>
      <c r="F10" s="283"/>
      <c r="G10" s="283"/>
      <c r="H10" s="284"/>
      <c r="I10" s="329"/>
      <c r="J10" s="282"/>
      <c r="K10" s="283"/>
      <c r="L10" s="283"/>
      <c r="M10" s="284"/>
      <c r="N10" s="329"/>
      <c r="O10" s="285"/>
      <c r="Q10" s="503" t="s">
        <v>4</v>
      </c>
      <c r="R10" s="524" t="s">
        <v>241</v>
      </c>
      <c r="S10" s="525"/>
      <c r="T10" s="525"/>
      <c r="U10" s="525"/>
      <c r="V10" s="525"/>
      <c r="W10" s="525"/>
      <c r="X10" s="525"/>
      <c r="Y10" s="525"/>
      <c r="Z10" s="526"/>
    </row>
    <row r="11" spans="1:31" ht="23.25" customHeight="1" x14ac:dyDescent="0.2">
      <c r="A11" s="381">
        <v>3</v>
      </c>
      <c r="B11" s="413">
        <f>'1 KYU'!B11</f>
        <v>0</v>
      </c>
      <c r="C11" s="286"/>
      <c r="D11" s="287"/>
      <c r="E11" s="287"/>
      <c r="F11" s="287"/>
      <c r="G11" s="287"/>
      <c r="H11" s="265"/>
      <c r="I11" s="328"/>
      <c r="J11" s="286"/>
      <c r="K11" s="287"/>
      <c r="L11" s="287"/>
      <c r="M11" s="265"/>
      <c r="N11" s="328"/>
      <c r="O11" s="288"/>
      <c r="Q11" s="504"/>
      <c r="R11" s="527"/>
      <c r="S11" s="528"/>
      <c r="T11" s="528"/>
      <c r="U11" s="528"/>
      <c r="V11" s="528"/>
      <c r="W11" s="528"/>
      <c r="X11" s="528"/>
      <c r="Y11" s="528"/>
      <c r="Z11" s="529"/>
    </row>
    <row r="12" spans="1:31" ht="23.25" customHeight="1" thickBot="1" x14ac:dyDescent="0.25">
      <c r="A12" s="384">
        <v>4</v>
      </c>
      <c r="B12" s="414">
        <f>'1 KYU'!B12</f>
        <v>0</v>
      </c>
      <c r="C12" s="339"/>
      <c r="D12" s="340"/>
      <c r="E12" s="340"/>
      <c r="F12" s="340"/>
      <c r="G12" s="340"/>
      <c r="H12" s="341"/>
      <c r="I12" s="342"/>
      <c r="J12" s="339"/>
      <c r="K12" s="340"/>
      <c r="L12" s="340"/>
      <c r="M12" s="341"/>
      <c r="N12" s="342"/>
      <c r="O12" s="343"/>
      <c r="Q12" s="504"/>
      <c r="R12" s="527"/>
      <c r="S12" s="528"/>
      <c r="T12" s="528"/>
      <c r="U12" s="528"/>
      <c r="V12" s="528"/>
      <c r="W12" s="528"/>
      <c r="X12" s="528"/>
      <c r="Y12" s="528"/>
      <c r="Z12" s="529"/>
    </row>
    <row r="13" spans="1:31" ht="23.25" customHeight="1" x14ac:dyDescent="0.2">
      <c r="A13" s="381">
        <v>5</v>
      </c>
      <c r="B13" s="413">
        <f>'1 KYU'!B13</f>
        <v>0</v>
      </c>
      <c r="C13" s="334"/>
      <c r="D13" s="335"/>
      <c r="E13" s="335"/>
      <c r="F13" s="335"/>
      <c r="G13" s="335"/>
      <c r="H13" s="336"/>
      <c r="I13" s="337"/>
      <c r="J13" s="334"/>
      <c r="K13" s="335"/>
      <c r="L13" s="335"/>
      <c r="M13" s="336"/>
      <c r="N13" s="337"/>
      <c r="O13" s="338"/>
      <c r="Q13" s="504"/>
      <c r="R13" s="527"/>
      <c r="S13" s="528"/>
      <c r="T13" s="528"/>
      <c r="U13" s="528"/>
      <c r="V13" s="528"/>
      <c r="W13" s="528"/>
      <c r="X13" s="528"/>
      <c r="Y13" s="528"/>
      <c r="Z13" s="529"/>
    </row>
    <row r="14" spans="1:31" ht="23.25" customHeight="1" thickBot="1" x14ac:dyDescent="0.25">
      <c r="A14" s="384">
        <v>6</v>
      </c>
      <c r="B14" s="414">
        <f>'1 KYU'!B14</f>
        <v>0</v>
      </c>
      <c r="C14" s="282"/>
      <c r="D14" s="283"/>
      <c r="E14" s="283"/>
      <c r="F14" s="283"/>
      <c r="G14" s="283"/>
      <c r="H14" s="284"/>
      <c r="I14" s="329"/>
      <c r="J14" s="282"/>
      <c r="K14" s="283"/>
      <c r="L14" s="283"/>
      <c r="M14" s="284"/>
      <c r="N14" s="329"/>
      <c r="O14" s="285"/>
      <c r="Q14" s="504"/>
      <c r="R14" s="530"/>
      <c r="S14" s="531"/>
      <c r="T14" s="531"/>
      <c r="U14" s="531"/>
      <c r="V14" s="531"/>
      <c r="W14" s="531"/>
      <c r="X14" s="531"/>
      <c r="Y14" s="531"/>
      <c r="Z14" s="532"/>
    </row>
    <row r="15" spans="1:31" ht="23.25" customHeight="1" x14ac:dyDescent="0.2">
      <c r="A15" s="381">
        <v>7</v>
      </c>
      <c r="B15" s="413">
        <f>'1 KYU'!B15</f>
        <v>0</v>
      </c>
      <c r="C15" s="286"/>
      <c r="D15" s="287"/>
      <c r="E15" s="287"/>
      <c r="F15" s="287"/>
      <c r="G15" s="287"/>
      <c r="H15" s="265"/>
      <c r="I15" s="328"/>
      <c r="J15" s="286"/>
      <c r="K15" s="287"/>
      <c r="L15" s="287"/>
      <c r="M15" s="265"/>
      <c r="N15" s="328"/>
      <c r="O15" s="288"/>
      <c r="Q15" s="505" t="s">
        <v>5</v>
      </c>
      <c r="R15" s="507">
        <v>1</v>
      </c>
      <c r="S15" s="566" t="s">
        <v>148</v>
      </c>
      <c r="T15" s="566"/>
      <c r="U15" s="566"/>
      <c r="V15" s="566"/>
      <c r="W15" s="566"/>
      <c r="X15" s="566"/>
      <c r="Y15" s="568" t="s">
        <v>153</v>
      </c>
      <c r="Z15" s="569"/>
    </row>
    <row r="16" spans="1:31" ht="23.25" customHeight="1" thickBot="1" x14ac:dyDescent="0.25">
      <c r="A16" s="384">
        <v>8</v>
      </c>
      <c r="B16" s="414">
        <f>'1 KYU'!B16</f>
        <v>0</v>
      </c>
      <c r="C16" s="339"/>
      <c r="D16" s="340"/>
      <c r="E16" s="340"/>
      <c r="F16" s="340"/>
      <c r="G16" s="340"/>
      <c r="H16" s="341"/>
      <c r="I16" s="342"/>
      <c r="J16" s="339"/>
      <c r="K16" s="340"/>
      <c r="L16" s="340"/>
      <c r="M16" s="341"/>
      <c r="N16" s="342"/>
      <c r="O16" s="343"/>
      <c r="Q16" s="504"/>
      <c r="R16" s="508"/>
      <c r="S16" s="567"/>
      <c r="T16" s="567"/>
      <c r="U16" s="567"/>
      <c r="V16" s="567"/>
      <c r="W16" s="567"/>
      <c r="X16" s="567"/>
      <c r="Y16" s="556"/>
      <c r="Z16" s="529"/>
    </row>
    <row r="17" spans="1:26" ht="30.75" customHeight="1" x14ac:dyDescent="0.2">
      <c r="A17" s="381">
        <v>9</v>
      </c>
      <c r="B17" s="413">
        <f>'1 KYU'!B17</f>
        <v>0</v>
      </c>
      <c r="C17" s="334"/>
      <c r="D17" s="335"/>
      <c r="E17" s="335"/>
      <c r="F17" s="335"/>
      <c r="G17" s="335"/>
      <c r="H17" s="336"/>
      <c r="I17" s="337"/>
      <c r="J17" s="334"/>
      <c r="K17" s="335"/>
      <c r="L17" s="335"/>
      <c r="M17" s="336"/>
      <c r="N17" s="337"/>
      <c r="O17" s="338"/>
      <c r="Q17" s="504"/>
      <c r="R17" s="508"/>
      <c r="S17" s="567"/>
      <c r="T17" s="567"/>
      <c r="U17" s="567"/>
      <c r="V17" s="567"/>
      <c r="W17" s="567"/>
      <c r="X17" s="567"/>
      <c r="Y17" s="556"/>
      <c r="Z17" s="529"/>
    </row>
    <row r="18" spans="1:26" ht="23.25" customHeight="1" thickBot="1" x14ac:dyDescent="0.25">
      <c r="A18" s="384">
        <v>10</v>
      </c>
      <c r="B18" s="414">
        <f>'1 KYU'!B18</f>
        <v>0</v>
      </c>
      <c r="C18" s="387"/>
      <c r="D18" s="388"/>
      <c r="E18" s="388"/>
      <c r="F18" s="388"/>
      <c r="G18" s="388"/>
      <c r="H18" s="389"/>
      <c r="I18" s="390"/>
      <c r="J18" s="387"/>
      <c r="K18" s="388"/>
      <c r="L18" s="388"/>
      <c r="M18" s="389"/>
      <c r="N18" s="390"/>
      <c r="O18" s="277"/>
      <c r="Q18" s="504"/>
      <c r="R18" s="508"/>
      <c r="S18" s="567"/>
      <c r="T18" s="567"/>
      <c r="U18" s="567"/>
      <c r="V18" s="567"/>
      <c r="W18" s="567"/>
      <c r="X18" s="567"/>
      <c r="Y18" s="560"/>
      <c r="Z18" s="570"/>
    </row>
    <row r="19" spans="1:26" ht="18.75" customHeight="1" x14ac:dyDescent="0.2">
      <c r="A19" s="269" t="s">
        <v>237</v>
      </c>
      <c r="B19" s="270"/>
      <c r="C19" s="270"/>
      <c r="D19" s="270"/>
      <c r="E19" s="270"/>
      <c r="F19" s="270"/>
      <c r="G19" s="278" t="s">
        <v>238</v>
      </c>
      <c r="H19" s="270"/>
      <c r="I19" s="270"/>
      <c r="J19" s="270"/>
      <c r="K19" s="270"/>
      <c r="L19" s="270"/>
      <c r="M19" s="270"/>
      <c r="N19" s="270"/>
      <c r="O19" s="271"/>
      <c r="Q19" s="504"/>
      <c r="R19" s="508">
        <v>2</v>
      </c>
      <c r="S19" s="571" t="s">
        <v>149</v>
      </c>
      <c r="T19" s="571"/>
      <c r="U19" s="571"/>
      <c r="V19" s="571"/>
      <c r="W19" s="571"/>
      <c r="X19" s="571"/>
      <c r="Y19" s="572" t="s">
        <v>154</v>
      </c>
      <c r="Z19" s="573"/>
    </row>
    <row r="20" spans="1:26" ht="15" customHeight="1" x14ac:dyDescent="0.2">
      <c r="A20" s="155" t="s">
        <v>8</v>
      </c>
      <c r="B20" s="120" t="s">
        <v>135</v>
      </c>
      <c r="G20" s="263" t="s">
        <v>243</v>
      </c>
      <c r="O20" s="273"/>
      <c r="Q20" s="504"/>
      <c r="R20" s="508"/>
      <c r="S20" s="571"/>
      <c r="T20" s="571"/>
      <c r="U20" s="571"/>
      <c r="V20" s="571"/>
      <c r="W20" s="571"/>
      <c r="X20" s="571"/>
      <c r="Y20" s="550"/>
      <c r="Z20" s="551"/>
    </row>
    <row r="21" spans="1:26" ht="15" customHeight="1" x14ac:dyDescent="0.2">
      <c r="A21" s="155" t="s">
        <v>9</v>
      </c>
      <c r="B21" s="120" t="s">
        <v>136</v>
      </c>
      <c r="G21" s="152" t="s">
        <v>247</v>
      </c>
      <c r="O21" s="273"/>
      <c r="Q21" s="504"/>
      <c r="R21" s="508"/>
      <c r="S21" s="571"/>
      <c r="T21" s="571"/>
      <c r="U21" s="571"/>
      <c r="V21" s="571"/>
      <c r="W21" s="571"/>
      <c r="X21" s="571"/>
      <c r="Y21" s="550"/>
      <c r="Z21" s="551"/>
    </row>
    <row r="22" spans="1:26" ht="15" customHeight="1" x14ac:dyDescent="0.2">
      <c r="A22" s="155" t="s">
        <v>11</v>
      </c>
      <c r="B22" s="120" t="s">
        <v>137</v>
      </c>
      <c r="G22" s="153" t="s">
        <v>244</v>
      </c>
      <c r="O22" s="273"/>
      <c r="Q22" s="504"/>
      <c r="R22" s="508"/>
      <c r="S22" s="571"/>
      <c r="T22" s="571"/>
      <c r="U22" s="571"/>
      <c r="V22" s="571"/>
      <c r="W22" s="571"/>
      <c r="X22" s="571"/>
      <c r="Y22" s="574"/>
      <c r="Z22" s="575"/>
    </row>
    <row r="23" spans="1:26" ht="15" customHeight="1" x14ac:dyDescent="0.2">
      <c r="A23" s="155" t="s">
        <v>12</v>
      </c>
      <c r="B23" s="120" t="s">
        <v>138</v>
      </c>
      <c r="G23" s="297" t="s">
        <v>245</v>
      </c>
      <c r="O23" s="273"/>
      <c r="Q23" s="504"/>
      <c r="R23" s="563">
        <v>3</v>
      </c>
      <c r="S23" s="554" t="s">
        <v>150</v>
      </c>
      <c r="T23" s="557"/>
      <c r="U23" s="557"/>
      <c r="V23" s="557"/>
      <c r="W23" s="557"/>
      <c r="X23" s="558"/>
      <c r="Y23" s="554" t="s">
        <v>155</v>
      </c>
      <c r="Z23" s="555"/>
    </row>
    <row r="24" spans="1:26" ht="15" customHeight="1" x14ac:dyDescent="0.2">
      <c r="A24" s="155" t="s">
        <v>13</v>
      </c>
      <c r="B24" s="120" t="s">
        <v>139</v>
      </c>
      <c r="G24" s="496" t="s">
        <v>246</v>
      </c>
      <c r="H24" s="497"/>
      <c r="I24" s="497"/>
      <c r="J24" s="497"/>
      <c r="K24" s="497"/>
      <c r="L24" s="497"/>
      <c r="M24" s="497"/>
      <c r="N24" s="497"/>
      <c r="O24" s="498"/>
      <c r="Q24" s="504"/>
      <c r="R24" s="564"/>
      <c r="S24" s="556"/>
      <c r="T24" s="528"/>
      <c r="U24" s="528"/>
      <c r="V24" s="528"/>
      <c r="W24" s="528"/>
      <c r="X24" s="559"/>
      <c r="Y24" s="556"/>
      <c r="Z24" s="529"/>
    </row>
    <row r="25" spans="1:26" ht="15" customHeight="1" x14ac:dyDescent="0.2">
      <c r="A25" s="155" t="s">
        <v>111</v>
      </c>
      <c r="B25" s="120" t="s">
        <v>140</v>
      </c>
      <c r="G25" s="499"/>
      <c r="H25" s="497"/>
      <c r="I25" s="497"/>
      <c r="J25" s="497"/>
      <c r="K25" s="497"/>
      <c r="L25" s="497"/>
      <c r="M25" s="497"/>
      <c r="N25" s="497"/>
      <c r="O25" s="498"/>
      <c r="Q25" s="504"/>
      <c r="R25" s="565"/>
      <c r="S25" s="560"/>
      <c r="T25" s="561"/>
      <c r="U25" s="561"/>
      <c r="V25" s="561"/>
      <c r="W25" s="561"/>
      <c r="X25" s="562"/>
      <c r="Y25" s="556"/>
      <c r="Z25" s="529"/>
    </row>
    <row r="26" spans="1:26" ht="15" customHeight="1" x14ac:dyDescent="0.2">
      <c r="A26" s="272"/>
      <c r="B26" s="160"/>
      <c r="G26" s="499"/>
      <c r="H26" s="497"/>
      <c r="I26" s="497"/>
      <c r="J26" s="497"/>
      <c r="K26" s="497"/>
      <c r="L26" s="497"/>
      <c r="M26" s="497"/>
      <c r="N26" s="497"/>
      <c r="O26" s="498"/>
      <c r="Q26" s="504"/>
      <c r="R26" s="508">
        <v>4</v>
      </c>
      <c r="S26" s="571" t="s">
        <v>151</v>
      </c>
      <c r="T26" s="577"/>
      <c r="U26" s="577"/>
      <c r="V26" s="577"/>
      <c r="W26" s="577"/>
      <c r="X26" s="577"/>
      <c r="Y26" s="550" t="s">
        <v>152</v>
      </c>
      <c r="Z26" s="551"/>
    </row>
    <row r="27" spans="1:26" ht="15" customHeight="1" x14ac:dyDescent="0.2">
      <c r="A27" s="274"/>
      <c r="B27" s="160"/>
      <c r="G27" s="262"/>
      <c r="O27" s="273"/>
      <c r="Q27" s="504"/>
      <c r="R27" s="508"/>
      <c r="S27" s="577"/>
      <c r="T27" s="577"/>
      <c r="U27" s="577"/>
      <c r="V27" s="577"/>
      <c r="W27" s="577"/>
      <c r="X27" s="577"/>
      <c r="Y27" s="550"/>
      <c r="Z27" s="551"/>
    </row>
    <row r="28" spans="1:26" ht="15" customHeight="1" x14ac:dyDescent="0.2">
      <c r="A28" s="274"/>
      <c r="G28" s="279"/>
      <c r="O28" s="273"/>
      <c r="Q28" s="504"/>
      <c r="R28" s="508"/>
      <c r="S28" s="577"/>
      <c r="T28" s="577"/>
      <c r="U28" s="577"/>
      <c r="V28" s="577"/>
      <c r="W28" s="577"/>
      <c r="X28" s="577"/>
      <c r="Y28" s="550"/>
      <c r="Z28" s="551"/>
    </row>
    <row r="29" spans="1:26" ht="9" customHeight="1" thickBot="1" x14ac:dyDescent="0.25">
      <c r="A29" s="275"/>
      <c r="B29" s="276"/>
      <c r="C29" s="276"/>
      <c r="D29" s="276"/>
      <c r="E29" s="276"/>
      <c r="F29" s="276"/>
      <c r="G29" s="280"/>
      <c r="H29" s="276"/>
      <c r="I29" s="276"/>
      <c r="J29" s="276"/>
      <c r="K29" s="276"/>
      <c r="L29" s="276"/>
      <c r="M29" s="276"/>
      <c r="N29" s="276"/>
      <c r="O29" s="277"/>
      <c r="Q29" s="506"/>
      <c r="R29" s="576"/>
      <c r="S29" s="578"/>
      <c r="T29" s="578"/>
      <c r="U29" s="578"/>
      <c r="V29" s="578"/>
      <c r="W29" s="578"/>
      <c r="X29" s="578"/>
      <c r="Y29" s="552"/>
      <c r="Z29" s="553"/>
    </row>
    <row r="30" spans="1:26" ht="6.75" customHeight="1" x14ac:dyDescent="0.2"/>
    <row r="31" spans="1:26" s="88" customFormat="1" ht="15" x14ac:dyDescent="0.25">
      <c r="B31" s="88" t="s">
        <v>53</v>
      </c>
      <c r="C31" s="89"/>
      <c r="J31" s="88" t="s">
        <v>54</v>
      </c>
      <c r="W31" s="88" t="s">
        <v>55</v>
      </c>
    </row>
    <row r="32" spans="1:26" s="18" customFormat="1" ht="16.5" customHeight="1" x14ac:dyDescent="0.2">
      <c r="C32" s="19"/>
    </row>
    <row r="33" spans="1:26" s="18" customFormat="1" ht="18" customHeight="1" x14ac:dyDescent="0.2">
      <c r="C33" s="19"/>
    </row>
    <row r="34" spans="1:26" s="18" customFormat="1" ht="17.25" customHeight="1" x14ac:dyDescent="0.2">
      <c r="B34" s="90"/>
      <c r="C34" s="19"/>
      <c r="J34" s="90"/>
      <c r="K34" s="90"/>
      <c r="L34" s="90"/>
      <c r="M34" s="90"/>
      <c r="N34" s="90"/>
      <c r="O34" s="90"/>
      <c r="W34" s="90"/>
      <c r="X34" s="90"/>
      <c r="Y34" s="90"/>
      <c r="Z34" s="90"/>
    </row>
    <row r="35" spans="1:26" s="18" customFormat="1" ht="18" customHeight="1" x14ac:dyDescent="0.2">
      <c r="B35" s="18" t="s">
        <v>56</v>
      </c>
      <c r="C35" s="19"/>
      <c r="J35" s="18" t="s">
        <v>56</v>
      </c>
      <c r="W35" s="18" t="s">
        <v>57</v>
      </c>
    </row>
    <row r="36" spans="1:26" s="18" customFormat="1" ht="15.75" customHeight="1" x14ac:dyDescent="0.2">
      <c r="B36" s="18" t="s">
        <v>58</v>
      </c>
      <c r="C36" s="19"/>
      <c r="J36" s="18" t="s">
        <v>59</v>
      </c>
      <c r="W36" s="18" t="s">
        <v>58</v>
      </c>
    </row>
    <row r="37" spans="1:26" ht="4.5" customHeight="1" thickBot="1" x14ac:dyDescent="0.25"/>
    <row r="38" spans="1:26" ht="29.25" customHeight="1" thickBot="1" x14ac:dyDescent="0.25">
      <c r="A38" s="381">
        <v>11</v>
      </c>
      <c r="B38" s="413">
        <f>'1 KYU'!B42</f>
        <v>0</v>
      </c>
      <c r="C38" s="334"/>
      <c r="D38" s="335"/>
      <c r="E38" s="335"/>
      <c r="F38" s="335"/>
      <c r="G38" s="335"/>
      <c r="H38" s="336"/>
      <c r="I38" s="337"/>
      <c r="J38" s="334"/>
      <c r="K38" s="335"/>
      <c r="L38" s="335"/>
      <c r="M38" s="336"/>
      <c r="N38" s="337"/>
      <c r="O38" s="338"/>
      <c r="Q38" s="268"/>
      <c r="R38" s="500" t="s">
        <v>156</v>
      </c>
      <c r="S38" s="501"/>
      <c r="T38" s="501"/>
      <c r="U38" s="501"/>
      <c r="V38" s="501"/>
      <c r="W38" s="501"/>
      <c r="X38" s="501"/>
      <c r="Y38" s="501"/>
      <c r="Z38" s="502"/>
    </row>
    <row r="39" spans="1:26" ht="23.25" customHeight="1" thickTop="1" thickBot="1" x14ac:dyDescent="0.25">
      <c r="A39" s="384">
        <f>A38+1</f>
        <v>12</v>
      </c>
      <c r="B39" s="414">
        <f>'1 KYU'!B43</f>
        <v>0</v>
      </c>
      <c r="C39" s="282"/>
      <c r="D39" s="283"/>
      <c r="E39" s="283"/>
      <c r="F39" s="283"/>
      <c r="G39" s="283"/>
      <c r="H39" s="284"/>
      <c r="I39" s="329"/>
      <c r="J39" s="282"/>
      <c r="K39" s="283"/>
      <c r="L39" s="283"/>
      <c r="M39" s="284"/>
      <c r="N39" s="329"/>
      <c r="O39" s="285"/>
      <c r="Q39" s="503" t="s">
        <v>4</v>
      </c>
      <c r="R39" s="524" t="s">
        <v>241</v>
      </c>
      <c r="S39" s="525"/>
      <c r="T39" s="525"/>
      <c r="U39" s="525"/>
      <c r="V39" s="525"/>
      <c r="W39" s="525"/>
      <c r="X39" s="525"/>
      <c r="Y39" s="525"/>
      <c r="Z39" s="526"/>
    </row>
    <row r="40" spans="1:26" ht="23.25" customHeight="1" x14ac:dyDescent="0.2">
      <c r="A40" s="381">
        <f t="shared" ref="A40:A47" si="0">A39+1</f>
        <v>13</v>
      </c>
      <c r="B40" s="413">
        <f>'1 KYU'!B44</f>
        <v>0</v>
      </c>
      <c r="C40" s="334"/>
      <c r="D40" s="335"/>
      <c r="E40" s="335"/>
      <c r="F40" s="335"/>
      <c r="G40" s="335"/>
      <c r="H40" s="336"/>
      <c r="I40" s="337"/>
      <c r="J40" s="334"/>
      <c r="K40" s="335"/>
      <c r="L40" s="335"/>
      <c r="M40" s="336"/>
      <c r="N40" s="337"/>
      <c r="O40" s="338"/>
      <c r="Q40" s="504"/>
      <c r="R40" s="527"/>
      <c r="S40" s="528"/>
      <c r="T40" s="528"/>
      <c r="U40" s="528"/>
      <c r="V40" s="528"/>
      <c r="W40" s="528"/>
      <c r="X40" s="528"/>
      <c r="Y40" s="528"/>
      <c r="Z40" s="529"/>
    </row>
    <row r="41" spans="1:26" ht="23.25" customHeight="1" thickBot="1" x14ac:dyDescent="0.25">
      <c r="A41" s="384">
        <f t="shared" si="0"/>
        <v>14</v>
      </c>
      <c r="B41" s="414">
        <f>'1 KYU'!B45</f>
        <v>0</v>
      </c>
      <c r="C41" s="282"/>
      <c r="D41" s="283"/>
      <c r="E41" s="283"/>
      <c r="F41" s="283"/>
      <c r="G41" s="283"/>
      <c r="H41" s="284"/>
      <c r="I41" s="329"/>
      <c r="J41" s="282"/>
      <c r="K41" s="283"/>
      <c r="L41" s="283"/>
      <c r="M41" s="284"/>
      <c r="N41" s="329"/>
      <c r="O41" s="285"/>
      <c r="Q41" s="504"/>
      <c r="R41" s="527"/>
      <c r="S41" s="528"/>
      <c r="T41" s="528"/>
      <c r="U41" s="528"/>
      <c r="V41" s="528"/>
      <c r="W41" s="528"/>
      <c r="X41" s="528"/>
      <c r="Y41" s="528"/>
      <c r="Z41" s="529"/>
    </row>
    <row r="42" spans="1:26" ht="23.25" customHeight="1" x14ac:dyDescent="0.2">
      <c r="A42" s="381">
        <f t="shared" si="0"/>
        <v>15</v>
      </c>
      <c r="B42" s="413">
        <f>'1 KYU'!B46</f>
        <v>0</v>
      </c>
      <c r="C42" s="334"/>
      <c r="D42" s="335"/>
      <c r="E42" s="335"/>
      <c r="F42" s="335"/>
      <c r="G42" s="335"/>
      <c r="H42" s="336"/>
      <c r="I42" s="337"/>
      <c r="J42" s="334"/>
      <c r="K42" s="335"/>
      <c r="L42" s="335"/>
      <c r="M42" s="336"/>
      <c r="N42" s="337"/>
      <c r="O42" s="338"/>
      <c r="Q42" s="504"/>
      <c r="R42" s="527"/>
      <c r="S42" s="528"/>
      <c r="T42" s="528"/>
      <c r="U42" s="528"/>
      <c r="V42" s="528"/>
      <c r="W42" s="528"/>
      <c r="X42" s="528"/>
      <c r="Y42" s="528"/>
      <c r="Z42" s="529"/>
    </row>
    <row r="43" spans="1:26" ht="23.25" customHeight="1" thickBot="1" x14ac:dyDescent="0.25">
      <c r="A43" s="384">
        <f t="shared" si="0"/>
        <v>16</v>
      </c>
      <c r="B43" s="414">
        <f>'1 KYU'!B47</f>
        <v>0</v>
      </c>
      <c r="C43" s="282"/>
      <c r="D43" s="283"/>
      <c r="E43" s="283"/>
      <c r="F43" s="283"/>
      <c r="G43" s="283"/>
      <c r="H43" s="284"/>
      <c r="I43" s="329"/>
      <c r="J43" s="282"/>
      <c r="K43" s="283"/>
      <c r="L43" s="283"/>
      <c r="M43" s="284"/>
      <c r="N43" s="329"/>
      <c r="O43" s="285"/>
      <c r="Q43" s="504"/>
      <c r="R43" s="530"/>
      <c r="S43" s="531"/>
      <c r="T43" s="531"/>
      <c r="U43" s="531"/>
      <c r="V43" s="531"/>
      <c r="W43" s="531"/>
      <c r="X43" s="531"/>
      <c r="Y43" s="531"/>
      <c r="Z43" s="532"/>
    </row>
    <row r="44" spans="1:26" ht="23.25" customHeight="1" x14ac:dyDescent="0.2">
      <c r="A44" s="381">
        <f t="shared" si="0"/>
        <v>17</v>
      </c>
      <c r="B44" s="413">
        <f>'1 KYU'!B48</f>
        <v>0</v>
      </c>
      <c r="C44" s="334"/>
      <c r="D44" s="335"/>
      <c r="E44" s="335"/>
      <c r="F44" s="335"/>
      <c r="G44" s="335"/>
      <c r="H44" s="336"/>
      <c r="I44" s="337"/>
      <c r="J44" s="334"/>
      <c r="K44" s="335"/>
      <c r="L44" s="335"/>
      <c r="M44" s="336"/>
      <c r="N44" s="337"/>
      <c r="O44" s="338"/>
      <c r="Q44" s="505" t="s">
        <v>5</v>
      </c>
      <c r="R44" s="507">
        <v>1</v>
      </c>
      <c r="S44" s="566" t="s">
        <v>148</v>
      </c>
      <c r="T44" s="566"/>
      <c r="U44" s="566"/>
      <c r="V44" s="566"/>
      <c r="W44" s="566"/>
      <c r="X44" s="566"/>
      <c r="Y44" s="568" t="s">
        <v>153</v>
      </c>
      <c r="Z44" s="569"/>
    </row>
    <row r="45" spans="1:26" ht="23.25" customHeight="1" thickBot="1" x14ac:dyDescent="0.25">
      <c r="A45" s="384">
        <f t="shared" si="0"/>
        <v>18</v>
      </c>
      <c r="B45" s="414">
        <f>'1 KYU'!B49</f>
        <v>0</v>
      </c>
      <c r="C45" s="282"/>
      <c r="D45" s="283"/>
      <c r="E45" s="283"/>
      <c r="F45" s="283"/>
      <c r="G45" s="283"/>
      <c r="H45" s="284"/>
      <c r="I45" s="329"/>
      <c r="J45" s="282"/>
      <c r="K45" s="283"/>
      <c r="L45" s="283"/>
      <c r="M45" s="284"/>
      <c r="N45" s="329"/>
      <c r="O45" s="285"/>
      <c r="Q45" s="504"/>
      <c r="R45" s="508"/>
      <c r="S45" s="567"/>
      <c r="T45" s="567"/>
      <c r="U45" s="567"/>
      <c r="V45" s="567"/>
      <c r="W45" s="567"/>
      <c r="X45" s="567"/>
      <c r="Y45" s="556"/>
      <c r="Z45" s="529"/>
    </row>
    <row r="46" spans="1:26" ht="23.25" customHeight="1" x14ac:dyDescent="0.2">
      <c r="A46" s="381">
        <f t="shared" si="0"/>
        <v>19</v>
      </c>
      <c r="B46" s="413">
        <f>'1 KYU'!B50</f>
        <v>0</v>
      </c>
      <c r="C46" s="334"/>
      <c r="D46" s="335"/>
      <c r="E46" s="335"/>
      <c r="F46" s="335"/>
      <c r="G46" s="335"/>
      <c r="H46" s="336"/>
      <c r="I46" s="337"/>
      <c r="J46" s="334"/>
      <c r="K46" s="335"/>
      <c r="L46" s="335"/>
      <c r="M46" s="336"/>
      <c r="N46" s="337"/>
      <c r="O46" s="338"/>
      <c r="Q46" s="504"/>
      <c r="R46" s="508"/>
      <c r="S46" s="567"/>
      <c r="T46" s="567"/>
      <c r="U46" s="567"/>
      <c r="V46" s="567"/>
      <c r="W46" s="567"/>
      <c r="X46" s="567"/>
      <c r="Y46" s="556"/>
      <c r="Z46" s="529"/>
    </row>
    <row r="47" spans="1:26" ht="23.25" customHeight="1" thickBot="1" x14ac:dyDescent="0.25">
      <c r="A47" s="384">
        <f t="shared" si="0"/>
        <v>20</v>
      </c>
      <c r="B47" s="414">
        <f>'1 KYU'!B51</f>
        <v>0</v>
      </c>
      <c r="C47" s="282"/>
      <c r="D47" s="283"/>
      <c r="E47" s="283"/>
      <c r="F47" s="283"/>
      <c r="G47" s="283"/>
      <c r="H47" s="284"/>
      <c r="I47" s="329"/>
      <c r="J47" s="282"/>
      <c r="K47" s="283"/>
      <c r="L47" s="283"/>
      <c r="M47" s="284"/>
      <c r="N47" s="329"/>
      <c r="O47" s="285"/>
      <c r="Q47" s="504"/>
      <c r="R47" s="508"/>
      <c r="S47" s="567"/>
      <c r="T47" s="567"/>
      <c r="U47" s="567"/>
      <c r="V47" s="567"/>
      <c r="W47" s="567"/>
      <c r="X47" s="567"/>
      <c r="Y47" s="560"/>
      <c r="Z47" s="570"/>
    </row>
    <row r="48" spans="1:26" ht="18.75" customHeight="1" x14ac:dyDescent="0.2">
      <c r="A48" s="269" t="s">
        <v>237</v>
      </c>
      <c r="B48" s="270"/>
      <c r="C48" s="270"/>
      <c r="D48" s="270"/>
      <c r="E48" s="270"/>
      <c r="F48" s="270"/>
      <c r="G48" s="278" t="s">
        <v>238</v>
      </c>
      <c r="H48" s="270"/>
      <c r="I48" s="270"/>
      <c r="J48" s="270"/>
      <c r="K48" s="270"/>
      <c r="L48" s="270"/>
      <c r="M48" s="270"/>
      <c r="N48" s="270"/>
      <c r="O48" s="271"/>
      <c r="Q48" s="504"/>
      <c r="R48" s="508">
        <v>2</v>
      </c>
      <c r="S48" s="571" t="s">
        <v>149</v>
      </c>
      <c r="T48" s="571"/>
      <c r="U48" s="571"/>
      <c r="V48" s="571"/>
      <c r="W48" s="571"/>
      <c r="X48" s="571"/>
      <c r="Y48" s="572" t="s">
        <v>154</v>
      </c>
      <c r="Z48" s="573"/>
    </row>
    <row r="49" spans="1:26" ht="15" customHeight="1" x14ac:dyDescent="0.2">
      <c r="A49" s="155" t="s">
        <v>8</v>
      </c>
      <c r="B49" s="120" t="s">
        <v>135</v>
      </c>
      <c r="C49" s="321"/>
      <c r="D49" s="78"/>
      <c r="E49" s="321"/>
      <c r="G49" s="263" t="s">
        <v>243</v>
      </c>
      <c r="O49" s="273"/>
      <c r="Q49" s="504"/>
      <c r="R49" s="508"/>
      <c r="S49" s="571"/>
      <c r="T49" s="571"/>
      <c r="U49" s="571"/>
      <c r="V49" s="571"/>
      <c r="W49" s="571"/>
      <c r="X49" s="571"/>
      <c r="Y49" s="550"/>
      <c r="Z49" s="551"/>
    </row>
    <row r="50" spans="1:26" ht="15" customHeight="1" x14ac:dyDescent="0.2">
      <c r="A50" s="155" t="s">
        <v>9</v>
      </c>
      <c r="B50" s="120" t="s">
        <v>136</v>
      </c>
      <c r="C50" s="322"/>
      <c r="D50" s="17"/>
      <c r="E50" s="322"/>
      <c r="G50" s="152" t="s">
        <v>247</v>
      </c>
      <c r="O50" s="273"/>
      <c r="Q50" s="504"/>
      <c r="R50" s="508"/>
      <c r="S50" s="571"/>
      <c r="T50" s="571"/>
      <c r="U50" s="571"/>
      <c r="V50" s="571"/>
      <c r="W50" s="571"/>
      <c r="X50" s="571"/>
      <c r="Y50" s="550"/>
      <c r="Z50" s="551"/>
    </row>
    <row r="51" spans="1:26" ht="15" customHeight="1" x14ac:dyDescent="0.2">
      <c r="A51" s="155" t="s">
        <v>11</v>
      </c>
      <c r="B51" s="120" t="s">
        <v>137</v>
      </c>
      <c r="C51" s="378"/>
      <c r="D51" s="378"/>
      <c r="E51" s="378"/>
      <c r="G51" s="153" t="s">
        <v>244</v>
      </c>
      <c r="O51" s="273"/>
      <c r="Q51" s="504"/>
      <c r="R51" s="508"/>
      <c r="S51" s="571"/>
      <c r="T51" s="571"/>
      <c r="U51" s="571"/>
      <c r="V51" s="571"/>
      <c r="W51" s="571"/>
      <c r="X51" s="571"/>
      <c r="Y51" s="574"/>
      <c r="Z51" s="575"/>
    </row>
    <row r="52" spans="1:26" ht="15" customHeight="1" x14ac:dyDescent="0.2">
      <c r="A52" s="155" t="s">
        <v>12</v>
      </c>
      <c r="B52" s="120" t="s">
        <v>138</v>
      </c>
      <c r="C52" s="378"/>
      <c r="D52" s="378"/>
      <c r="E52" s="378"/>
      <c r="G52" s="297" t="s">
        <v>245</v>
      </c>
      <c r="O52" s="273"/>
      <c r="Q52" s="504"/>
      <c r="R52" s="563">
        <v>3</v>
      </c>
      <c r="S52" s="554" t="s">
        <v>150</v>
      </c>
      <c r="T52" s="557"/>
      <c r="U52" s="557"/>
      <c r="V52" s="557"/>
      <c r="W52" s="557"/>
      <c r="X52" s="558"/>
      <c r="Y52" s="554" t="s">
        <v>155</v>
      </c>
      <c r="Z52" s="555"/>
    </row>
    <row r="53" spans="1:26" ht="15" customHeight="1" x14ac:dyDescent="0.2">
      <c r="A53" s="155" t="s">
        <v>13</v>
      </c>
      <c r="B53" s="120" t="s">
        <v>139</v>
      </c>
      <c r="C53" s="321"/>
      <c r="D53" s="379"/>
      <c r="E53" s="379"/>
      <c r="G53" s="496" t="s">
        <v>246</v>
      </c>
      <c r="H53" s="497"/>
      <c r="I53" s="497"/>
      <c r="J53" s="497"/>
      <c r="K53" s="497"/>
      <c r="L53" s="497"/>
      <c r="M53" s="497"/>
      <c r="N53" s="497"/>
      <c r="O53" s="498"/>
      <c r="Q53" s="504"/>
      <c r="R53" s="564"/>
      <c r="S53" s="556"/>
      <c r="T53" s="528"/>
      <c r="U53" s="528"/>
      <c r="V53" s="528"/>
      <c r="W53" s="528"/>
      <c r="X53" s="559"/>
      <c r="Y53" s="556"/>
      <c r="Z53" s="529"/>
    </row>
    <row r="54" spans="1:26" ht="15" customHeight="1" x14ac:dyDescent="0.2">
      <c r="A54" s="155" t="s">
        <v>111</v>
      </c>
      <c r="B54" s="120" t="s">
        <v>140</v>
      </c>
      <c r="C54" s="378"/>
      <c r="D54" s="380"/>
      <c r="E54" s="380"/>
      <c r="G54" s="499"/>
      <c r="H54" s="497"/>
      <c r="I54" s="497"/>
      <c r="J54" s="497"/>
      <c r="K54" s="497"/>
      <c r="L54" s="497"/>
      <c r="M54" s="497"/>
      <c r="N54" s="497"/>
      <c r="O54" s="498"/>
      <c r="Q54" s="504"/>
      <c r="R54" s="565"/>
      <c r="S54" s="560"/>
      <c r="T54" s="561"/>
      <c r="U54" s="561"/>
      <c r="V54" s="561"/>
      <c r="W54" s="561"/>
      <c r="X54" s="562"/>
      <c r="Y54" s="556"/>
      <c r="Z54" s="529"/>
    </row>
    <row r="55" spans="1:26" ht="15" customHeight="1" x14ac:dyDescent="0.2">
      <c r="A55" s="272"/>
      <c r="B55" s="160"/>
      <c r="G55" s="499"/>
      <c r="H55" s="497"/>
      <c r="I55" s="497"/>
      <c r="J55" s="497"/>
      <c r="K55" s="497"/>
      <c r="L55" s="497"/>
      <c r="M55" s="497"/>
      <c r="N55" s="497"/>
      <c r="O55" s="498"/>
      <c r="Q55" s="504"/>
      <c r="R55" s="508">
        <v>4</v>
      </c>
      <c r="S55" s="571" t="s">
        <v>151</v>
      </c>
      <c r="T55" s="577"/>
      <c r="U55" s="577"/>
      <c r="V55" s="577"/>
      <c r="W55" s="577"/>
      <c r="X55" s="577"/>
      <c r="Y55" s="550" t="s">
        <v>152</v>
      </c>
      <c r="Z55" s="551"/>
    </row>
    <row r="56" spans="1:26" ht="15" customHeight="1" x14ac:dyDescent="0.2">
      <c r="A56" s="274"/>
      <c r="B56" s="160"/>
      <c r="G56" s="262"/>
      <c r="O56" s="273"/>
      <c r="Q56" s="504"/>
      <c r="R56" s="508"/>
      <c r="S56" s="577"/>
      <c r="T56" s="577"/>
      <c r="U56" s="577"/>
      <c r="V56" s="577"/>
      <c r="W56" s="577"/>
      <c r="X56" s="577"/>
      <c r="Y56" s="550"/>
      <c r="Z56" s="551"/>
    </row>
    <row r="57" spans="1:26" ht="15" customHeight="1" x14ac:dyDescent="0.2">
      <c r="A57" s="274"/>
      <c r="G57" s="279"/>
      <c r="O57" s="273"/>
      <c r="Q57" s="504"/>
      <c r="R57" s="508"/>
      <c r="S57" s="577"/>
      <c r="T57" s="577"/>
      <c r="U57" s="577"/>
      <c r="V57" s="577"/>
      <c r="W57" s="577"/>
      <c r="X57" s="577"/>
      <c r="Y57" s="550"/>
      <c r="Z57" s="551"/>
    </row>
    <row r="58" spans="1:26" ht="9" customHeight="1" thickBot="1" x14ac:dyDescent="0.25">
      <c r="A58" s="275"/>
      <c r="B58" s="276"/>
      <c r="C58" s="276"/>
      <c r="D58" s="276"/>
      <c r="E58" s="276"/>
      <c r="F58" s="276"/>
      <c r="G58" s="280"/>
      <c r="H58" s="276"/>
      <c r="I58" s="276"/>
      <c r="J58" s="276"/>
      <c r="K58" s="276"/>
      <c r="L58" s="276"/>
      <c r="M58" s="276"/>
      <c r="N58" s="276"/>
      <c r="O58" s="277"/>
      <c r="Q58" s="506"/>
      <c r="R58" s="576"/>
      <c r="S58" s="578"/>
      <c r="T58" s="578"/>
      <c r="U58" s="578"/>
      <c r="V58" s="578"/>
      <c r="W58" s="578"/>
      <c r="X58" s="578"/>
      <c r="Y58" s="552"/>
      <c r="Z58" s="553"/>
    </row>
    <row r="59" spans="1:26" ht="6.75" customHeight="1" x14ac:dyDescent="0.2"/>
    <row r="60" spans="1:26" s="88" customFormat="1" ht="15" x14ac:dyDescent="0.25">
      <c r="B60" s="88" t="s">
        <v>53</v>
      </c>
      <c r="C60" s="89"/>
      <c r="J60" s="88" t="s">
        <v>54</v>
      </c>
      <c r="W60" s="88" t="s">
        <v>55</v>
      </c>
    </row>
    <row r="61" spans="1:26" s="18" customFormat="1" ht="16.5" customHeight="1" x14ac:dyDescent="0.2">
      <c r="C61" s="19"/>
    </row>
    <row r="62" spans="1:26" s="18" customFormat="1" ht="18" customHeight="1" x14ac:dyDescent="0.2">
      <c r="C62" s="19"/>
    </row>
    <row r="63" spans="1:26" s="18" customFormat="1" ht="17.25" customHeight="1" x14ac:dyDescent="0.2">
      <c r="B63" s="90"/>
      <c r="C63" s="19"/>
      <c r="J63" s="90"/>
      <c r="K63" s="90"/>
      <c r="L63" s="90"/>
      <c r="M63" s="90"/>
      <c r="N63" s="90"/>
      <c r="O63" s="90"/>
      <c r="W63" s="90"/>
      <c r="X63" s="90"/>
      <c r="Y63" s="90"/>
      <c r="Z63" s="90"/>
    </row>
    <row r="64" spans="1:26" s="18" customFormat="1" ht="18" customHeight="1" x14ac:dyDescent="0.2">
      <c r="B64" s="18" t="s">
        <v>56</v>
      </c>
      <c r="C64" s="19"/>
      <c r="J64" s="18" t="s">
        <v>56</v>
      </c>
      <c r="W64" s="18" t="s">
        <v>57</v>
      </c>
    </row>
    <row r="65" spans="1:26" s="18" customFormat="1" ht="15.75" customHeight="1" x14ac:dyDescent="0.2">
      <c r="B65" s="18" t="s">
        <v>58</v>
      </c>
      <c r="C65" s="19"/>
      <c r="J65" s="18" t="s">
        <v>59</v>
      </c>
      <c r="W65" s="18" t="s">
        <v>58</v>
      </c>
    </row>
    <row r="66" spans="1:26" ht="4.5" customHeight="1" thickBot="1" x14ac:dyDescent="0.25"/>
    <row r="67" spans="1:26" ht="23.25" customHeight="1" thickBot="1" x14ac:dyDescent="0.25">
      <c r="A67" s="381">
        <v>21</v>
      </c>
      <c r="B67" s="413">
        <f>'1 KYU'!B75</f>
        <v>0</v>
      </c>
      <c r="C67" s="334"/>
      <c r="D67" s="335"/>
      <c r="E67" s="335"/>
      <c r="F67" s="335"/>
      <c r="G67" s="335"/>
      <c r="H67" s="336"/>
      <c r="I67" s="337"/>
      <c r="J67" s="334"/>
      <c r="K67" s="335"/>
      <c r="L67" s="335"/>
      <c r="M67" s="336"/>
      <c r="N67" s="337"/>
      <c r="O67" s="338"/>
      <c r="Q67" s="268"/>
      <c r="R67" s="500" t="s">
        <v>156</v>
      </c>
      <c r="S67" s="501"/>
      <c r="T67" s="501"/>
      <c r="U67" s="501"/>
      <c r="V67" s="501"/>
      <c r="W67" s="501"/>
      <c r="X67" s="501"/>
      <c r="Y67" s="501"/>
      <c r="Z67" s="502"/>
    </row>
    <row r="68" spans="1:26" ht="23.25" customHeight="1" thickTop="1" thickBot="1" x14ac:dyDescent="0.25">
      <c r="A68" s="384">
        <f t="shared" ref="A68:A76" si="1">A67+1</f>
        <v>22</v>
      </c>
      <c r="B68" s="414">
        <f>'1 KYU'!B76</f>
        <v>0</v>
      </c>
      <c r="C68" s="282"/>
      <c r="D68" s="283"/>
      <c r="E68" s="283"/>
      <c r="F68" s="283"/>
      <c r="G68" s="283"/>
      <c r="H68" s="284"/>
      <c r="I68" s="329"/>
      <c r="J68" s="282"/>
      <c r="K68" s="283"/>
      <c r="L68" s="283"/>
      <c r="M68" s="284"/>
      <c r="N68" s="329"/>
      <c r="O68" s="285"/>
      <c r="Q68" s="503" t="s">
        <v>4</v>
      </c>
      <c r="R68" s="524" t="s">
        <v>241</v>
      </c>
      <c r="S68" s="525"/>
      <c r="T68" s="525"/>
      <c r="U68" s="525"/>
      <c r="V68" s="525"/>
      <c r="W68" s="525"/>
      <c r="X68" s="525"/>
      <c r="Y68" s="525"/>
      <c r="Z68" s="526"/>
    </row>
    <row r="69" spans="1:26" ht="23.25" customHeight="1" x14ac:dyDescent="0.2">
      <c r="A69" s="381">
        <f t="shared" si="1"/>
        <v>23</v>
      </c>
      <c r="B69" s="413">
        <f>'1 KYU'!B77</f>
        <v>0</v>
      </c>
      <c r="C69" s="334"/>
      <c r="D69" s="335"/>
      <c r="E69" s="335"/>
      <c r="F69" s="335"/>
      <c r="G69" s="335"/>
      <c r="H69" s="336"/>
      <c r="I69" s="337"/>
      <c r="J69" s="334"/>
      <c r="K69" s="335"/>
      <c r="L69" s="335"/>
      <c r="M69" s="336"/>
      <c r="N69" s="337"/>
      <c r="O69" s="338"/>
      <c r="Q69" s="504"/>
      <c r="R69" s="527"/>
      <c r="S69" s="528"/>
      <c r="T69" s="528"/>
      <c r="U69" s="528"/>
      <c r="V69" s="528"/>
      <c r="W69" s="528"/>
      <c r="X69" s="528"/>
      <c r="Y69" s="528"/>
      <c r="Z69" s="529"/>
    </row>
    <row r="70" spans="1:26" ht="23.25" customHeight="1" thickBot="1" x14ac:dyDescent="0.25">
      <c r="A70" s="384">
        <f t="shared" si="1"/>
        <v>24</v>
      </c>
      <c r="B70" s="414">
        <f>'1 KYU'!B78</f>
        <v>0</v>
      </c>
      <c r="C70" s="282"/>
      <c r="D70" s="283"/>
      <c r="E70" s="283"/>
      <c r="F70" s="283"/>
      <c r="G70" s="283"/>
      <c r="H70" s="284"/>
      <c r="I70" s="329"/>
      <c r="J70" s="282"/>
      <c r="K70" s="283"/>
      <c r="L70" s="283"/>
      <c r="M70" s="284"/>
      <c r="N70" s="329"/>
      <c r="O70" s="285"/>
      <c r="Q70" s="504"/>
      <c r="R70" s="527"/>
      <c r="S70" s="528"/>
      <c r="T70" s="528"/>
      <c r="U70" s="528"/>
      <c r="V70" s="528"/>
      <c r="W70" s="528"/>
      <c r="X70" s="528"/>
      <c r="Y70" s="528"/>
      <c r="Z70" s="529"/>
    </row>
    <row r="71" spans="1:26" ht="23.25" customHeight="1" x14ac:dyDescent="0.2">
      <c r="A71" s="381">
        <f t="shared" si="1"/>
        <v>25</v>
      </c>
      <c r="B71" s="413">
        <f>'1 KYU'!B79</f>
        <v>0</v>
      </c>
      <c r="C71" s="334"/>
      <c r="D71" s="335"/>
      <c r="E71" s="335"/>
      <c r="F71" s="335"/>
      <c r="G71" s="335"/>
      <c r="H71" s="336"/>
      <c r="I71" s="337"/>
      <c r="J71" s="334"/>
      <c r="K71" s="335"/>
      <c r="L71" s="335"/>
      <c r="M71" s="336"/>
      <c r="N71" s="337"/>
      <c r="O71" s="338"/>
      <c r="Q71" s="504"/>
      <c r="R71" s="527"/>
      <c r="S71" s="528"/>
      <c r="T71" s="528"/>
      <c r="U71" s="528"/>
      <c r="V71" s="528"/>
      <c r="W71" s="528"/>
      <c r="X71" s="528"/>
      <c r="Y71" s="528"/>
      <c r="Z71" s="529"/>
    </row>
    <row r="72" spans="1:26" ht="23.25" customHeight="1" thickBot="1" x14ac:dyDescent="0.25">
      <c r="A72" s="384">
        <f t="shared" si="1"/>
        <v>26</v>
      </c>
      <c r="B72" s="414">
        <f>'1 KYU'!B80</f>
        <v>0</v>
      </c>
      <c r="C72" s="282"/>
      <c r="D72" s="283"/>
      <c r="E72" s="283"/>
      <c r="F72" s="283"/>
      <c r="G72" s="283"/>
      <c r="H72" s="284"/>
      <c r="I72" s="329"/>
      <c r="J72" s="282"/>
      <c r="K72" s="283"/>
      <c r="L72" s="283"/>
      <c r="M72" s="284"/>
      <c r="N72" s="329"/>
      <c r="O72" s="285"/>
      <c r="Q72" s="504"/>
      <c r="R72" s="530"/>
      <c r="S72" s="531"/>
      <c r="T72" s="531"/>
      <c r="U72" s="531"/>
      <c r="V72" s="531"/>
      <c r="W72" s="531"/>
      <c r="X72" s="531"/>
      <c r="Y72" s="531"/>
      <c r="Z72" s="532"/>
    </row>
    <row r="73" spans="1:26" ht="23.25" customHeight="1" x14ac:dyDescent="0.2">
      <c r="A73" s="381">
        <f t="shared" si="1"/>
        <v>27</v>
      </c>
      <c r="B73" s="413">
        <f>'1 KYU'!B81</f>
        <v>0</v>
      </c>
      <c r="C73" s="334"/>
      <c r="D73" s="335"/>
      <c r="E73" s="335"/>
      <c r="F73" s="335"/>
      <c r="G73" s="335"/>
      <c r="H73" s="336"/>
      <c r="I73" s="337"/>
      <c r="J73" s="334"/>
      <c r="K73" s="335"/>
      <c r="L73" s="335"/>
      <c r="M73" s="336"/>
      <c r="N73" s="337"/>
      <c r="O73" s="338"/>
      <c r="Q73" s="505" t="s">
        <v>5</v>
      </c>
      <c r="R73" s="507">
        <v>1</v>
      </c>
      <c r="S73" s="566" t="s">
        <v>148</v>
      </c>
      <c r="T73" s="566"/>
      <c r="U73" s="566"/>
      <c r="V73" s="566"/>
      <c r="W73" s="566"/>
      <c r="X73" s="566"/>
      <c r="Y73" s="568" t="s">
        <v>153</v>
      </c>
      <c r="Z73" s="569"/>
    </row>
    <row r="74" spans="1:26" ht="23.25" customHeight="1" thickBot="1" x14ac:dyDescent="0.25">
      <c r="A74" s="384">
        <f t="shared" si="1"/>
        <v>28</v>
      </c>
      <c r="B74" s="414">
        <f>'1 KYU'!B82</f>
        <v>0</v>
      </c>
      <c r="C74" s="282"/>
      <c r="D74" s="283"/>
      <c r="E74" s="283"/>
      <c r="F74" s="283"/>
      <c r="G74" s="283"/>
      <c r="H74" s="284"/>
      <c r="I74" s="329"/>
      <c r="J74" s="282"/>
      <c r="K74" s="283"/>
      <c r="L74" s="283"/>
      <c r="M74" s="284"/>
      <c r="N74" s="329"/>
      <c r="O74" s="285"/>
      <c r="Q74" s="504"/>
      <c r="R74" s="508"/>
      <c r="S74" s="567"/>
      <c r="T74" s="567"/>
      <c r="U74" s="567"/>
      <c r="V74" s="567"/>
      <c r="W74" s="567"/>
      <c r="X74" s="567"/>
      <c r="Y74" s="556"/>
      <c r="Z74" s="529"/>
    </row>
    <row r="75" spans="1:26" ht="30.75" customHeight="1" x14ac:dyDescent="0.2">
      <c r="A75" s="381">
        <f t="shared" si="1"/>
        <v>29</v>
      </c>
      <c r="B75" s="413">
        <f>'1 KYU'!B83</f>
        <v>0</v>
      </c>
      <c r="C75" s="334"/>
      <c r="D75" s="335"/>
      <c r="E75" s="335"/>
      <c r="F75" s="335"/>
      <c r="G75" s="335"/>
      <c r="H75" s="336"/>
      <c r="I75" s="337"/>
      <c r="J75" s="334"/>
      <c r="K75" s="335"/>
      <c r="L75" s="335"/>
      <c r="M75" s="336"/>
      <c r="N75" s="337"/>
      <c r="O75" s="338"/>
      <c r="Q75" s="504"/>
      <c r="R75" s="508"/>
      <c r="S75" s="567"/>
      <c r="T75" s="567"/>
      <c r="U75" s="567"/>
      <c r="V75" s="567"/>
      <c r="W75" s="567"/>
      <c r="X75" s="567"/>
      <c r="Y75" s="556"/>
      <c r="Z75" s="529"/>
    </row>
    <row r="76" spans="1:26" ht="23.25" customHeight="1" thickBot="1" x14ac:dyDescent="0.25">
      <c r="A76" s="384">
        <f t="shared" si="1"/>
        <v>30</v>
      </c>
      <c r="B76" s="414">
        <f>'1 KYU'!B84</f>
        <v>0</v>
      </c>
      <c r="C76" s="282"/>
      <c r="D76" s="283"/>
      <c r="E76" s="283"/>
      <c r="F76" s="283"/>
      <c r="G76" s="283"/>
      <c r="H76" s="284"/>
      <c r="I76" s="329"/>
      <c r="J76" s="282"/>
      <c r="K76" s="283"/>
      <c r="L76" s="283"/>
      <c r="M76" s="284"/>
      <c r="N76" s="329"/>
      <c r="O76" s="285"/>
      <c r="Q76" s="504"/>
      <c r="R76" s="508"/>
      <c r="S76" s="567"/>
      <c r="T76" s="567"/>
      <c r="U76" s="567"/>
      <c r="V76" s="567"/>
      <c r="W76" s="567"/>
      <c r="X76" s="567"/>
      <c r="Y76" s="560"/>
      <c r="Z76" s="570"/>
    </row>
    <row r="77" spans="1:26" ht="18.75" customHeight="1" x14ac:dyDescent="0.2">
      <c r="A77" s="269" t="s">
        <v>237</v>
      </c>
      <c r="B77" s="270"/>
      <c r="C77" s="270"/>
      <c r="D77" s="270"/>
      <c r="E77" s="270"/>
      <c r="F77" s="270"/>
      <c r="G77" s="278" t="s">
        <v>238</v>
      </c>
      <c r="H77" s="270"/>
      <c r="I77" s="270"/>
      <c r="J77" s="270"/>
      <c r="K77" s="270"/>
      <c r="L77" s="270"/>
      <c r="M77" s="270"/>
      <c r="N77" s="270"/>
      <c r="O77" s="271"/>
      <c r="Q77" s="504"/>
      <c r="R77" s="508">
        <v>2</v>
      </c>
      <c r="S77" s="571" t="s">
        <v>149</v>
      </c>
      <c r="T77" s="571"/>
      <c r="U77" s="571"/>
      <c r="V77" s="571"/>
      <c r="W77" s="571"/>
      <c r="X77" s="571"/>
      <c r="Y77" s="572" t="s">
        <v>154</v>
      </c>
      <c r="Z77" s="573"/>
    </row>
    <row r="78" spans="1:26" ht="15" customHeight="1" x14ac:dyDescent="0.2">
      <c r="A78" s="155" t="s">
        <v>8</v>
      </c>
      <c r="B78" s="120" t="s">
        <v>135</v>
      </c>
      <c r="G78" s="263" t="s">
        <v>243</v>
      </c>
      <c r="O78" s="273"/>
      <c r="Q78" s="504"/>
      <c r="R78" s="508"/>
      <c r="S78" s="571"/>
      <c r="T78" s="571"/>
      <c r="U78" s="571"/>
      <c r="V78" s="571"/>
      <c r="W78" s="571"/>
      <c r="X78" s="571"/>
      <c r="Y78" s="550"/>
      <c r="Z78" s="551"/>
    </row>
    <row r="79" spans="1:26" ht="15" customHeight="1" x14ac:dyDescent="0.2">
      <c r="A79" s="155" t="s">
        <v>9</v>
      </c>
      <c r="B79" s="120" t="s">
        <v>136</v>
      </c>
      <c r="G79" s="152" t="s">
        <v>247</v>
      </c>
      <c r="O79" s="273"/>
      <c r="Q79" s="504"/>
      <c r="R79" s="508"/>
      <c r="S79" s="571"/>
      <c r="T79" s="571"/>
      <c r="U79" s="571"/>
      <c r="V79" s="571"/>
      <c r="W79" s="571"/>
      <c r="X79" s="571"/>
      <c r="Y79" s="550"/>
      <c r="Z79" s="551"/>
    </row>
    <row r="80" spans="1:26" ht="15" customHeight="1" x14ac:dyDescent="0.2">
      <c r="A80" s="155" t="s">
        <v>11</v>
      </c>
      <c r="B80" s="120" t="s">
        <v>137</v>
      </c>
      <c r="G80" s="153" t="s">
        <v>244</v>
      </c>
      <c r="O80" s="273"/>
      <c r="Q80" s="504"/>
      <c r="R80" s="508"/>
      <c r="S80" s="571"/>
      <c r="T80" s="571"/>
      <c r="U80" s="571"/>
      <c r="V80" s="571"/>
      <c r="W80" s="571"/>
      <c r="X80" s="571"/>
      <c r="Y80" s="574"/>
      <c r="Z80" s="575"/>
    </row>
    <row r="81" spans="1:26" ht="15" customHeight="1" x14ac:dyDescent="0.2">
      <c r="A81" s="155" t="s">
        <v>12</v>
      </c>
      <c r="B81" s="120" t="s">
        <v>138</v>
      </c>
      <c r="G81" s="297" t="s">
        <v>245</v>
      </c>
      <c r="O81" s="273"/>
      <c r="Q81" s="504"/>
      <c r="R81" s="563">
        <v>3</v>
      </c>
      <c r="S81" s="554" t="s">
        <v>150</v>
      </c>
      <c r="T81" s="557"/>
      <c r="U81" s="557"/>
      <c r="V81" s="557"/>
      <c r="W81" s="557"/>
      <c r="X81" s="558"/>
      <c r="Y81" s="554" t="s">
        <v>155</v>
      </c>
      <c r="Z81" s="555"/>
    </row>
    <row r="82" spans="1:26" ht="15" customHeight="1" x14ac:dyDescent="0.2">
      <c r="A82" s="155" t="s">
        <v>13</v>
      </c>
      <c r="B82" s="120" t="s">
        <v>139</v>
      </c>
      <c r="G82" s="496" t="s">
        <v>246</v>
      </c>
      <c r="H82" s="497"/>
      <c r="I82" s="497"/>
      <c r="J82" s="497"/>
      <c r="K82" s="497"/>
      <c r="L82" s="497"/>
      <c r="M82" s="497"/>
      <c r="N82" s="497"/>
      <c r="O82" s="498"/>
      <c r="Q82" s="504"/>
      <c r="R82" s="564"/>
      <c r="S82" s="556"/>
      <c r="T82" s="528"/>
      <c r="U82" s="528"/>
      <c r="V82" s="528"/>
      <c r="W82" s="528"/>
      <c r="X82" s="559"/>
      <c r="Y82" s="556"/>
      <c r="Z82" s="529"/>
    </row>
    <row r="83" spans="1:26" ht="15" customHeight="1" x14ac:dyDescent="0.2">
      <c r="A83" s="155" t="s">
        <v>111</v>
      </c>
      <c r="B83" s="120" t="s">
        <v>140</v>
      </c>
      <c r="G83" s="499"/>
      <c r="H83" s="497"/>
      <c r="I83" s="497"/>
      <c r="J83" s="497"/>
      <c r="K83" s="497"/>
      <c r="L83" s="497"/>
      <c r="M83" s="497"/>
      <c r="N83" s="497"/>
      <c r="O83" s="498"/>
      <c r="Q83" s="504"/>
      <c r="R83" s="565"/>
      <c r="S83" s="560"/>
      <c r="T83" s="561"/>
      <c r="U83" s="561"/>
      <c r="V83" s="561"/>
      <c r="W83" s="561"/>
      <c r="X83" s="562"/>
      <c r="Y83" s="556"/>
      <c r="Z83" s="529"/>
    </row>
    <row r="84" spans="1:26" ht="15" customHeight="1" x14ac:dyDescent="0.2">
      <c r="A84" s="272"/>
      <c r="B84" s="160"/>
      <c r="G84" s="499"/>
      <c r="H84" s="497"/>
      <c r="I84" s="497"/>
      <c r="J84" s="497"/>
      <c r="K84" s="497"/>
      <c r="L84" s="497"/>
      <c r="M84" s="497"/>
      <c r="N84" s="497"/>
      <c r="O84" s="498"/>
      <c r="Q84" s="504"/>
      <c r="R84" s="508">
        <v>4</v>
      </c>
      <c r="S84" s="571" t="s">
        <v>151</v>
      </c>
      <c r="T84" s="577"/>
      <c r="U84" s="577"/>
      <c r="V84" s="577"/>
      <c r="W84" s="577"/>
      <c r="X84" s="577"/>
      <c r="Y84" s="550" t="s">
        <v>152</v>
      </c>
      <c r="Z84" s="551"/>
    </row>
    <row r="85" spans="1:26" ht="15" customHeight="1" x14ac:dyDescent="0.2">
      <c r="A85" s="274"/>
      <c r="B85" s="160"/>
      <c r="G85" s="262"/>
      <c r="O85" s="273"/>
      <c r="Q85" s="504"/>
      <c r="R85" s="508"/>
      <c r="S85" s="577"/>
      <c r="T85" s="577"/>
      <c r="U85" s="577"/>
      <c r="V85" s="577"/>
      <c r="W85" s="577"/>
      <c r="X85" s="577"/>
      <c r="Y85" s="550"/>
      <c r="Z85" s="551"/>
    </row>
    <row r="86" spans="1:26" ht="15" customHeight="1" x14ac:dyDescent="0.2">
      <c r="A86" s="274"/>
      <c r="G86" s="279"/>
      <c r="O86" s="273"/>
      <c r="Q86" s="504"/>
      <c r="R86" s="508"/>
      <c r="S86" s="577"/>
      <c r="T86" s="577"/>
      <c r="U86" s="577"/>
      <c r="V86" s="577"/>
      <c r="W86" s="577"/>
      <c r="X86" s="577"/>
      <c r="Y86" s="550"/>
      <c r="Z86" s="551"/>
    </row>
    <row r="87" spans="1:26" ht="9" customHeight="1" thickBot="1" x14ac:dyDescent="0.25">
      <c r="A87" s="275"/>
      <c r="B87" s="276"/>
      <c r="C87" s="276"/>
      <c r="D87" s="276"/>
      <c r="E87" s="276"/>
      <c r="F87" s="276"/>
      <c r="G87" s="280"/>
      <c r="H87" s="276"/>
      <c r="I87" s="276"/>
      <c r="J87" s="276"/>
      <c r="K87" s="276"/>
      <c r="L87" s="276"/>
      <c r="M87" s="276"/>
      <c r="N87" s="276"/>
      <c r="O87" s="277"/>
      <c r="Q87" s="506"/>
      <c r="R87" s="576"/>
      <c r="S87" s="578"/>
      <c r="T87" s="578"/>
      <c r="U87" s="578"/>
      <c r="V87" s="578"/>
      <c r="W87" s="578"/>
      <c r="X87" s="578"/>
      <c r="Y87" s="552"/>
      <c r="Z87" s="553"/>
    </row>
    <row r="88" spans="1:26" ht="6.75" customHeight="1" x14ac:dyDescent="0.2"/>
    <row r="89" spans="1:26" s="88" customFormat="1" ht="15" x14ac:dyDescent="0.25">
      <c r="B89" s="88" t="s">
        <v>53</v>
      </c>
      <c r="C89" s="89"/>
      <c r="J89" s="88" t="s">
        <v>54</v>
      </c>
      <c r="W89" s="88" t="s">
        <v>55</v>
      </c>
    </row>
    <row r="90" spans="1:26" s="18" customFormat="1" ht="16.5" customHeight="1" x14ac:dyDescent="0.2">
      <c r="C90" s="19"/>
    </row>
    <row r="91" spans="1:26" s="18" customFormat="1" ht="18" customHeight="1" x14ac:dyDescent="0.2">
      <c r="C91" s="19"/>
    </row>
    <row r="92" spans="1:26" s="18" customFormat="1" ht="17.25" customHeight="1" x14ac:dyDescent="0.2">
      <c r="B92" s="90"/>
      <c r="C92" s="19"/>
      <c r="J92" s="90"/>
      <c r="K92" s="90"/>
      <c r="L92" s="90"/>
      <c r="M92" s="90"/>
      <c r="N92" s="90"/>
      <c r="O92" s="90"/>
      <c r="W92" s="90"/>
      <c r="X92" s="90"/>
      <c r="Y92" s="90"/>
      <c r="Z92" s="90"/>
    </row>
    <row r="93" spans="1:26" s="18" customFormat="1" ht="18" customHeight="1" x14ac:dyDescent="0.2">
      <c r="B93" s="18" t="s">
        <v>56</v>
      </c>
      <c r="C93" s="19"/>
      <c r="J93" s="18" t="s">
        <v>56</v>
      </c>
      <c r="W93" s="18" t="s">
        <v>57</v>
      </c>
    </row>
    <row r="94" spans="1:26" s="18" customFormat="1" ht="15.75" customHeight="1" x14ac:dyDescent="0.2">
      <c r="B94" s="18" t="s">
        <v>58</v>
      </c>
      <c r="C94" s="19"/>
      <c r="J94" s="18" t="s">
        <v>59</v>
      </c>
      <c r="W94" s="18" t="s">
        <v>58</v>
      </c>
    </row>
    <row r="95" spans="1:26" ht="4.5" customHeight="1" thickBot="1" x14ac:dyDescent="0.25"/>
    <row r="96" spans="1:26" ht="29.25" customHeight="1" thickBot="1" x14ac:dyDescent="0.25">
      <c r="A96" s="381">
        <v>31</v>
      </c>
      <c r="B96" s="413">
        <f>'1 KYU'!B108</f>
        <v>0</v>
      </c>
      <c r="C96" s="334"/>
      <c r="D96" s="335"/>
      <c r="E96" s="335"/>
      <c r="F96" s="335"/>
      <c r="G96" s="335"/>
      <c r="H96" s="336"/>
      <c r="I96" s="337"/>
      <c r="J96" s="334"/>
      <c r="K96" s="335"/>
      <c r="L96" s="335"/>
      <c r="M96" s="336"/>
      <c r="N96" s="337"/>
      <c r="O96" s="338"/>
      <c r="Q96" s="268"/>
      <c r="R96" s="500" t="s">
        <v>156</v>
      </c>
      <c r="S96" s="501"/>
      <c r="T96" s="501"/>
      <c r="U96" s="501"/>
      <c r="V96" s="501"/>
      <c r="W96" s="501"/>
      <c r="X96" s="501"/>
      <c r="Y96" s="501"/>
      <c r="Z96" s="502"/>
    </row>
    <row r="97" spans="1:26" ht="23.25" customHeight="1" thickTop="1" thickBot="1" x14ac:dyDescent="0.25">
      <c r="A97" s="384">
        <f>A96+1</f>
        <v>32</v>
      </c>
      <c r="B97" s="414">
        <f>'1 KYU'!B109</f>
        <v>0</v>
      </c>
      <c r="C97" s="282"/>
      <c r="D97" s="283"/>
      <c r="E97" s="283"/>
      <c r="F97" s="283"/>
      <c r="G97" s="283"/>
      <c r="H97" s="284"/>
      <c r="I97" s="329"/>
      <c r="J97" s="282"/>
      <c r="K97" s="283"/>
      <c r="L97" s="283"/>
      <c r="M97" s="284"/>
      <c r="N97" s="329"/>
      <c r="O97" s="285"/>
      <c r="Q97" s="503" t="s">
        <v>4</v>
      </c>
      <c r="R97" s="524" t="s">
        <v>241</v>
      </c>
      <c r="S97" s="525"/>
      <c r="T97" s="525"/>
      <c r="U97" s="525"/>
      <c r="V97" s="525"/>
      <c r="W97" s="525"/>
      <c r="X97" s="525"/>
      <c r="Y97" s="525"/>
      <c r="Z97" s="526"/>
    </row>
    <row r="98" spans="1:26" ht="23.25" customHeight="1" x14ac:dyDescent="0.2">
      <c r="A98" s="381">
        <f t="shared" ref="A98:A105" si="2">A97+1</f>
        <v>33</v>
      </c>
      <c r="B98" s="413">
        <f>'1 KYU'!B110</f>
        <v>0</v>
      </c>
      <c r="C98" s="334"/>
      <c r="D98" s="335"/>
      <c r="E98" s="335"/>
      <c r="F98" s="335"/>
      <c r="G98" s="335"/>
      <c r="H98" s="336"/>
      <c r="I98" s="337"/>
      <c r="J98" s="334"/>
      <c r="K98" s="335"/>
      <c r="L98" s="335"/>
      <c r="M98" s="336"/>
      <c r="N98" s="337"/>
      <c r="O98" s="338"/>
      <c r="Q98" s="504"/>
      <c r="R98" s="527"/>
      <c r="S98" s="528"/>
      <c r="T98" s="528"/>
      <c r="U98" s="528"/>
      <c r="V98" s="528"/>
      <c r="W98" s="528"/>
      <c r="X98" s="528"/>
      <c r="Y98" s="528"/>
      <c r="Z98" s="529"/>
    </row>
    <row r="99" spans="1:26" ht="23.25" customHeight="1" thickBot="1" x14ac:dyDescent="0.25">
      <c r="A99" s="384">
        <f t="shared" si="2"/>
        <v>34</v>
      </c>
      <c r="B99" s="414">
        <f>'1 KYU'!B111</f>
        <v>0</v>
      </c>
      <c r="C99" s="282"/>
      <c r="D99" s="283"/>
      <c r="E99" s="283"/>
      <c r="F99" s="283"/>
      <c r="G99" s="283"/>
      <c r="H99" s="284"/>
      <c r="I99" s="329"/>
      <c r="J99" s="282"/>
      <c r="K99" s="283"/>
      <c r="L99" s="283"/>
      <c r="M99" s="284"/>
      <c r="N99" s="329"/>
      <c r="O99" s="285"/>
      <c r="Q99" s="504"/>
      <c r="R99" s="527"/>
      <c r="S99" s="528"/>
      <c r="T99" s="528"/>
      <c r="U99" s="528"/>
      <c r="V99" s="528"/>
      <c r="W99" s="528"/>
      <c r="X99" s="528"/>
      <c r="Y99" s="528"/>
      <c r="Z99" s="529"/>
    </row>
    <row r="100" spans="1:26" ht="23.25" customHeight="1" x14ac:dyDescent="0.2">
      <c r="A100" s="381">
        <f t="shared" si="2"/>
        <v>35</v>
      </c>
      <c r="B100" s="413">
        <f>'1 KYU'!B112</f>
        <v>0</v>
      </c>
      <c r="C100" s="334"/>
      <c r="D100" s="335"/>
      <c r="E100" s="335"/>
      <c r="F100" s="335"/>
      <c r="G100" s="335"/>
      <c r="H100" s="336"/>
      <c r="I100" s="337"/>
      <c r="J100" s="334"/>
      <c r="K100" s="335"/>
      <c r="L100" s="335"/>
      <c r="M100" s="336"/>
      <c r="N100" s="337"/>
      <c r="O100" s="338"/>
      <c r="Q100" s="504"/>
      <c r="R100" s="527"/>
      <c r="S100" s="528"/>
      <c r="T100" s="528"/>
      <c r="U100" s="528"/>
      <c r="V100" s="528"/>
      <c r="W100" s="528"/>
      <c r="X100" s="528"/>
      <c r="Y100" s="528"/>
      <c r="Z100" s="529"/>
    </row>
    <row r="101" spans="1:26" ht="23.25" customHeight="1" thickBot="1" x14ac:dyDescent="0.25">
      <c r="A101" s="384">
        <f t="shared" si="2"/>
        <v>36</v>
      </c>
      <c r="B101" s="414">
        <f>'1 KYU'!B113</f>
        <v>0</v>
      </c>
      <c r="C101" s="282"/>
      <c r="D101" s="283"/>
      <c r="E101" s="283"/>
      <c r="F101" s="283"/>
      <c r="G101" s="283"/>
      <c r="H101" s="284"/>
      <c r="I101" s="329"/>
      <c r="J101" s="282"/>
      <c r="K101" s="283"/>
      <c r="L101" s="283"/>
      <c r="M101" s="284"/>
      <c r="N101" s="329"/>
      <c r="O101" s="285"/>
      <c r="Q101" s="504"/>
      <c r="R101" s="530"/>
      <c r="S101" s="531"/>
      <c r="T101" s="531"/>
      <c r="U101" s="531"/>
      <c r="V101" s="531"/>
      <c r="W101" s="531"/>
      <c r="X101" s="531"/>
      <c r="Y101" s="531"/>
      <c r="Z101" s="532"/>
    </row>
    <row r="102" spans="1:26" ht="23.25" customHeight="1" x14ac:dyDescent="0.2">
      <c r="A102" s="381">
        <f t="shared" si="2"/>
        <v>37</v>
      </c>
      <c r="B102" s="413">
        <f>'1 KYU'!B114</f>
        <v>0</v>
      </c>
      <c r="C102" s="334"/>
      <c r="D102" s="335"/>
      <c r="E102" s="335"/>
      <c r="F102" s="335"/>
      <c r="G102" s="335"/>
      <c r="H102" s="336"/>
      <c r="I102" s="337"/>
      <c r="J102" s="334"/>
      <c r="K102" s="335"/>
      <c r="L102" s="335"/>
      <c r="M102" s="336"/>
      <c r="N102" s="337"/>
      <c r="O102" s="338"/>
      <c r="Q102" s="505" t="s">
        <v>5</v>
      </c>
      <c r="R102" s="507">
        <v>1</v>
      </c>
      <c r="S102" s="566" t="s">
        <v>148</v>
      </c>
      <c r="T102" s="566"/>
      <c r="U102" s="566"/>
      <c r="V102" s="566"/>
      <c r="W102" s="566"/>
      <c r="X102" s="566"/>
      <c r="Y102" s="568" t="s">
        <v>153</v>
      </c>
      <c r="Z102" s="569"/>
    </row>
    <row r="103" spans="1:26" ht="23.25" customHeight="1" thickBot="1" x14ac:dyDescent="0.25">
      <c r="A103" s="384">
        <f t="shared" si="2"/>
        <v>38</v>
      </c>
      <c r="B103" s="414">
        <f>'1 KYU'!B115</f>
        <v>0</v>
      </c>
      <c r="C103" s="282"/>
      <c r="D103" s="283"/>
      <c r="E103" s="283"/>
      <c r="F103" s="283"/>
      <c r="G103" s="283"/>
      <c r="H103" s="284"/>
      <c r="I103" s="329"/>
      <c r="J103" s="282"/>
      <c r="K103" s="283"/>
      <c r="L103" s="283"/>
      <c r="M103" s="284"/>
      <c r="N103" s="329"/>
      <c r="O103" s="285"/>
      <c r="Q103" s="504"/>
      <c r="R103" s="508"/>
      <c r="S103" s="567"/>
      <c r="T103" s="567"/>
      <c r="U103" s="567"/>
      <c r="V103" s="567"/>
      <c r="W103" s="567"/>
      <c r="X103" s="567"/>
      <c r="Y103" s="556"/>
      <c r="Z103" s="529"/>
    </row>
    <row r="104" spans="1:26" ht="23.25" customHeight="1" x14ac:dyDescent="0.2">
      <c r="A104" s="381">
        <f t="shared" si="2"/>
        <v>39</v>
      </c>
      <c r="B104" s="413">
        <f>'1 KYU'!B116</f>
        <v>0</v>
      </c>
      <c r="C104" s="334"/>
      <c r="D104" s="335"/>
      <c r="E104" s="335"/>
      <c r="F104" s="335"/>
      <c r="G104" s="335"/>
      <c r="H104" s="336"/>
      <c r="I104" s="337"/>
      <c r="J104" s="334"/>
      <c r="K104" s="335"/>
      <c r="L104" s="335"/>
      <c r="M104" s="336"/>
      <c r="N104" s="337"/>
      <c r="O104" s="338"/>
      <c r="Q104" s="504"/>
      <c r="R104" s="508"/>
      <c r="S104" s="567"/>
      <c r="T104" s="567"/>
      <c r="U104" s="567"/>
      <c r="V104" s="567"/>
      <c r="W104" s="567"/>
      <c r="X104" s="567"/>
      <c r="Y104" s="556"/>
      <c r="Z104" s="529"/>
    </row>
    <row r="105" spans="1:26" ht="23.25" customHeight="1" thickBot="1" x14ac:dyDescent="0.25">
      <c r="A105" s="384">
        <f t="shared" si="2"/>
        <v>40</v>
      </c>
      <c r="B105" s="414">
        <f>'1 KYU'!B117</f>
        <v>0</v>
      </c>
      <c r="C105" s="282"/>
      <c r="D105" s="283"/>
      <c r="E105" s="283"/>
      <c r="F105" s="283"/>
      <c r="G105" s="283"/>
      <c r="H105" s="284"/>
      <c r="I105" s="329"/>
      <c r="J105" s="282"/>
      <c r="K105" s="283"/>
      <c r="L105" s="283"/>
      <c r="M105" s="284"/>
      <c r="N105" s="329"/>
      <c r="O105" s="285"/>
      <c r="Q105" s="504"/>
      <c r="R105" s="508"/>
      <c r="S105" s="567"/>
      <c r="T105" s="567"/>
      <c r="U105" s="567"/>
      <c r="V105" s="567"/>
      <c r="W105" s="567"/>
      <c r="X105" s="567"/>
      <c r="Y105" s="560"/>
      <c r="Z105" s="570"/>
    </row>
    <row r="106" spans="1:26" ht="18.75" customHeight="1" x14ac:dyDescent="0.2">
      <c r="A106" s="269" t="s">
        <v>237</v>
      </c>
      <c r="B106" s="270"/>
      <c r="C106" s="270"/>
      <c r="D106" s="270"/>
      <c r="E106" s="270"/>
      <c r="F106" s="270"/>
      <c r="G106" s="278" t="s">
        <v>238</v>
      </c>
      <c r="H106" s="270"/>
      <c r="I106" s="270"/>
      <c r="J106" s="270"/>
      <c r="K106" s="270"/>
      <c r="L106" s="270"/>
      <c r="M106" s="270"/>
      <c r="N106" s="270"/>
      <c r="O106" s="271"/>
      <c r="Q106" s="504"/>
      <c r="R106" s="508">
        <v>2</v>
      </c>
      <c r="S106" s="571" t="s">
        <v>149</v>
      </c>
      <c r="T106" s="571"/>
      <c r="U106" s="571"/>
      <c r="V106" s="571"/>
      <c r="W106" s="571"/>
      <c r="X106" s="571"/>
      <c r="Y106" s="572" t="s">
        <v>154</v>
      </c>
      <c r="Z106" s="573"/>
    </row>
    <row r="107" spans="1:26" ht="15" customHeight="1" x14ac:dyDescent="0.2">
      <c r="A107" s="155" t="s">
        <v>8</v>
      </c>
      <c r="B107" s="120" t="s">
        <v>135</v>
      </c>
      <c r="C107" s="321"/>
      <c r="D107" s="78"/>
      <c r="E107" s="321"/>
      <c r="G107" s="263" t="s">
        <v>243</v>
      </c>
      <c r="O107" s="273"/>
      <c r="Q107" s="504"/>
      <c r="R107" s="508"/>
      <c r="S107" s="571"/>
      <c r="T107" s="571"/>
      <c r="U107" s="571"/>
      <c r="V107" s="571"/>
      <c r="W107" s="571"/>
      <c r="X107" s="571"/>
      <c r="Y107" s="550"/>
      <c r="Z107" s="551"/>
    </row>
    <row r="108" spans="1:26" ht="15" customHeight="1" x14ac:dyDescent="0.2">
      <c r="A108" s="155" t="s">
        <v>9</v>
      </c>
      <c r="B108" s="120" t="s">
        <v>136</v>
      </c>
      <c r="C108" s="322"/>
      <c r="D108" s="17"/>
      <c r="E108" s="322"/>
      <c r="G108" s="152" t="s">
        <v>247</v>
      </c>
      <c r="O108" s="273"/>
      <c r="Q108" s="504"/>
      <c r="R108" s="508"/>
      <c r="S108" s="571"/>
      <c r="T108" s="571"/>
      <c r="U108" s="571"/>
      <c r="V108" s="571"/>
      <c r="W108" s="571"/>
      <c r="X108" s="571"/>
      <c r="Y108" s="550"/>
      <c r="Z108" s="551"/>
    </row>
    <row r="109" spans="1:26" ht="15" customHeight="1" x14ac:dyDescent="0.2">
      <c r="A109" s="155" t="s">
        <v>11</v>
      </c>
      <c r="B109" s="120" t="s">
        <v>137</v>
      </c>
      <c r="C109" s="378"/>
      <c r="D109" s="378"/>
      <c r="E109" s="378"/>
      <c r="G109" s="153" t="s">
        <v>244</v>
      </c>
      <c r="O109" s="273"/>
      <c r="Q109" s="504"/>
      <c r="R109" s="508"/>
      <c r="S109" s="571"/>
      <c r="T109" s="571"/>
      <c r="U109" s="571"/>
      <c r="V109" s="571"/>
      <c r="W109" s="571"/>
      <c r="X109" s="571"/>
      <c r="Y109" s="574"/>
      <c r="Z109" s="575"/>
    </row>
    <row r="110" spans="1:26" ht="15" customHeight="1" x14ac:dyDescent="0.2">
      <c r="A110" s="155" t="s">
        <v>12</v>
      </c>
      <c r="B110" s="120" t="s">
        <v>138</v>
      </c>
      <c r="C110" s="378"/>
      <c r="D110" s="378"/>
      <c r="E110" s="378"/>
      <c r="G110" s="297" t="s">
        <v>245</v>
      </c>
      <c r="O110" s="273"/>
      <c r="Q110" s="504"/>
      <c r="R110" s="563">
        <v>3</v>
      </c>
      <c r="S110" s="554" t="s">
        <v>150</v>
      </c>
      <c r="T110" s="557"/>
      <c r="U110" s="557"/>
      <c r="V110" s="557"/>
      <c r="W110" s="557"/>
      <c r="X110" s="558"/>
      <c r="Y110" s="554" t="s">
        <v>155</v>
      </c>
      <c r="Z110" s="555"/>
    </row>
    <row r="111" spans="1:26" ht="15" customHeight="1" x14ac:dyDescent="0.2">
      <c r="A111" s="155" t="s">
        <v>13</v>
      </c>
      <c r="B111" s="120" t="s">
        <v>139</v>
      </c>
      <c r="C111" s="321"/>
      <c r="D111" s="379"/>
      <c r="E111" s="379"/>
      <c r="G111" s="496" t="s">
        <v>246</v>
      </c>
      <c r="H111" s="497"/>
      <c r="I111" s="497"/>
      <c r="J111" s="497"/>
      <c r="K111" s="497"/>
      <c r="L111" s="497"/>
      <c r="M111" s="497"/>
      <c r="N111" s="497"/>
      <c r="O111" s="498"/>
      <c r="Q111" s="504"/>
      <c r="R111" s="564"/>
      <c r="S111" s="556"/>
      <c r="T111" s="528"/>
      <c r="U111" s="528"/>
      <c r="V111" s="528"/>
      <c r="W111" s="528"/>
      <c r="X111" s="559"/>
      <c r="Y111" s="556"/>
      <c r="Z111" s="529"/>
    </row>
    <row r="112" spans="1:26" ht="15" customHeight="1" x14ac:dyDescent="0.2">
      <c r="A112" s="155" t="s">
        <v>111</v>
      </c>
      <c r="B112" s="120" t="s">
        <v>140</v>
      </c>
      <c r="C112" s="378"/>
      <c r="D112" s="380"/>
      <c r="E112" s="380"/>
      <c r="G112" s="499"/>
      <c r="H112" s="497"/>
      <c r="I112" s="497"/>
      <c r="J112" s="497"/>
      <c r="K112" s="497"/>
      <c r="L112" s="497"/>
      <c r="M112" s="497"/>
      <c r="N112" s="497"/>
      <c r="O112" s="498"/>
      <c r="Q112" s="504"/>
      <c r="R112" s="565"/>
      <c r="S112" s="560"/>
      <c r="T112" s="561"/>
      <c r="U112" s="561"/>
      <c r="V112" s="561"/>
      <c r="W112" s="561"/>
      <c r="X112" s="562"/>
      <c r="Y112" s="556"/>
      <c r="Z112" s="529"/>
    </row>
    <row r="113" spans="1:26" ht="15" customHeight="1" x14ac:dyDescent="0.2">
      <c r="A113" s="272"/>
      <c r="B113" s="160"/>
      <c r="G113" s="499"/>
      <c r="H113" s="497"/>
      <c r="I113" s="497"/>
      <c r="J113" s="497"/>
      <c r="K113" s="497"/>
      <c r="L113" s="497"/>
      <c r="M113" s="497"/>
      <c r="N113" s="497"/>
      <c r="O113" s="498"/>
      <c r="Q113" s="504"/>
      <c r="R113" s="508">
        <v>4</v>
      </c>
      <c r="S113" s="571" t="s">
        <v>151</v>
      </c>
      <c r="T113" s="577"/>
      <c r="U113" s="577"/>
      <c r="V113" s="577"/>
      <c r="W113" s="577"/>
      <c r="X113" s="577"/>
      <c r="Y113" s="550" t="s">
        <v>152</v>
      </c>
      <c r="Z113" s="551"/>
    </row>
    <row r="114" spans="1:26" ht="15" customHeight="1" x14ac:dyDescent="0.2">
      <c r="A114" s="274"/>
      <c r="B114" s="160"/>
      <c r="G114" s="262"/>
      <c r="O114" s="273"/>
      <c r="Q114" s="504"/>
      <c r="R114" s="508"/>
      <c r="S114" s="577"/>
      <c r="T114" s="577"/>
      <c r="U114" s="577"/>
      <c r="V114" s="577"/>
      <c r="W114" s="577"/>
      <c r="X114" s="577"/>
      <c r="Y114" s="550"/>
      <c r="Z114" s="551"/>
    </row>
    <row r="115" spans="1:26" ht="15" customHeight="1" x14ac:dyDescent="0.2">
      <c r="A115" s="274"/>
      <c r="G115" s="279"/>
      <c r="O115" s="273"/>
      <c r="Q115" s="504"/>
      <c r="R115" s="508"/>
      <c r="S115" s="577"/>
      <c r="T115" s="577"/>
      <c r="U115" s="577"/>
      <c r="V115" s="577"/>
      <c r="W115" s="577"/>
      <c r="X115" s="577"/>
      <c r="Y115" s="550"/>
      <c r="Z115" s="551"/>
    </row>
    <row r="116" spans="1:26" ht="9" customHeight="1" thickBot="1" x14ac:dyDescent="0.25">
      <c r="A116" s="275"/>
      <c r="B116" s="276"/>
      <c r="C116" s="276"/>
      <c r="D116" s="276"/>
      <c r="E116" s="276"/>
      <c r="F116" s="276"/>
      <c r="G116" s="280"/>
      <c r="H116" s="276"/>
      <c r="I116" s="276"/>
      <c r="J116" s="276"/>
      <c r="K116" s="276"/>
      <c r="L116" s="276"/>
      <c r="M116" s="276"/>
      <c r="N116" s="276"/>
      <c r="O116" s="277"/>
      <c r="Q116" s="506"/>
      <c r="R116" s="576"/>
      <c r="S116" s="578"/>
      <c r="T116" s="578"/>
      <c r="U116" s="578"/>
      <c r="V116" s="578"/>
      <c r="W116" s="578"/>
      <c r="X116" s="578"/>
      <c r="Y116" s="552"/>
      <c r="Z116" s="553"/>
    </row>
    <row r="117" spans="1:26" ht="6.75" customHeight="1" x14ac:dyDescent="0.2"/>
    <row r="118" spans="1:26" s="88" customFormat="1" ht="15" x14ac:dyDescent="0.25">
      <c r="B118" s="88" t="s">
        <v>53</v>
      </c>
      <c r="C118" s="89"/>
      <c r="J118" s="88" t="s">
        <v>54</v>
      </c>
      <c r="W118" s="88" t="s">
        <v>55</v>
      </c>
    </row>
    <row r="119" spans="1:26" s="18" customFormat="1" ht="16.5" customHeight="1" x14ac:dyDescent="0.2">
      <c r="C119" s="19"/>
    </row>
    <row r="120" spans="1:26" s="18" customFormat="1" ht="18" customHeight="1" x14ac:dyDescent="0.2">
      <c r="C120" s="19"/>
    </row>
    <row r="121" spans="1:26" s="18" customFormat="1" ht="17.25" customHeight="1" x14ac:dyDescent="0.2">
      <c r="B121" s="90"/>
      <c r="C121" s="19"/>
      <c r="J121" s="90"/>
      <c r="K121" s="90"/>
      <c r="L121" s="90"/>
      <c r="M121" s="90"/>
      <c r="N121" s="90"/>
      <c r="O121" s="90"/>
      <c r="W121" s="90"/>
      <c r="X121" s="90"/>
      <c r="Y121" s="90"/>
      <c r="Z121" s="90"/>
    </row>
    <row r="122" spans="1:26" s="18" customFormat="1" ht="18" customHeight="1" x14ac:dyDescent="0.2">
      <c r="B122" s="18" t="s">
        <v>56</v>
      </c>
      <c r="C122" s="19"/>
      <c r="J122" s="18" t="s">
        <v>56</v>
      </c>
      <c r="W122" s="18" t="s">
        <v>57</v>
      </c>
    </row>
    <row r="123" spans="1:26" s="18" customFormat="1" ht="15.75" customHeight="1" x14ac:dyDescent="0.2">
      <c r="B123" s="18" t="s">
        <v>58</v>
      </c>
      <c r="C123" s="19"/>
      <c r="J123" s="18" t="s">
        <v>59</v>
      </c>
      <c r="W123" s="18" t="s">
        <v>58</v>
      </c>
    </row>
    <row r="124" spans="1:26" ht="4.5" customHeight="1" thickBot="1" x14ac:dyDescent="0.25"/>
    <row r="125" spans="1:26" ht="29.25" customHeight="1" thickBot="1" x14ac:dyDescent="0.25">
      <c r="A125" s="381">
        <v>41</v>
      </c>
      <c r="B125" s="413">
        <f>'1 KYU'!B141</f>
        <v>0</v>
      </c>
      <c r="C125" s="334"/>
      <c r="D125" s="335"/>
      <c r="E125" s="335"/>
      <c r="F125" s="335"/>
      <c r="G125" s="335"/>
      <c r="H125" s="336"/>
      <c r="I125" s="337"/>
      <c r="J125" s="334"/>
      <c r="K125" s="335"/>
      <c r="L125" s="335"/>
      <c r="M125" s="336"/>
      <c r="N125" s="337"/>
      <c r="O125" s="338"/>
      <c r="Q125" s="268"/>
      <c r="R125" s="500" t="s">
        <v>156</v>
      </c>
      <c r="S125" s="501"/>
      <c r="T125" s="501"/>
      <c r="U125" s="501"/>
      <c r="V125" s="501"/>
      <c r="W125" s="501"/>
      <c r="X125" s="501"/>
      <c r="Y125" s="501"/>
      <c r="Z125" s="502"/>
    </row>
    <row r="126" spans="1:26" ht="23.25" customHeight="1" thickTop="1" thickBot="1" x14ac:dyDescent="0.25">
      <c r="A126" s="384">
        <f>A125+1</f>
        <v>42</v>
      </c>
      <c r="B126" s="414">
        <f>'1 KYU'!B142</f>
        <v>0</v>
      </c>
      <c r="C126" s="282"/>
      <c r="D126" s="283"/>
      <c r="E126" s="283"/>
      <c r="F126" s="283"/>
      <c r="G126" s="283"/>
      <c r="H126" s="284"/>
      <c r="I126" s="329"/>
      <c r="J126" s="282"/>
      <c r="K126" s="283"/>
      <c r="L126" s="283"/>
      <c r="M126" s="284"/>
      <c r="N126" s="329"/>
      <c r="O126" s="285"/>
      <c r="Q126" s="503" t="s">
        <v>4</v>
      </c>
      <c r="R126" s="524" t="s">
        <v>241</v>
      </c>
      <c r="S126" s="525"/>
      <c r="T126" s="525"/>
      <c r="U126" s="525"/>
      <c r="V126" s="525"/>
      <c r="W126" s="525"/>
      <c r="X126" s="525"/>
      <c r="Y126" s="525"/>
      <c r="Z126" s="526"/>
    </row>
    <row r="127" spans="1:26" ht="23.25" customHeight="1" x14ac:dyDescent="0.2">
      <c r="A127" s="381">
        <f t="shared" ref="A127:A134" si="3">A126+1</f>
        <v>43</v>
      </c>
      <c r="B127" s="413">
        <f>'1 KYU'!B143</f>
        <v>0</v>
      </c>
      <c r="C127" s="334"/>
      <c r="D127" s="335"/>
      <c r="E127" s="335"/>
      <c r="F127" s="335"/>
      <c r="G127" s="335"/>
      <c r="H127" s="336"/>
      <c r="I127" s="337"/>
      <c r="J127" s="334"/>
      <c r="K127" s="335"/>
      <c r="L127" s="335"/>
      <c r="M127" s="336"/>
      <c r="N127" s="337"/>
      <c r="O127" s="338"/>
      <c r="Q127" s="504"/>
      <c r="R127" s="527"/>
      <c r="S127" s="528"/>
      <c r="T127" s="528"/>
      <c r="U127" s="528"/>
      <c r="V127" s="528"/>
      <c r="W127" s="528"/>
      <c r="X127" s="528"/>
      <c r="Y127" s="528"/>
      <c r="Z127" s="529"/>
    </row>
    <row r="128" spans="1:26" ht="23.25" customHeight="1" thickBot="1" x14ac:dyDescent="0.25">
      <c r="A128" s="384">
        <f t="shared" si="3"/>
        <v>44</v>
      </c>
      <c r="B128" s="414">
        <f>'1 KYU'!B144</f>
        <v>0</v>
      </c>
      <c r="C128" s="282"/>
      <c r="D128" s="283"/>
      <c r="E128" s="283"/>
      <c r="F128" s="283"/>
      <c r="G128" s="283"/>
      <c r="H128" s="284"/>
      <c r="I128" s="329"/>
      <c r="J128" s="282"/>
      <c r="K128" s="283"/>
      <c r="L128" s="283"/>
      <c r="M128" s="284"/>
      <c r="N128" s="329"/>
      <c r="O128" s="285"/>
      <c r="Q128" s="504"/>
      <c r="R128" s="527"/>
      <c r="S128" s="528"/>
      <c r="T128" s="528"/>
      <c r="U128" s="528"/>
      <c r="V128" s="528"/>
      <c r="W128" s="528"/>
      <c r="X128" s="528"/>
      <c r="Y128" s="528"/>
      <c r="Z128" s="529"/>
    </row>
    <row r="129" spans="1:26" ht="23.25" customHeight="1" x14ac:dyDescent="0.2">
      <c r="A129" s="381">
        <f t="shared" si="3"/>
        <v>45</v>
      </c>
      <c r="B129" s="413">
        <f>'1 KYU'!B145</f>
        <v>0</v>
      </c>
      <c r="C129" s="334"/>
      <c r="D129" s="335"/>
      <c r="E129" s="335"/>
      <c r="F129" s="335"/>
      <c r="G129" s="335"/>
      <c r="H129" s="336"/>
      <c r="I129" s="337"/>
      <c r="J129" s="334"/>
      <c r="K129" s="335"/>
      <c r="L129" s="335"/>
      <c r="M129" s="336"/>
      <c r="N129" s="337"/>
      <c r="O129" s="338"/>
      <c r="Q129" s="504"/>
      <c r="R129" s="527"/>
      <c r="S129" s="528"/>
      <c r="T129" s="528"/>
      <c r="U129" s="528"/>
      <c r="V129" s="528"/>
      <c r="W129" s="528"/>
      <c r="X129" s="528"/>
      <c r="Y129" s="528"/>
      <c r="Z129" s="529"/>
    </row>
    <row r="130" spans="1:26" ht="23.25" customHeight="1" thickBot="1" x14ac:dyDescent="0.25">
      <c r="A130" s="384">
        <f t="shared" si="3"/>
        <v>46</v>
      </c>
      <c r="B130" s="414">
        <f>'1 KYU'!B146</f>
        <v>0</v>
      </c>
      <c r="C130" s="282"/>
      <c r="D130" s="283"/>
      <c r="E130" s="283"/>
      <c r="F130" s="283"/>
      <c r="G130" s="283"/>
      <c r="H130" s="284"/>
      <c r="I130" s="329"/>
      <c r="J130" s="282"/>
      <c r="K130" s="283"/>
      <c r="L130" s="283"/>
      <c r="M130" s="284"/>
      <c r="N130" s="329"/>
      <c r="O130" s="285"/>
      <c r="Q130" s="504"/>
      <c r="R130" s="530"/>
      <c r="S130" s="531"/>
      <c r="T130" s="531"/>
      <c r="U130" s="531"/>
      <c r="V130" s="531"/>
      <c r="W130" s="531"/>
      <c r="X130" s="531"/>
      <c r="Y130" s="531"/>
      <c r="Z130" s="532"/>
    </row>
    <row r="131" spans="1:26" ht="23.25" customHeight="1" x14ac:dyDescent="0.2">
      <c r="A131" s="381">
        <f t="shared" si="3"/>
        <v>47</v>
      </c>
      <c r="B131" s="413">
        <f>'1 KYU'!B147</f>
        <v>0</v>
      </c>
      <c r="C131" s="334"/>
      <c r="D131" s="335"/>
      <c r="E131" s="335"/>
      <c r="F131" s="335"/>
      <c r="G131" s="335"/>
      <c r="H131" s="336"/>
      <c r="I131" s="337"/>
      <c r="J131" s="334"/>
      <c r="K131" s="335"/>
      <c r="L131" s="335"/>
      <c r="M131" s="336"/>
      <c r="N131" s="337"/>
      <c r="O131" s="338"/>
      <c r="Q131" s="505" t="s">
        <v>5</v>
      </c>
      <c r="R131" s="507">
        <v>1</v>
      </c>
      <c r="S131" s="566" t="s">
        <v>148</v>
      </c>
      <c r="T131" s="566"/>
      <c r="U131" s="566"/>
      <c r="V131" s="566"/>
      <c r="W131" s="566"/>
      <c r="X131" s="566"/>
      <c r="Y131" s="568" t="s">
        <v>153</v>
      </c>
      <c r="Z131" s="569"/>
    </row>
    <row r="132" spans="1:26" ht="23.25" customHeight="1" thickBot="1" x14ac:dyDescent="0.25">
      <c r="A132" s="384">
        <f t="shared" si="3"/>
        <v>48</v>
      </c>
      <c r="B132" s="414">
        <f>'1 KYU'!B148</f>
        <v>0</v>
      </c>
      <c r="C132" s="282"/>
      <c r="D132" s="283"/>
      <c r="E132" s="283"/>
      <c r="F132" s="283"/>
      <c r="G132" s="283"/>
      <c r="H132" s="284"/>
      <c r="I132" s="329"/>
      <c r="J132" s="282"/>
      <c r="K132" s="283"/>
      <c r="L132" s="283"/>
      <c r="M132" s="284"/>
      <c r="N132" s="329"/>
      <c r="O132" s="285"/>
      <c r="Q132" s="504"/>
      <c r="R132" s="508"/>
      <c r="S132" s="567"/>
      <c r="T132" s="567"/>
      <c r="U132" s="567"/>
      <c r="V132" s="567"/>
      <c r="W132" s="567"/>
      <c r="X132" s="567"/>
      <c r="Y132" s="556"/>
      <c r="Z132" s="529"/>
    </row>
    <row r="133" spans="1:26" ht="23.25" customHeight="1" x14ac:dyDescent="0.2">
      <c r="A133" s="381">
        <f t="shared" si="3"/>
        <v>49</v>
      </c>
      <c r="B133" s="413">
        <f>'1 KYU'!B149</f>
        <v>0</v>
      </c>
      <c r="C133" s="334"/>
      <c r="D133" s="335"/>
      <c r="E133" s="335"/>
      <c r="F133" s="335"/>
      <c r="G133" s="335"/>
      <c r="H133" s="336"/>
      <c r="I133" s="337"/>
      <c r="J133" s="334"/>
      <c r="K133" s="335"/>
      <c r="L133" s="335"/>
      <c r="M133" s="336"/>
      <c r="N133" s="337"/>
      <c r="O133" s="338"/>
      <c r="Q133" s="504"/>
      <c r="R133" s="508"/>
      <c r="S133" s="567"/>
      <c r="T133" s="567"/>
      <c r="U133" s="567"/>
      <c r="V133" s="567"/>
      <c r="W133" s="567"/>
      <c r="X133" s="567"/>
      <c r="Y133" s="556"/>
      <c r="Z133" s="529"/>
    </row>
    <row r="134" spans="1:26" ht="23.25" customHeight="1" thickBot="1" x14ac:dyDescent="0.25">
      <c r="A134" s="384">
        <f t="shared" si="3"/>
        <v>50</v>
      </c>
      <c r="B134" s="414">
        <f>'1 KYU'!B150</f>
        <v>0</v>
      </c>
      <c r="C134" s="282"/>
      <c r="D134" s="283"/>
      <c r="E134" s="283"/>
      <c r="F134" s="283"/>
      <c r="G134" s="283"/>
      <c r="H134" s="284"/>
      <c r="I134" s="329"/>
      <c r="J134" s="282"/>
      <c r="K134" s="283"/>
      <c r="L134" s="283"/>
      <c r="M134" s="284"/>
      <c r="N134" s="329"/>
      <c r="O134" s="285"/>
      <c r="Q134" s="504"/>
      <c r="R134" s="508"/>
      <c r="S134" s="567"/>
      <c r="T134" s="567"/>
      <c r="U134" s="567"/>
      <c r="V134" s="567"/>
      <c r="W134" s="567"/>
      <c r="X134" s="567"/>
      <c r="Y134" s="560"/>
      <c r="Z134" s="570"/>
    </row>
    <row r="135" spans="1:26" ht="18.75" customHeight="1" x14ac:dyDescent="0.2">
      <c r="A135" s="269" t="s">
        <v>237</v>
      </c>
      <c r="B135" s="270"/>
      <c r="C135" s="270"/>
      <c r="D135" s="270"/>
      <c r="E135" s="270"/>
      <c r="F135" s="270"/>
      <c r="G135" s="278" t="s">
        <v>238</v>
      </c>
      <c r="H135" s="270"/>
      <c r="I135" s="270"/>
      <c r="J135" s="270"/>
      <c r="K135" s="270"/>
      <c r="L135" s="270"/>
      <c r="M135" s="270"/>
      <c r="N135" s="270"/>
      <c r="O135" s="271"/>
      <c r="Q135" s="504"/>
      <c r="R135" s="508">
        <v>2</v>
      </c>
      <c r="S135" s="571" t="s">
        <v>149</v>
      </c>
      <c r="T135" s="571"/>
      <c r="U135" s="571"/>
      <c r="V135" s="571"/>
      <c r="W135" s="571"/>
      <c r="X135" s="571"/>
      <c r="Y135" s="572" t="s">
        <v>154</v>
      </c>
      <c r="Z135" s="573"/>
    </row>
    <row r="136" spans="1:26" ht="15" customHeight="1" x14ac:dyDescent="0.2">
      <c r="A136" s="155" t="s">
        <v>8</v>
      </c>
      <c r="B136" s="120" t="s">
        <v>135</v>
      </c>
      <c r="C136" s="321"/>
      <c r="D136" s="78"/>
      <c r="E136" s="321"/>
      <c r="G136" s="263" t="s">
        <v>243</v>
      </c>
      <c r="O136" s="273"/>
      <c r="Q136" s="504"/>
      <c r="R136" s="508"/>
      <c r="S136" s="571"/>
      <c r="T136" s="571"/>
      <c r="U136" s="571"/>
      <c r="V136" s="571"/>
      <c r="W136" s="571"/>
      <c r="X136" s="571"/>
      <c r="Y136" s="550"/>
      <c r="Z136" s="551"/>
    </row>
    <row r="137" spans="1:26" ht="15" customHeight="1" x14ac:dyDescent="0.2">
      <c r="A137" s="155" t="s">
        <v>9</v>
      </c>
      <c r="B137" s="120" t="s">
        <v>136</v>
      </c>
      <c r="C137" s="322"/>
      <c r="D137" s="17"/>
      <c r="E137" s="322"/>
      <c r="G137" s="152" t="s">
        <v>247</v>
      </c>
      <c r="O137" s="273"/>
      <c r="Q137" s="504"/>
      <c r="R137" s="508"/>
      <c r="S137" s="571"/>
      <c r="T137" s="571"/>
      <c r="U137" s="571"/>
      <c r="V137" s="571"/>
      <c r="W137" s="571"/>
      <c r="X137" s="571"/>
      <c r="Y137" s="550"/>
      <c r="Z137" s="551"/>
    </row>
    <row r="138" spans="1:26" ht="15" customHeight="1" x14ac:dyDescent="0.2">
      <c r="A138" s="155" t="s">
        <v>11</v>
      </c>
      <c r="B138" s="120" t="s">
        <v>137</v>
      </c>
      <c r="C138" s="378"/>
      <c r="D138" s="378"/>
      <c r="E138" s="378"/>
      <c r="G138" s="153" t="s">
        <v>244</v>
      </c>
      <c r="O138" s="273"/>
      <c r="Q138" s="504"/>
      <c r="R138" s="508"/>
      <c r="S138" s="571"/>
      <c r="T138" s="571"/>
      <c r="U138" s="571"/>
      <c r="V138" s="571"/>
      <c r="W138" s="571"/>
      <c r="X138" s="571"/>
      <c r="Y138" s="574"/>
      <c r="Z138" s="575"/>
    </row>
    <row r="139" spans="1:26" ht="15" customHeight="1" x14ac:dyDescent="0.2">
      <c r="A139" s="155" t="s">
        <v>12</v>
      </c>
      <c r="B139" s="120" t="s">
        <v>138</v>
      </c>
      <c r="C139" s="378"/>
      <c r="D139" s="378"/>
      <c r="E139" s="378"/>
      <c r="G139" s="297" t="s">
        <v>245</v>
      </c>
      <c r="O139" s="273"/>
      <c r="Q139" s="504"/>
      <c r="R139" s="563">
        <v>3</v>
      </c>
      <c r="S139" s="554" t="s">
        <v>150</v>
      </c>
      <c r="T139" s="557"/>
      <c r="U139" s="557"/>
      <c r="V139" s="557"/>
      <c r="W139" s="557"/>
      <c r="X139" s="558"/>
      <c r="Y139" s="554" t="s">
        <v>155</v>
      </c>
      <c r="Z139" s="555"/>
    </row>
    <row r="140" spans="1:26" ht="15" customHeight="1" x14ac:dyDescent="0.2">
      <c r="A140" s="155" t="s">
        <v>13</v>
      </c>
      <c r="B140" s="120" t="s">
        <v>139</v>
      </c>
      <c r="C140" s="321"/>
      <c r="D140" s="379"/>
      <c r="E140" s="379"/>
      <c r="G140" s="496" t="s">
        <v>246</v>
      </c>
      <c r="H140" s="497"/>
      <c r="I140" s="497"/>
      <c r="J140" s="497"/>
      <c r="K140" s="497"/>
      <c r="L140" s="497"/>
      <c r="M140" s="497"/>
      <c r="N140" s="497"/>
      <c r="O140" s="498"/>
      <c r="Q140" s="504"/>
      <c r="R140" s="564"/>
      <c r="S140" s="556"/>
      <c r="T140" s="528"/>
      <c r="U140" s="528"/>
      <c r="V140" s="528"/>
      <c r="W140" s="528"/>
      <c r="X140" s="559"/>
      <c r="Y140" s="556"/>
      <c r="Z140" s="529"/>
    </row>
    <row r="141" spans="1:26" ht="15" customHeight="1" x14ac:dyDescent="0.2">
      <c r="A141" s="155" t="s">
        <v>111</v>
      </c>
      <c r="B141" s="120" t="s">
        <v>140</v>
      </c>
      <c r="C141" s="378"/>
      <c r="D141" s="380"/>
      <c r="E141" s="380"/>
      <c r="G141" s="499"/>
      <c r="H141" s="497"/>
      <c r="I141" s="497"/>
      <c r="J141" s="497"/>
      <c r="K141" s="497"/>
      <c r="L141" s="497"/>
      <c r="M141" s="497"/>
      <c r="N141" s="497"/>
      <c r="O141" s="498"/>
      <c r="Q141" s="504"/>
      <c r="R141" s="565"/>
      <c r="S141" s="560"/>
      <c r="T141" s="561"/>
      <c r="U141" s="561"/>
      <c r="V141" s="561"/>
      <c r="W141" s="561"/>
      <c r="X141" s="562"/>
      <c r="Y141" s="556"/>
      <c r="Z141" s="529"/>
    </row>
    <row r="142" spans="1:26" ht="15" customHeight="1" x14ac:dyDescent="0.2">
      <c r="A142" s="272"/>
      <c r="B142" s="160"/>
      <c r="G142" s="499"/>
      <c r="H142" s="497"/>
      <c r="I142" s="497"/>
      <c r="J142" s="497"/>
      <c r="K142" s="497"/>
      <c r="L142" s="497"/>
      <c r="M142" s="497"/>
      <c r="N142" s="497"/>
      <c r="O142" s="498"/>
      <c r="Q142" s="504"/>
      <c r="R142" s="508">
        <v>4</v>
      </c>
      <c r="S142" s="571" t="s">
        <v>151</v>
      </c>
      <c r="T142" s="577"/>
      <c r="U142" s="577"/>
      <c r="V142" s="577"/>
      <c r="W142" s="577"/>
      <c r="X142" s="577"/>
      <c r="Y142" s="550" t="s">
        <v>152</v>
      </c>
      <c r="Z142" s="551"/>
    </row>
    <row r="143" spans="1:26" ht="15" customHeight="1" x14ac:dyDescent="0.2">
      <c r="A143" s="274"/>
      <c r="B143" s="160"/>
      <c r="G143" s="262"/>
      <c r="O143" s="273"/>
      <c r="Q143" s="504"/>
      <c r="R143" s="508"/>
      <c r="S143" s="577"/>
      <c r="T143" s="577"/>
      <c r="U143" s="577"/>
      <c r="V143" s="577"/>
      <c r="W143" s="577"/>
      <c r="X143" s="577"/>
      <c r="Y143" s="550"/>
      <c r="Z143" s="551"/>
    </row>
    <row r="144" spans="1:26" ht="15" customHeight="1" x14ac:dyDescent="0.2">
      <c r="A144" s="274"/>
      <c r="G144" s="279"/>
      <c r="O144" s="273"/>
      <c r="Q144" s="504"/>
      <c r="R144" s="508"/>
      <c r="S144" s="577"/>
      <c r="T144" s="577"/>
      <c r="U144" s="577"/>
      <c r="V144" s="577"/>
      <c r="W144" s="577"/>
      <c r="X144" s="577"/>
      <c r="Y144" s="550"/>
      <c r="Z144" s="551"/>
    </row>
    <row r="145" spans="1:26" ht="9" customHeight="1" thickBot="1" x14ac:dyDescent="0.25">
      <c r="A145" s="275"/>
      <c r="B145" s="276"/>
      <c r="C145" s="276"/>
      <c r="D145" s="276"/>
      <c r="E145" s="276"/>
      <c r="F145" s="276"/>
      <c r="G145" s="280"/>
      <c r="H145" s="276"/>
      <c r="I145" s="276"/>
      <c r="J145" s="276"/>
      <c r="K145" s="276"/>
      <c r="L145" s="276"/>
      <c r="M145" s="276"/>
      <c r="N145" s="276"/>
      <c r="O145" s="277"/>
      <c r="Q145" s="506"/>
      <c r="R145" s="576"/>
      <c r="S145" s="578"/>
      <c r="T145" s="578"/>
      <c r="U145" s="578"/>
      <c r="V145" s="578"/>
      <c r="W145" s="578"/>
      <c r="X145" s="578"/>
      <c r="Y145" s="552"/>
      <c r="Z145" s="553"/>
    </row>
    <row r="146" spans="1:26" ht="6.75" customHeight="1" x14ac:dyDescent="0.2"/>
    <row r="147" spans="1:26" s="88" customFormat="1" ht="15" x14ac:dyDescent="0.25">
      <c r="B147" s="88" t="s">
        <v>53</v>
      </c>
      <c r="C147" s="89"/>
      <c r="J147" s="88" t="s">
        <v>54</v>
      </c>
      <c r="W147" s="88" t="s">
        <v>55</v>
      </c>
    </row>
    <row r="148" spans="1:26" s="18" customFormat="1" ht="16.5" customHeight="1" x14ac:dyDescent="0.2">
      <c r="C148" s="19"/>
    </row>
    <row r="149" spans="1:26" s="18" customFormat="1" ht="18" customHeight="1" x14ac:dyDescent="0.2">
      <c r="C149" s="19"/>
    </row>
    <row r="150" spans="1:26" s="18" customFormat="1" ht="17.25" customHeight="1" x14ac:dyDescent="0.2">
      <c r="B150" s="90"/>
      <c r="C150" s="19"/>
      <c r="J150" s="90"/>
      <c r="K150" s="90"/>
      <c r="L150" s="90"/>
      <c r="M150" s="90"/>
      <c r="N150" s="90"/>
      <c r="O150" s="90"/>
      <c r="W150" s="90"/>
      <c r="X150" s="90"/>
      <c r="Y150" s="90"/>
      <c r="Z150" s="90"/>
    </row>
    <row r="151" spans="1:26" s="18" customFormat="1" ht="18" customHeight="1" x14ac:dyDescent="0.2">
      <c r="B151" s="18" t="s">
        <v>56</v>
      </c>
      <c r="C151" s="19"/>
      <c r="J151" s="18" t="s">
        <v>56</v>
      </c>
      <c r="W151" s="18" t="s">
        <v>57</v>
      </c>
    </row>
    <row r="152" spans="1:26" s="18" customFormat="1" ht="15.75" customHeight="1" x14ac:dyDescent="0.2">
      <c r="B152" s="18" t="s">
        <v>58</v>
      </c>
      <c r="C152" s="19"/>
      <c r="J152" s="18" t="s">
        <v>59</v>
      </c>
      <c r="W152" s="18" t="s">
        <v>58</v>
      </c>
    </row>
    <row r="154" spans="1:26" s="394" customFormat="1" ht="21" customHeight="1" x14ac:dyDescent="0.2">
      <c r="A154" s="7" t="s">
        <v>264</v>
      </c>
      <c r="C154" s="395"/>
    </row>
  </sheetData>
  <mergeCells count="101">
    <mergeCell ref="G140:O142"/>
    <mergeCell ref="R142:R145"/>
    <mergeCell ref="S142:X145"/>
    <mergeCell ref="Y142:Z145"/>
    <mergeCell ref="Q131:Q145"/>
    <mergeCell ref="R131:R134"/>
    <mergeCell ref="S131:X134"/>
    <mergeCell ref="Y131:Z134"/>
    <mergeCell ref="R135:R138"/>
    <mergeCell ref="S135:X138"/>
    <mergeCell ref="Y135:Z138"/>
    <mergeCell ref="R139:R141"/>
    <mergeCell ref="S139:X141"/>
    <mergeCell ref="Y139:Z141"/>
    <mergeCell ref="G111:O113"/>
    <mergeCell ref="R113:R116"/>
    <mergeCell ref="S113:X116"/>
    <mergeCell ref="Y113:Z116"/>
    <mergeCell ref="R125:Z125"/>
    <mergeCell ref="Q126:Q130"/>
    <mergeCell ref="R126:Z130"/>
    <mergeCell ref="Q102:Q116"/>
    <mergeCell ref="R102:R105"/>
    <mergeCell ref="S102:X105"/>
    <mergeCell ref="Y102:Z105"/>
    <mergeCell ref="R106:R109"/>
    <mergeCell ref="S106:X109"/>
    <mergeCell ref="Y106:Z109"/>
    <mergeCell ref="R110:R112"/>
    <mergeCell ref="S110:X112"/>
    <mergeCell ref="Y110:Z112"/>
    <mergeCell ref="G82:O84"/>
    <mergeCell ref="R84:R87"/>
    <mergeCell ref="S84:X87"/>
    <mergeCell ref="Y84:Z87"/>
    <mergeCell ref="R96:Z96"/>
    <mergeCell ref="Q97:Q101"/>
    <mergeCell ref="R97:Z101"/>
    <mergeCell ref="Q73:Q87"/>
    <mergeCell ref="R73:R76"/>
    <mergeCell ref="S73:X76"/>
    <mergeCell ref="Y73:Z76"/>
    <mergeCell ref="R77:R80"/>
    <mergeCell ref="S77:X80"/>
    <mergeCell ref="Y77:Z80"/>
    <mergeCell ref="R81:R83"/>
    <mergeCell ref="S81:X83"/>
    <mergeCell ref="Y81:Z83"/>
    <mergeCell ref="G53:O55"/>
    <mergeCell ref="R55:R58"/>
    <mergeCell ref="S55:X58"/>
    <mergeCell ref="Y55:Z58"/>
    <mergeCell ref="R67:Z67"/>
    <mergeCell ref="Q68:Q72"/>
    <mergeCell ref="R68:Z72"/>
    <mergeCell ref="Q44:Q58"/>
    <mergeCell ref="R44:R47"/>
    <mergeCell ref="S44:X47"/>
    <mergeCell ref="Y44:Z47"/>
    <mergeCell ref="R48:R51"/>
    <mergeCell ref="S48:X51"/>
    <mergeCell ref="Y48:Z51"/>
    <mergeCell ref="R52:R54"/>
    <mergeCell ref="S52:X54"/>
    <mergeCell ref="Y52:Z54"/>
    <mergeCell ref="R38:Z38"/>
    <mergeCell ref="Q39:Q43"/>
    <mergeCell ref="R39:Z43"/>
    <mergeCell ref="Y19:Z22"/>
    <mergeCell ref="R23:R25"/>
    <mergeCell ref="S23:X25"/>
    <mergeCell ref="Y23:Z25"/>
    <mergeCell ref="G24:O26"/>
    <mergeCell ref="R26:R29"/>
    <mergeCell ref="S26:X29"/>
    <mergeCell ref="Y26:Z29"/>
    <mergeCell ref="R9:Z9"/>
    <mergeCell ref="Q10:Q14"/>
    <mergeCell ref="R10:Z14"/>
    <mergeCell ref="Q15:Q29"/>
    <mergeCell ref="R15:R18"/>
    <mergeCell ref="S15:X18"/>
    <mergeCell ref="Y15:Z18"/>
    <mergeCell ref="R19:R22"/>
    <mergeCell ref="S19:X22"/>
    <mergeCell ref="I5:I7"/>
    <mergeCell ref="J5:J6"/>
    <mergeCell ref="K5:K6"/>
    <mergeCell ref="L5:L6"/>
    <mergeCell ref="M5:M6"/>
    <mergeCell ref="N5:N7"/>
    <mergeCell ref="A1:Z1"/>
    <mergeCell ref="A2:Z2"/>
    <mergeCell ref="A4:A8"/>
    <mergeCell ref="B4:B8"/>
    <mergeCell ref="C4:I4"/>
    <mergeCell ref="J4:N4"/>
    <mergeCell ref="O4:O7"/>
    <mergeCell ref="Q4:Z4"/>
    <mergeCell ref="C5:H6"/>
    <mergeCell ref="Q5:Z7"/>
  </mergeCells>
  <pageMargins left="0.33" right="0.21" top="0.19" bottom="0.2" header="0.21" footer="0.22"/>
  <pageSetup paperSize="5" scale="80" orientation="landscape" horizontalDpi="4294967293" verticalDpi="360" r:id="rId1"/>
  <rowBreaks count="1" manualBreakCount="1">
    <brk id="37" max="25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 tint="4.9989318521683403E-2"/>
  </sheetPr>
  <dimension ref="A1:AS163"/>
  <sheetViews>
    <sheetView showGridLines="0" view="pageBreakPreview" topLeftCell="D148" zoomScale="85" zoomScaleNormal="85" zoomScaleSheetLayoutView="85" workbookViewId="0">
      <selection activeCell="AI6" sqref="AI6"/>
    </sheetView>
  </sheetViews>
  <sheetFormatPr defaultRowHeight="12.75" x14ac:dyDescent="0.2"/>
  <cols>
    <col min="1" max="1" width="5.7109375" customWidth="1"/>
    <col min="2" max="2" width="32" customWidth="1"/>
    <col min="3" max="3" width="19.5703125" customWidth="1"/>
    <col min="4" max="4" width="22.7109375" customWidth="1"/>
    <col min="5" max="5" width="4.85546875" customWidth="1"/>
    <col min="6" max="6" width="5.85546875" customWidth="1"/>
    <col min="7" max="10" width="5.140625" customWidth="1"/>
    <col min="11" max="11" width="7.42578125" customWidth="1"/>
    <col min="12" max="12" width="5.140625" customWidth="1"/>
    <col min="13" max="13" width="6.85546875" customWidth="1"/>
    <col min="14" max="24" width="5.28515625" customWidth="1"/>
    <col min="25" max="25" width="5.140625" customWidth="1"/>
    <col min="26" max="28" width="5.85546875" customWidth="1"/>
    <col min="29" max="29" width="5" customWidth="1"/>
    <col min="30" max="30" width="1.42578125" customWidth="1"/>
    <col min="31" max="31" width="18.28515625" customWidth="1"/>
    <col min="32" max="32" width="17.5703125" customWidth="1"/>
    <col min="33" max="34" width="5.42578125" customWidth="1"/>
    <col min="35" max="35" width="4.7109375" customWidth="1"/>
  </cols>
  <sheetData>
    <row r="1" spans="1:34" ht="21.75" customHeight="1" x14ac:dyDescent="0.2">
      <c r="A1" s="438" t="s">
        <v>179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S1" s="438"/>
      <c r="T1" s="438"/>
      <c r="U1" s="438"/>
      <c r="V1" s="438"/>
      <c r="W1" s="438"/>
      <c r="X1" s="438"/>
      <c r="Y1" s="438"/>
      <c r="Z1" s="438"/>
      <c r="AA1" s="438"/>
      <c r="AB1" s="438"/>
      <c r="AC1" s="438"/>
      <c r="AD1" s="438"/>
      <c r="AE1" s="438"/>
      <c r="AF1" s="438"/>
      <c r="AG1" s="438"/>
    </row>
    <row r="2" spans="1:34" ht="22.5" customHeight="1" x14ac:dyDescent="0.2">
      <c r="A2" s="438" t="s">
        <v>61</v>
      </c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438"/>
      <c r="X2" s="438"/>
      <c r="Y2" s="438"/>
      <c r="Z2" s="438"/>
      <c r="AA2" s="438"/>
      <c r="AB2" s="438"/>
      <c r="AC2" s="438"/>
      <c r="AD2" s="438"/>
      <c r="AE2" s="438"/>
      <c r="AF2" s="438"/>
      <c r="AG2" s="438"/>
    </row>
    <row r="3" spans="1:34" s="41" customFormat="1" ht="21.75" customHeight="1" thickBot="1" x14ac:dyDescent="0.25">
      <c r="A3" s="391" t="s">
        <v>253</v>
      </c>
      <c r="D3" s="40"/>
      <c r="R3" s="392"/>
      <c r="S3" s="391"/>
    </row>
    <row r="4" spans="1:34" s="188" customFormat="1" ht="19.5" customHeight="1" thickBot="1" x14ac:dyDescent="0.25">
      <c r="A4" s="590" t="s">
        <v>0</v>
      </c>
      <c r="B4" s="590" t="s">
        <v>1</v>
      </c>
      <c r="C4" s="590" t="s">
        <v>62</v>
      </c>
      <c r="D4" s="590" t="s">
        <v>250</v>
      </c>
      <c r="E4" s="593" t="s">
        <v>181</v>
      </c>
      <c r="F4" s="593" t="s">
        <v>180</v>
      </c>
      <c r="G4" s="583" t="s">
        <v>182</v>
      </c>
      <c r="H4" s="584"/>
      <c r="I4" s="584"/>
      <c r="J4" s="584"/>
      <c r="K4" s="584"/>
      <c r="L4" s="584"/>
      <c r="M4" s="584"/>
      <c r="N4" s="585"/>
      <c r="O4" s="583" t="s">
        <v>183</v>
      </c>
      <c r="P4" s="584"/>
      <c r="Q4" s="584"/>
      <c r="R4" s="584"/>
      <c r="S4" s="584"/>
      <c r="T4" s="584"/>
      <c r="U4" s="584"/>
      <c r="V4" s="584"/>
      <c r="W4" s="584"/>
      <c r="X4" s="584"/>
      <c r="Y4" s="585"/>
      <c r="Z4" s="583" t="s">
        <v>184</v>
      </c>
      <c r="AA4" s="584"/>
      <c r="AB4" s="585"/>
      <c r="AC4" s="579" t="s">
        <v>120</v>
      </c>
      <c r="AE4" s="583" t="s">
        <v>185</v>
      </c>
      <c r="AF4" s="584"/>
      <c r="AG4" s="579" t="s">
        <v>121</v>
      </c>
      <c r="AH4" s="593" t="s">
        <v>2</v>
      </c>
    </row>
    <row r="5" spans="1:34" s="188" customFormat="1" ht="17.25" customHeight="1" thickBot="1" x14ac:dyDescent="0.25">
      <c r="A5" s="591"/>
      <c r="B5" s="591"/>
      <c r="C5" s="591"/>
      <c r="D5" s="591"/>
      <c r="E5" s="594"/>
      <c r="F5" s="596"/>
      <c r="G5" s="598" t="s">
        <v>186</v>
      </c>
      <c r="H5" s="600" t="s">
        <v>14</v>
      </c>
      <c r="I5" s="600" t="s">
        <v>187</v>
      </c>
      <c r="J5" s="600" t="s">
        <v>188</v>
      </c>
      <c r="K5" s="600" t="s">
        <v>189</v>
      </c>
      <c r="L5" s="600" t="s">
        <v>190</v>
      </c>
      <c r="M5" s="602" t="s">
        <v>191</v>
      </c>
      <c r="N5" s="581" t="s">
        <v>192</v>
      </c>
      <c r="O5" s="583" t="s">
        <v>6</v>
      </c>
      <c r="P5" s="584"/>
      <c r="Q5" s="584"/>
      <c r="R5" s="584"/>
      <c r="S5" s="585"/>
      <c r="T5" s="583" t="s">
        <v>7</v>
      </c>
      <c r="U5" s="584"/>
      <c r="V5" s="584"/>
      <c r="W5" s="584"/>
      <c r="X5" s="585"/>
      <c r="Y5" s="581" t="s">
        <v>192</v>
      </c>
      <c r="Z5" s="586" t="s">
        <v>4</v>
      </c>
      <c r="AA5" s="588" t="s">
        <v>5</v>
      </c>
      <c r="AB5" s="579" t="s">
        <v>3</v>
      </c>
      <c r="AC5" s="597"/>
      <c r="AE5" s="187" t="s">
        <v>6</v>
      </c>
      <c r="AF5" s="187" t="s">
        <v>7</v>
      </c>
      <c r="AG5" s="597"/>
      <c r="AH5" s="594"/>
    </row>
    <row r="6" spans="1:34" s="193" customFormat="1" ht="99" customHeight="1" x14ac:dyDescent="0.2">
      <c r="A6" s="591"/>
      <c r="B6" s="591"/>
      <c r="C6" s="591"/>
      <c r="D6" s="591"/>
      <c r="E6" s="594"/>
      <c r="F6" s="596"/>
      <c r="G6" s="599"/>
      <c r="H6" s="601"/>
      <c r="I6" s="601"/>
      <c r="J6" s="601"/>
      <c r="K6" s="601"/>
      <c r="L6" s="601"/>
      <c r="M6" s="603"/>
      <c r="N6" s="582"/>
      <c r="O6" s="190"/>
      <c r="P6" s="191"/>
      <c r="Q6" s="191"/>
      <c r="R6" s="191"/>
      <c r="S6" s="192"/>
      <c r="T6" s="189"/>
      <c r="U6" s="191"/>
      <c r="V6" s="191"/>
      <c r="W6" s="191"/>
      <c r="X6" s="192"/>
      <c r="Y6" s="582"/>
      <c r="Z6" s="587"/>
      <c r="AA6" s="589"/>
      <c r="AB6" s="580"/>
      <c r="AC6" s="580"/>
      <c r="AE6" s="239" t="s">
        <v>232</v>
      </c>
      <c r="AF6" s="239" t="s">
        <v>232</v>
      </c>
      <c r="AG6" s="580"/>
      <c r="AH6" s="653"/>
    </row>
    <row r="7" spans="1:34" s="203" customFormat="1" ht="16.5" customHeight="1" thickBot="1" x14ac:dyDescent="0.25">
      <c r="A7" s="592"/>
      <c r="B7" s="592"/>
      <c r="C7" s="592"/>
      <c r="D7" s="592"/>
      <c r="E7" s="595"/>
      <c r="F7" s="595"/>
      <c r="G7" s="194">
        <v>10</v>
      </c>
      <c r="H7" s="195">
        <v>10</v>
      </c>
      <c r="I7" s="195">
        <v>10</v>
      </c>
      <c r="J7" s="195">
        <v>10</v>
      </c>
      <c r="K7" s="195">
        <v>10</v>
      </c>
      <c r="L7" s="196">
        <v>20</v>
      </c>
      <c r="M7" s="196">
        <v>30</v>
      </c>
      <c r="N7" s="197">
        <v>100</v>
      </c>
      <c r="O7" s="198">
        <v>10</v>
      </c>
      <c r="P7" s="199">
        <v>10</v>
      </c>
      <c r="Q7" s="199">
        <v>10</v>
      </c>
      <c r="R7" s="199">
        <v>10</v>
      </c>
      <c r="S7" s="200">
        <v>10</v>
      </c>
      <c r="T7" s="198">
        <v>10</v>
      </c>
      <c r="U7" s="199">
        <v>10</v>
      </c>
      <c r="V7" s="199">
        <v>10</v>
      </c>
      <c r="W7" s="199">
        <v>10</v>
      </c>
      <c r="X7" s="200">
        <v>10</v>
      </c>
      <c r="Y7" s="197">
        <v>100</v>
      </c>
      <c r="Z7" s="201">
        <v>50</v>
      </c>
      <c r="AA7" s="202">
        <v>50</v>
      </c>
      <c r="AB7" s="197">
        <v>100</v>
      </c>
      <c r="AC7" s="197">
        <v>300</v>
      </c>
      <c r="AE7" s="201">
        <v>50</v>
      </c>
      <c r="AF7" s="201">
        <v>50</v>
      </c>
      <c r="AG7" s="197">
        <v>100</v>
      </c>
      <c r="AH7" s="197">
        <v>400</v>
      </c>
    </row>
    <row r="8" spans="1:34" s="1" customFormat="1" ht="29.25" customHeight="1" x14ac:dyDescent="0.2">
      <c r="A8" s="91">
        <v>1</v>
      </c>
      <c r="B8" s="103"/>
      <c r="C8" s="97"/>
      <c r="D8" s="97"/>
      <c r="E8" s="97"/>
      <c r="F8" s="97"/>
      <c r="G8" s="396"/>
      <c r="H8" s="397"/>
      <c r="I8" s="397"/>
      <c r="J8" s="397"/>
      <c r="K8" s="397"/>
      <c r="L8" s="397"/>
      <c r="M8" s="398"/>
      <c r="N8" s="399"/>
      <c r="O8" s="400"/>
      <c r="P8" s="397"/>
      <c r="Q8" s="397"/>
      <c r="R8" s="397"/>
      <c r="S8" s="398"/>
      <c r="T8" s="396"/>
      <c r="U8" s="397"/>
      <c r="V8" s="397"/>
      <c r="W8" s="397"/>
      <c r="X8" s="401"/>
      <c r="Y8" s="399"/>
      <c r="Z8" s="400"/>
      <c r="AA8" s="397"/>
      <c r="AB8" s="398"/>
      <c r="AC8" s="399"/>
      <c r="AE8" s="399"/>
      <c r="AF8" s="399"/>
      <c r="AG8" s="399"/>
      <c r="AH8" s="399"/>
    </row>
    <row r="9" spans="1:34" s="1" customFormat="1" ht="29.25" customHeight="1" x14ac:dyDescent="0.2">
      <c r="A9" s="95">
        <f>A8+1</f>
        <v>2</v>
      </c>
      <c r="B9" s="103"/>
      <c r="C9" s="97"/>
      <c r="D9" s="97"/>
      <c r="E9" s="97"/>
      <c r="F9" s="97"/>
      <c r="G9" s="402"/>
      <c r="H9" s="403"/>
      <c r="I9" s="403"/>
      <c r="J9" s="403"/>
      <c r="K9" s="403"/>
      <c r="L9" s="403"/>
      <c r="M9" s="404"/>
      <c r="N9" s="293"/>
      <c r="O9" s="405"/>
      <c r="P9" s="403"/>
      <c r="Q9" s="403"/>
      <c r="R9" s="403"/>
      <c r="S9" s="404"/>
      <c r="T9" s="402"/>
      <c r="U9" s="403"/>
      <c r="V9" s="403"/>
      <c r="W9" s="403"/>
      <c r="X9" s="406"/>
      <c r="Y9" s="293"/>
      <c r="Z9" s="405"/>
      <c r="AA9" s="403"/>
      <c r="AB9" s="404"/>
      <c r="AC9" s="293"/>
      <c r="AE9" s="293"/>
      <c r="AF9" s="293"/>
      <c r="AG9" s="293"/>
      <c r="AH9" s="293"/>
    </row>
    <row r="10" spans="1:34" s="1" customFormat="1" ht="29.25" customHeight="1" x14ac:dyDescent="0.2">
      <c r="A10" s="95">
        <f t="shared" ref="A10:A17" si="0">A9+1</f>
        <v>3</v>
      </c>
      <c r="B10" s="103"/>
      <c r="C10" s="97"/>
      <c r="D10" s="97"/>
      <c r="E10" s="97"/>
      <c r="F10" s="97"/>
      <c r="G10" s="402"/>
      <c r="H10" s="403"/>
      <c r="I10" s="403"/>
      <c r="J10" s="403"/>
      <c r="K10" s="403"/>
      <c r="L10" s="403"/>
      <c r="M10" s="404"/>
      <c r="N10" s="293"/>
      <c r="O10" s="405"/>
      <c r="P10" s="403"/>
      <c r="Q10" s="403"/>
      <c r="R10" s="403"/>
      <c r="S10" s="404"/>
      <c r="T10" s="402"/>
      <c r="U10" s="403"/>
      <c r="V10" s="403"/>
      <c r="W10" s="403"/>
      <c r="X10" s="406"/>
      <c r="Y10" s="293"/>
      <c r="Z10" s="405"/>
      <c r="AA10" s="403"/>
      <c r="AB10" s="404"/>
      <c r="AC10" s="293"/>
      <c r="AE10" s="293"/>
      <c r="AF10" s="293"/>
      <c r="AG10" s="293"/>
      <c r="AH10" s="293"/>
    </row>
    <row r="11" spans="1:34" s="1" customFormat="1" ht="29.25" customHeight="1" x14ac:dyDescent="0.2">
      <c r="A11" s="95">
        <f t="shared" si="0"/>
        <v>4</v>
      </c>
      <c r="B11" s="103"/>
      <c r="C11" s="97"/>
      <c r="D11" s="97"/>
      <c r="E11" s="97"/>
      <c r="F11" s="97"/>
      <c r="G11" s="402"/>
      <c r="H11" s="403"/>
      <c r="I11" s="403"/>
      <c r="J11" s="403"/>
      <c r="K11" s="403"/>
      <c r="L11" s="403"/>
      <c r="M11" s="404"/>
      <c r="N11" s="293"/>
      <c r="O11" s="405"/>
      <c r="P11" s="403"/>
      <c r="Q11" s="403"/>
      <c r="R11" s="403"/>
      <c r="S11" s="404"/>
      <c r="T11" s="402"/>
      <c r="U11" s="403"/>
      <c r="V11" s="403"/>
      <c r="W11" s="403"/>
      <c r="X11" s="406"/>
      <c r="Y11" s="293"/>
      <c r="Z11" s="405"/>
      <c r="AA11" s="403"/>
      <c r="AB11" s="404"/>
      <c r="AC11" s="293"/>
      <c r="AE11" s="293"/>
      <c r="AF11" s="293"/>
      <c r="AG11" s="293"/>
      <c r="AH11" s="293"/>
    </row>
    <row r="12" spans="1:34" s="1" customFormat="1" ht="29.25" customHeight="1" x14ac:dyDescent="0.2">
      <c r="A12" s="95">
        <f t="shared" si="0"/>
        <v>5</v>
      </c>
      <c r="B12" s="103"/>
      <c r="C12" s="97"/>
      <c r="D12" s="97"/>
      <c r="E12" s="97"/>
      <c r="F12" s="97"/>
      <c r="G12" s="402"/>
      <c r="H12" s="403"/>
      <c r="I12" s="403"/>
      <c r="J12" s="403"/>
      <c r="K12" s="403"/>
      <c r="L12" s="403"/>
      <c r="M12" s="404"/>
      <c r="N12" s="293"/>
      <c r="O12" s="405"/>
      <c r="P12" s="403"/>
      <c r="Q12" s="403"/>
      <c r="R12" s="403"/>
      <c r="S12" s="404"/>
      <c r="T12" s="402"/>
      <c r="U12" s="403"/>
      <c r="V12" s="403"/>
      <c r="W12" s="403"/>
      <c r="X12" s="406"/>
      <c r="Y12" s="293"/>
      <c r="Z12" s="405"/>
      <c r="AA12" s="403"/>
      <c r="AB12" s="404"/>
      <c r="AC12" s="293"/>
      <c r="AE12" s="293"/>
      <c r="AF12" s="293"/>
      <c r="AG12" s="293"/>
      <c r="AH12" s="293"/>
    </row>
    <row r="13" spans="1:34" s="1" customFormat="1" ht="29.25" customHeight="1" x14ac:dyDescent="0.2">
      <c r="A13" s="95">
        <f t="shared" si="0"/>
        <v>6</v>
      </c>
      <c r="B13" s="103"/>
      <c r="C13" s="97"/>
      <c r="D13" s="97"/>
      <c r="E13" s="97"/>
      <c r="F13" s="97"/>
      <c r="G13" s="402"/>
      <c r="H13" s="403"/>
      <c r="I13" s="403"/>
      <c r="J13" s="403"/>
      <c r="K13" s="403"/>
      <c r="L13" s="403"/>
      <c r="M13" s="404"/>
      <c r="N13" s="293"/>
      <c r="O13" s="405"/>
      <c r="P13" s="403"/>
      <c r="Q13" s="403"/>
      <c r="R13" s="403"/>
      <c r="S13" s="404"/>
      <c r="T13" s="402"/>
      <c r="U13" s="403"/>
      <c r="V13" s="403"/>
      <c r="W13" s="403"/>
      <c r="X13" s="406"/>
      <c r="Y13" s="293"/>
      <c r="Z13" s="405"/>
      <c r="AA13" s="403"/>
      <c r="AB13" s="404"/>
      <c r="AC13" s="293"/>
      <c r="AE13" s="293"/>
      <c r="AF13" s="293"/>
      <c r="AG13" s="293"/>
      <c r="AH13" s="293"/>
    </row>
    <row r="14" spans="1:34" s="1" customFormat="1" ht="29.25" customHeight="1" x14ac:dyDescent="0.2">
      <c r="A14" s="95">
        <f t="shared" si="0"/>
        <v>7</v>
      </c>
      <c r="B14" s="103"/>
      <c r="C14" s="97"/>
      <c r="D14" s="97"/>
      <c r="E14" s="97"/>
      <c r="F14" s="97"/>
      <c r="G14" s="402"/>
      <c r="H14" s="403"/>
      <c r="I14" s="403"/>
      <c r="J14" s="403"/>
      <c r="K14" s="403"/>
      <c r="L14" s="403"/>
      <c r="M14" s="404"/>
      <c r="N14" s="293"/>
      <c r="O14" s="405"/>
      <c r="P14" s="403"/>
      <c r="Q14" s="403"/>
      <c r="R14" s="403"/>
      <c r="S14" s="404"/>
      <c r="T14" s="402"/>
      <c r="U14" s="403"/>
      <c r="V14" s="403"/>
      <c r="W14" s="403"/>
      <c r="X14" s="406"/>
      <c r="Y14" s="293"/>
      <c r="Z14" s="405"/>
      <c r="AA14" s="403"/>
      <c r="AB14" s="404"/>
      <c r="AC14" s="293"/>
      <c r="AE14" s="293"/>
      <c r="AF14" s="293"/>
      <c r="AG14" s="293"/>
      <c r="AH14" s="293"/>
    </row>
    <row r="15" spans="1:34" s="1" customFormat="1" ht="29.25" customHeight="1" x14ac:dyDescent="0.2">
      <c r="A15" s="95">
        <f t="shared" si="0"/>
        <v>8</v>
      </c>
      <c r="B15" s="103"/>
      <c r="C15" s="97"/>
      <c r="D15" s="97"/>
      <c r="E15" s="97"/>
      <c r="F15" s="97"/>
      <c r="G15" s="402"/>
      <c r="H15" s="403"/>
      <c r="I15" s="403"/>
      <c r="J15" s="403"/>
      <c r="K15" s="403"/>
      <c r="L15" s="403"/>
      <c r="M15" s="404"/>
      <c r="N15" s="293"/>
      <c r="O15" s="405"/>
      <c r="P15" s="403"/>
      <c r="Q15" s="403"/>
      <c r="R15" s="403"/>
      <c r="S15" s="404"/>
      <c r="T15" s="402"/>
      <c r="U15" s="403"/>
      <c r="V15" s="403"/>
      <c r="W15" s="403"/>
      <c r="X15" s="406"/>
      <c r="Y15" s="293"/>
      <c r="Z15" s="405"/>
      <c r="AA15" s="403"/>
      <c r="AB15" s="404"/>
      <c r="AC15" s="293"/>
      <c r="AE15" s="293"/>
      <c r="AF15" s="293"/>
      <c r="AG15" s="293"/>
      <c r="AH15" s="293"/>
    </row>
    <row r="16" spans="1:34" s="1" customFormat="1" ht="29.25" customHeight="1" x14ac:dyDescent="0.2">
      <c r="A16" s="95">
        <f t="shared" si="0"/>
        <v>9</v>
      </c>
      <c r="B16" s="103"/>
      <c r="C16" s="97"/>
      <c r="D16" s="97"/>
      <c r="E16" s="97"/>
      <c r="F16" s="97"/>
      <c r="G16" s="402"/>
      <c r="H16" s="403"/>
      <c r="I16" s="403"/>
      <c r="J16" s="403"/>
      <c r="K16" s="403"/>
      <c r="L16" s="403"/>
      <c r="M16" s="404"/>
      <c r="N16" s="293"/>
      <c r="O16" s="405"/>
      <c r="P16" s="403"/>
      <c r="Q16" s="403"/>
      <c r="R16" s="403"/>
      <c r="S16" s="404"/>
      <c r="T16" s="402"/>
      <c r="U16" s="403"/>
      <c r="V16" s="403"/>
      <c r="W16" s="403"/>
      <c r="X16" s="406"/>
      <c r="Y16" s="293"/>
      <c r="Z16" s="405"/>
      <c r="AA16" s="403"/>
      <c r="AB16" s="404"/>
      <c r="AC16" s="293"/>
      <c r="AE16" s="293"/>
      <c r="AF16" s="293"/>
      <c r="AG16" s="293"/>
      <c r="AH16" s="293"/>
    </row>
    <row r="17" spans="1:45" s="1" customFormat="1" ht="29.25" customHeight="1" thickBot="1" x14ac:dyDescent="0.25">
      <c r="A17" s="95">
        <f t="shared" si="0"/>
        <v>10</v>
      </c>
      <c r="B17" s="103"/>
      <c r="C17" s="97"/>
      <c r="D17" s="97"/>
      <c r="E17" s="97"/>
      <c r="F17" s="97"/>
      <c r="G17" s="407"/>
      <c r="H17" s="408"/>
      <c r="I17" s="408"/>
      <c r="J17" s="408"/>
      <c r="K17" s="408"/>
      <c r="L17" s="408"/>
      <c r="M17" s="409"/>
      <c r="N17" s="410"/>
      <c r="O17" s="411"/>
      <c r="P17" s="408"/>
      <c r="Q17" s="408"/>
      <c r="R17" s="408"/>
      <c r="S17" s="409"/>
      <c r="T17" s="407"/>
      <c r="U17" s="408"/>
      <c r="V17" s="408"/>
      <c r="W17" s="408"/>
      <c r="X17" s="412"/>
      <c r="Y17" s="410"/>
      <c r="Z17" s="411"/>
      <c r="AA17" s="408"/>
      <c r="AB17" s="409"/>
      <c r="AC17" s="410"/>
      <c r="AE17" s="410"/>
      <c r="AF17" s="410"/>
      <c r="AG17" s="410"/>
      <c r="AH17" s="410"/>
    </row>
    <row r="18" spans="1:45" s="18" customFormat="1" ht="18.75" customHeight="1" x14ac:dyDescent="0.25">
      <c r="A18" s="204" t="s">
        <v>193</v>
      </c>
      <c r="B18" s="205"/>
      <c r="C18" s="205"/>
      <c r="D18" s="206"/>
      <c r="E18" s="207">
        <v>5</v>
      </c>
      <c r="F18" s="208" t="s">
        <v>194</v>
      </c>
      <c r="G18" s="206"/>
      <c r="H18" s="206"/>
      <c r="I18" s="206"/>
      <c r="J18" s="206"/>
      <c r="K18" s="206"/>
      <c r="L18" s="206"/>
      <c r="M18" s="206"/>
      <c r="N18" s="206"/>
      <c r="O18" s="209" t="s">
        <v>195</v>
      </c>
      <c r="P18" s="210"/>
      <c r="Q18" s="206"/>
      <c r="R18" s="206"/>
      <c r="S18" s="206"/>
      <c r="T18" s="206"/>
      <c r="U18" s="206"/>
      <c r="V18" s="206"/>
      <c r="W18" s="206"/>
      <c r="X18" s="206"/>
      <c r="Y18" s="206"/>
      <c r="Z18" s="206"/>
      <c r="AA18" s="206"/>
      <c r="AB18" s="206"/>
      <c r="AC18" s="211"/>
      <c r="AD18" s="206"/>
      <c r="AE18" s="204" t="s">
        <v>302</v>
      </c>
      <c r="AF18" s="206"/>
      <c r="AG18" s="206"/>
      <c r="AH18" s="211"/>
    </row>
    <row r="19" spans="1:45" s="18" customFormat="1" ht="15" customHeight="1" x14ac:dyDescent="0.2">
      <c r="A19" s="212">
        <v>1</v>
      </c>
      <c r="B19" s="213" t="s">
        <v>196</v>
      </c>
      <c r="C19" s="213"/>
      <c r="E19" s="214"/>
      <c r="F19" s="215" t="s">
        <v>197</v>
      </c>
      <c r="O19" s="216">
        <v>1</v>
      </c>
      <c r="P19" s="17" t="s">
        <v>198</v>
      </c>
      <c r="Q19" s="17"/>
      <c r="R19" s="17"/>
      <c r="S19" s="17"/>
      <c r="T19" s="17"/>
      <c r="AC19" s="217"/>
      <c r="AE19" s="218" t="s">
        <v>50</v>
      </c>
      <c r="AF19" s="651"/>
      <c r="AG19" s="651"/>
      <c r="AH19" s="217"/>
    </row>
    <row r="20" spans="1:45" s="18" customFormat="1" ht="15" customHeight="1" x14ac:dyDescent="0.25">
      <c r="A20" s="219"/>
      <c r="B20" s="215" t="s">
        <v>199</v>
      </c>
      <c r="C20" s="215"/>
      <c r="E20" s="220">
        <v>6</v>
      </c>
      <c r="F20" s="213" t="s">
        <v>200</v>
      </c>
      <c r="O20" s="172"/>
      <c r="P20" s="17" t="s">
        <v>201</v>
      </c>
      <c r="Q20" s="17"/>
      <c r="R20" s="17"/>
      <c r="S20" s="17"/>
      <c r="T20" s="17"/>
      <c r="AC20" s="217"/>
      <c r="AE20" s="221" t="s">
        <v>202</v>
      </c>
      <c r="AF20" s="651"/>
      <c r="AG20" s="651"/>
      <c r="AH20" s="217"/>
    </row>
    <row r="21" spans="1:45" s="18" customFormat="1" ht="15" customHeight="1" x14ac:dyDescent="0.2">
      <c r="A21" s="219"/>
      <c r="B21" s="215" t="s">
        <v>203</v>
      </c>
      <c r="C21" s="215"/>
      <c r="E21" s="214"/>
      <c r="F21" s="215" t="s">
        <v>204</v>
      </c>
      <c r="O21" s="216">
        <v>2</v>
      </c>
      <c r="P21" s="17" t="s">
        <v>205</v>
      </c>
      <c r="Q21" s="17"/>
      <c r="R21" s="17"/>
      <c r="S21" s="17"/>
      <c r="T21" s="17"/>
      <c r="AC21" s="217"/>
      <c r="AE21" s="86" t="s">
        <v>206</v>
      </c>
      <c r="AF21" s="651"/>
      <c r="AG21" s="651"/>
      <c r="AH21" s="217"/>
    </row>
    <row r="22" spans="1:45" s="18" customFormat="1" ht="15" customHeight="1" x14ac:dyDescent="0.2">
      <c r="A22" s="212">
        <v>2</v>
      </c>
      <c r="B22" s="213" t="s">
        <v>207</v>
      </c>
      <c r="C22" s="213"/>
      <c r="E22" s="214"/>
      <c r="F22" s="213" t="s">
        <v>208</v>
      </c>
      <c r="O22" s="172"/>
      <c r="P22" s="17" t="s">
        <v>209</v>
      </c>
      <c r="Q22" s="78"/>
      <c r="R22" s="17"/>
      <c r="S22" s="17"/>
      <c r="T22" s="17"/>
      <c r="V22" s="222"/>
      <c r="Z22" s="222"/>
      <c r="AA22" s="223"/>
      <c r="AC22" s="217"/>
      <c r="AE22" s="86" t="s">
        <v>210</v>
      </c>
      <c r="AF22" s="651"/>
      <c r="AG22" s="651"/>
      <c r="AH22" s="217"/>
    </row>
    <row r="23" spans="1:45" s="18" customFormat="1" ht="15" customHeight="1" x14ac:dyDescent="0.25">
      <c r="A23" s="212">
        <v>3</v>
      </c>
      <c r="B23" s="213" t="s">
        <v>211</v>
      </c>
      <c r="C23" s="213"/>
      <c r="E23" s="220">
        <v>7</v>
      </c>
      <c r="F23" s="213" t="s">
        <v>212</v>
      </c>
      <c r="O23" s="216">
        <v>3</v>
      </c>
      <c r="P23" s="17" t="s">
        <v>213</v>
      </c>
      <c r="Q23" s="78"/>
      <c r="R23" s="17"/>
      <c r="S23" s="17"/>
      <c r="T23" s="17"/>
      <c r="V23" s="222"/>
      <c r="Z23" s="222"/>
      <c r="AA23" s="223"/>
      <c r="AC23" s="217"/>
      <c r="AE23" s="221" t="s">
        <v>214</v>
      </c>
      <c r="AF23" s="652"/>
      <c r="AG23" s="652"/>
      <c r="AH23" s="217"/>
    </row>
    <row r="24" spans="1:45" s="18" customFormat="1" ht="15" customHeight="1" x14ac:dyDescent="0.2">
      <c r="A24" s="219"/>
      <c r="B24" s="215" t="s">
        <v>215</v>
      </c>
      <c r="C24" s="215"/>
      <c r="E24" s="214"/>
      <c r="F24" s="213" t="s">
        <v>216</v>
      </c>
      <c r="O24" s="216">
        <v>4</v>
      </c>
      <c r="P24" s="17" t="s">
        <v>217</v>
      </c>
      <c r="Q24" s="78"/>
      <c r="R24" s="17"/>
      <c r="S24" s="17"/>
      <c r="T24" s="17"/>
      <c r="V24" s="222"/>
      <c r="Z24" s="222"/>
      <c r="AA24" s="223"/>
      <c r="AC24" s="217"/>
      <c r="AE24" s="86" t="s">
        <v>218</v>
      </c>
      <c r="AF24" s="651"/>
      <c r="AG24" s="651"/>
      <c r="AH24" s="217"/>
    </row>
    <row r="25" spans="1:45" s="18" customFormat="1" ht="15" customHeight="1" x14ac:dyDescent="0.2">
      <c r="A25" s="212">
        <v>4</v>
      </c>
      <c r="B25" s="213" t="s">
        <v>219</v>
      </c>
      <c r="C25" s="213"/>
      <c r="E25" s="214"/>
      <c r="O25" s="216">
        <v>5</v>
      </c>
      <c r="P25" s="17" t="s">
        <v>171</v>
      </c>
      <c r="Q25" s="78"/>
      <c r="R25" s="17"/>
      <c r="S25" s="17"/>
      <c r="T25" s="17"/>
      <c r="V25" s="222"/>
      <c r="Z25" s="222"/>
      <c r="AA25" s="223"/>
      <c r="AC25" s="217"/>
      <c r="AE25" s="86" t="s">
        <v>220</v>
      </c>
      <c r="AF25" s="651"/>
      <c r="AG25" s="651"/>
      <c r="AH25" s="217"/>
    </row>
    <row r="26" spans="1:45" s="18" customFormat="1" ht="15" customHeight="1" x14ac:dyDescent="0.3">
      <c r="A26" s="225"/>
      <c r="B26" s="215" t="s">
        <v>221</v>
      </c>
      <c r="C26" s="215"/>
      <c r="E26" s="226" t="s">
        <v>222</v>
      </c>
      <c r="F26" s="227"/>
      <c r="O26" s="216">
        <v>6</v>
      </c>
      <c r="P26" s="17" t="s">
        <v>223</v>
      </c>
      <c r="Q26" s="78"/>
      <c r="R26" s="17"/>
      <c r="S26" s="17"/>
      <c r="T26" s="17"/>
      <c r="V26" s="222"/>
      <c r="Z26" s="222"/>
      <c r="AA26" s="223"/>
      <c r="AC26" s="217"/>
      <c r="AE26" s="86" t="s">
        <v>224</v>
      </c>
      <c r="AF26" s="651"/>
      <c r="AG26" s="651"/>
      <c r="AH26" s="217"/>
    </row>
    <row r="27" spans="1:45" s="18" customFormat="1" ht="18" customHeight="1" x14ac:dyDescent="0.2">
      <c r="A27" s="225"/>
      <c r="B27" s="215" t="s">
        <v>225</v>
      </c>
      <c r="C27" s="215"/>
      <c r="E27" s="172" t="s">
        <v>226</v>
      </c>
      <c r="O27" s="228" t="s">
        <v>227</v>
      </c>
      <c r="Q27" s="223"/>
      <c r="V27" s="222"/>
      <c r="Z27" s="222"/>
      <c r="AA27" s="223"/>
      <c r="AC27" s="217"/>
      <c r="AE27" s="86" t="s">
        <v>228</v>
      </c>
      <c r="AF27" s="651"/>
      <c r="AG27" s="651"/>
      <c r="AH27" s="217"/>
    </row>
    <row r="28" spans="1:45" s="156" customFormat="1" ht="17.25" customHeight="1" thickBot="1" x14ac:dyDescent="0.25">
      <c r="A28" s="229"/>
      <c r="B28" s="230"/>
      <c r="C28" s="230"/>
      <c r="D28" s="231"/>
      <c r="E28" s="232"/>
      <c r="F28" s="231"/>
      <c r="G28" s="231"/>
      <c r="H28" s="231"/>
      <c r="I28" s="231"/>
      <c r="J28" s="231"/>
      <c r="K28" s="231"/>
      <c r="L28" s="231"/>
      <c r="M28" s="231"/>
      <c r="N28" s="233"/>
      <c r="O28" s="234" t="s">
        <v>229</v>
      </c>
      <c r="P28" s="231"/>
      <c r="Q28" s="231"/>
      <c r="R28" s="231"/>
      <c r="S28" s="231"/>
      <c r="T28" s="231"/>
      <c r="U28" s="231"/>
      <c r="V28" s="231"/>
      <c r="W28" s="231"/>
      <c r="X28" s="231"/>
      <c r="Y28" s="231"/>
      <c r="Z28" s="233"/>
      <c r="AA28" s="235"/>
      <c r="AB28" s="231"/>
      <c r="AC28" s="236"/>
      <c r="AD28" s="231"/>
      <c r="AE28" s="237" t="s">
        <v>230</v>
      </c>
      <c r="AF28" s="231"/>
      <c r="AG28" s="231"/>
      <c r="AH28" s="236"/>
    </row>
    <row r="29" spans="1:45" s="133" customFormat="1" ht="18" customHeight="1" x14ac:dyDescent="0.2">
      <c r="A29" s="238" t="s">
        <v>119</v>
      </c>
      <c r="B29" s="145"/>
      <c r="C29" s="145"/>
      <c r="D29" s="146"/>
      <c r="J29" s="147"/>
      <c r="V29" s="147"/>
      <c r="W29" s="148"/>
    </row>
    <row r="30" spans="1:45" s="18" customFormat="1" ht="15" customHeight="1" x14ac:dyDescent="0.2">
      <c r="A30" s="238" t="s">
        <v>122</v>
      </c>
      <c r="D30" s="19"/>
      <c r="AI30" s="19"/>
      <c r="AJ30" s="19"/>
      <c r="AR30" s="19"/>
      <c r="AS30" s="19"/>
    </row>
    <row r="32" spans="1:45" s="88" customFormat="1" ht="15" x14ac:dyDescent="0.25">
      <c r="B32" s="88" t="s">
        <v>53</v>
      </c>
      <c r="D32" s="89"/>
      <c r="E32" s="88" t="s">
        <v>54</v>
      </c>
      <c r="T32" s="88" t="s">
        <v>55</v>
      </c>
      <c r="AI32" s="89"/>
      <c r="AJ32" s="89"/>
      <c r="AR32" s="89"/>
      <c r="AS32" s="89"/>
    </row>
    <row r="33" spans="1:45" s="18" customFormat="1" ht="21.75" customHeight="1" x14ac:dyDescent="0.2">
      <c r="D33" s="19"/>
      <c r="AI33" s="19"/>
      <c r="AJ33" s="19"/>
      <c r="AR33" s="19"/>
      <c r="AS33" s="19"/>
    </row>
    <row r="34" spans="1:45" s="18" customFormat="1" ht="15.75" customHeight="1" x14ac:dyDescent="0.2">
      <c r="D34" s="19"/>
      <c r="AI34" s="19"/>
      <c r="AJ34" s="19"/>
      <c r="AR34" s="19"/>
      <c r="AS34" s="19"/>
    </row>
    <row r="35" spans="1:45" s="18" customFormat="1" ht="17.25" customHeight="1" x14ac:dyDescent="0.2">
      <c r="B35" s="90"/>
      <c r="D35" s="19"/>
      <c r="E35" s="90"/>
      <c r="F35" s="90"/>
      <c r="G35" s="90"/>
      <c r="H35" s="90"/>
      <c r="I35" s="90"/>
      <c r="J35" s="90"/>
      <c r="K35" s="90"/>
      <c r="L35" s="90"/>
      <c r="T35" s="90"/>
      <c r="U35" s="90"/>
      <c r="V35" s="90"/>
      <c r="W35" s="90"/>
      <c r="X35" s="90"/>
      <c r="Y35" s="90"/>
      <c r="Z35" s="90"/>
      <c r="AA35" s="90"/>
      <c r="AI35" s="19"/>
      <c r="AJ35" s="19"/>
      <c r="AR35" s="19"/>
      <c r="AS35" s="19"/>
    </row>
    <row r="36" spans="1:45" s="18" customFormat="1" ht="18" customHeight="1" x14ac:dyDescent="0.2">
      <c r="B36" s="18" t="s">
        <v>56</v>
      </c>
      <c r="D36" s="19"/>
      <c r="E36" s="18" t="s">
        <v>56</v>
      </c>
      <c r="T36" s="18" t="s">
        <v>57</v>
      </c>
      <c r="AI36" s="19"/>
      <c r="AJ36" s="19"/>
      <c r="AR36" s="19"/>
      <c r="AS36" s="19"/>
    </row>
    <row r="37" spans="1:45" s="18" customFormat="1" ht="15.75" customHeight="1" x14ac:dyDescent="0.2">
      <c r="B37" s="18" t="s">
        <v>58</v>
      </c>
      <c r="D37" s="19"/>
      <c r="E37" s="18" t="s">
        <v>59</v>
      </c>
      <c r="T37" s="18" t="s">
        <v>58</v>
      </c>
      <c r="AI37" s="19"/>
      <c r="AJ37" s="19"/>
      <c r="AR37" s="19"/>
      <c r="AS37" s="19"/>
    </row>
    <row r="38" spans="1:45" s="18" customFormat="1" ht="6" customHeight="1" thickBot="1" x14ac:dyDescent="0.25">
      <c r="C38" s="19"/>
      <c r="P38" s="18" t="s">
        <v>231</v>
      </c>
      <c r="AI38" s="19"/>
      <c r="AJ38" s="19"/>
    </row>
    <row r="39" spans="1:45" s="1" customFormat="1" ht="29.25" customHeight="1" x14ac:dyDescent="0.2">
      <c r="A39" s="294">
        <v>11</v>
      </c>
      <c r="B39" s="295"/>
      <c r="C39" s="93"/>
      <c r="D39" s="93"/>
      <c r="E39" s="93"/>
      <c r="F39" s="93"/>
      <c r="G39" s="396"/>
      <c r="H39" s="397"/>
      <c r="I39" s="397"/>
      <c r="J39" s="397"/>
      <c r="K39" s="397"/>
      <c r="L39" s="397"/>
      <c r="M39" s="398"/>
      <c r="N39" s="399"/>
      <c r="O39" s="400"/>
      <c r="P39" s="397"/>
      <c r="Q39" s="397"/>
      <c r="R39" s="397"/>
      <c r="S39" s="398"/>
      <c r="T39" s="396"/>
      <c r="U39" s="397"/>
      <c r="V39" s="397"/>
      <c r="W39" s="397"/>
      <c r="X39" s="401"/>
      <c r="Y39" s="399"/>
      <c r="Z39" s="400"/>
      <c r="AA39" s="397"/>
      <c r="AB39" s="398"/>
      <c r="AC39" s="399"/>
      <c r="AE39" s="399"/>
      <c r="AF39" s="399"/>
      <c r="AG39" s="399"/>
      <c r="AH39" s="399"/>
    </row>
    <row r="40" spans="1:45" s="1" customFormat="1" ht="29.25" customHeight="1" x14ac:dyDescent="0.2">
      <c r="A40" s="95">
        <f>A39+1</f>
        <v>12</v>
      </c>
      <c r="B40" s="103"/>
      <c r="C40" s="97"/>
      <c r="D40" s="97"/>
      <c r="E40" s="97"/>
      <c r="F40" s="97"/>
      <c r="G40" s="402"/>
      <c r="H40" s="403"/>
      <c r="I40" s="403"/>
      <c r="J40" s="403"/>
      <c r="K40" s="403"/>
      <c r="L40" s="403"/>
      <c r="M40" s="404"/>
      <c r="N40" s="293"/>
      <c r="O40" s="405"/>
      <c r="P40" s="403"/>
      <c r="Q40" s="403"/>
      <c r="R40" s="403"/>
      <c r="S40" s="404"/>
      <c r="T40" s="402"/>
      <c r="U40" s="403"/>
      <c r="V40" s="403"/>
      <c r="W40" s="403"/>
      <c r="X40" s="406"/>
      <c r="Y40" s="293"/>
      <c r="Z40" s="405"/>
      <c r="AA40" s="403"/>
      <c r="AB40" s="404"/>
      <c r="AC40" s="293"/>
      <c r="AE40" s="293"/>
      <c r="AF40" s="293"/>
      <c r="AG40" s="293"/>
      <c r="AH40" s="293"/>
    </row>
    <row r="41" spans="1:45" s="1" customFormat="1" ht="29.25" customHeight="1" x14ac:dyDescent="0.2">
      <c r="A41" s="95">
        <f>A40+1</f>
        <v>13</v>
      </c>
      <c r="B41" s="103"/>
      <c r="C41" s="97"/>
      <c r="D41" s="97"/>
      <c r="E41" s="97"/>
      <c r="F41" s="97"/>
      <c r="G41" s="402"/>
      <c r="H41" s="403"/>
      <c r="I41" s="403"/>
      <c r="J41" s="403"/>
      <c r="K41" s="403"/>
      <c r="L41" s="403"/>
      <c r="M41" s="404"/>
      <c r="N41" s="293"/>
      <c r="O41" s="405"/>
      <c r="P41" s="403"/>
      <c r="Q41" s="403"/>
      <c r="R41" s="403"/>
      <c r="S41" s="404"/>
      <c r="T41" s="402"/>
      <c r="U41" s="403"/>
      <c r="V41" s="403"/>
      <c r="W41" s="403"/>
      <c r="X41" s="406"/>
      <c r="Y41" s="293"/>
      <c r="Z41" s="405"/>
      <c r="AA41" s="403"/>
      <c r="AB41" s="404"/>
      <c r="AC41" s="293"/>
      <c r="AE41" s="293"/>
      <c r="AF41" s="293"/>
      <c r="AG41" s="293"/>
      <c r="AH41" s="293"/>
    </row>
    <row r="42" spans="1:45" s="1" customFormat="1" ht="29.25" customHeight="1" x14ac:dyDescent="0.2">
      <c r="A42" s="95">
        <f>A41+1</f>
        <v>14</v>
      </c>
      <c r="B42" s="103"/>
      <c r="C42" s="97"/>
      <c r="D42" s="97"/>
      <c r="E42" s="97"/>
      <c r="F42" s="97"/>
      <c r="G42" s="402"/>
      <c r="H42" s="403"/>
      <c r="I42" s="403"/>
      <c r="J42" s="403"/>
      <c r="K42" s="403"/>
      <c r="L42" s="403"/>
      <c r="M42" s="404"/>
      <c r="N42" s="293"/>
      <c r="O42" s="405"/>
      <c r="P42" s="403"/>
      <c r="Q42" s="403"/>
      <c r="R42" s="403"/>
      <c r="S42" s="404"/>
      <c r="T42" s="402"/>
      <c r="U42" s="403"/>
      <c r="V42" s="403"/>
      <c r="W42" s="403"/>
      <c r="X42" s="406"/>
      <c r="Y42" s="293"/>
      <c r="Z42" s="405"/>
      <c r="AA42" s="403"/>
      <c r="AB42" s="404"/>
      <c r="AC42" s="293"/>
      <c r="AE42" s="293"/>
      <c r="AF42" s="293"/>
      <c r="AG42" s="293"/>
      <c r="AH42" s="293"/>
    </row>
    <row r="43" spans="1:45" s="1" customFormat="1" ht="29.25" customHeight="1" x14ac:dyDescent="0.2">
      <c r="A43" s="95">
        <f>A42+1</f>
        <v>15</v>
      </c>
      <c r="B43" s="103"/>
      <c r="C43" s="97"/>
      <c r="D43" s="97"/>
      <c r="E43" s="97"/>
      <c r="F43" s="97"/>
      <c r="G43" s="402"/>
      <c r="H43" s="403"/>
      <c r="I43" s="403"/>
      <c r="J43" s="403"/>
      <c r="K43" s="403"/>
      <c r="L43" s="403"/>
      <c r="M43" s="404"/>
      <c r="N43" s="293"/>
      <c r="O43" s="405"/>
      <c r="P43" s="403"/>
      <c r="Q43" s="403"/>
      <c r="R43" s="403"/>
      <c r="S43" s="404"/>
      <c r="T43" s="402"/>
      <c r="U43" s="403"/>
      <c r="V43" s="403"/>
      <c r="W43" s="403"/>
      <c r="X43" s="406"/>
      <c r="Y43" s="293"/>
      <c r="Z43" s="405"/>
      <c r="AA43" s="403"/>
      <c r="AB43" s="404"/>
      <c r="AC43" s="293"/>
      <c r="AE43" s="293"/>
      <c r="AF43" s="293"/>
      <c r="AG43" s="293"/>
      <c r="AH43" s="293"/>
    </row>
    <row r="44" spans="1:45" s="1" customFormat="1" ht="29.25" customHeight="1" x14ac:dyDescent="0.2">
      <c r="A44" s="95">
        <f t="shared" ref="A44:A47" si="1">A43+1</f>
        <v>16</v>
      </c>
      <c r="B44" s="103"/>
      <c r="C44" s="97"/>
      <c r="D44" s="97"/>
      <c r="E44" s="97"/>
      <c r="F44" s="97"/>
      <c r="G44" s="402"/>
      <c r="H44" s="403"/>
      <c r="I44" s="403"/>
      <c r="J44" s="403"/>
      <c r="K44" s="403"/>
      <c r="L44" s="403"/>
      <c r="M44" s="404"/>
      <c r="N44" s="293"/>
      <c r="O44" s="405"/>
      <c r="P44" s="403"/>
      <c r="Q44" s="403"/>
      <c r="R44" s="403"/>
      <c r="S44" s="404"/>
      <c r="T44" s="402"/>
      <c r="U44" s="403"/>
      <c r="V44" s="403"/>
      <c r="W44" s="403"/>
      <c r="X44" s="406"/>
      <c r="Y44" s="293"/>
      <c r="Z44" s="405"/>
      <c r="AA44" s="403"/>
      <c r="AB44" s="404"/>
      <c r="AC44" s="293"/>
      <c r="AE44" s="293"/>
      <c r="AF44" s="293"/>
      <c r="AG44" s="293"/>
      <c r="AH44" s="293"/>
    </row>
    <row r="45" spans="1:45" s="1" customFormat="1" ht="29.25" customHeight="1" x14ac:dyDescent="0.2">
      <c r="A45" s="95">
        <f t="shared" si="1"/>
        <v>17</v>
      </c>
      <c r="B45" s="103"/>
      <c r="C45" s="97"/>
      <c r="D45" s="97"/>
      <c r="E45" s="97"/>
      <c r="F45" s="97"/>
      <c r="G45" s="402"/>
      <c r="H45" s="403"/>
      <c r="I45" s="403"/>
      <c r="J45" s="403"/>
      <c r="K45" s="403"/>
      <c r="L45" s="403"/>
      <c r="M45" s="404"/>
      <c r="N45" s="293"/>
      <c r="O45" s="405"/>
      <c r="P45" s="403"/>
      <c r="Q45" s="403"/>
      <c r="R45" s="403"/>
      <c r="S45" s="404"/>
      <c r="T45" s="402"/>
      <c r="U45" s="403"/>
      <c r="V45" s="403"/>
      <c r="W45" s="403"/>
      <c r="X45" s="406"/>
      <c r="Y45" s="293"/>
      <c r="Z45" s="405"/>
      <c r="AA45" s="403"/>
      <c r="AB45" s="404"/>
      <c r="AC45" s="293"/>
      <c r="AE45" s="293"/>
      <c r="AF45" s="293"/>
      <c r="AG45" s="293"/>
      <c r="AH45" s="293"/>
    </row>
    <row r="46" spans="1:45" s="1" customFormat="1" ht="29.25" customHeight="1" x14ac:dyDescent="0.2">
      <c r="A46" s="95">
        <f t="shared" si="1"/>
        <v>18</v>
      </c>
      <c r="B46" s="103"/>
      <c r="C46" s="97"/>
      <c r="D46" s="97"/>
      <c r="E46" s="97"/>
      <c r="F46" s="97"/>
      <c r="G46" s="402"/>
      <c r="H46" s="403"/>
      <c r="I46" s="403"/>
      <c r="J46" s="403"/>
      <c r="K46" s="403"/>
      <c r="L46" s="403"/>
      <c r="M46" s="404"/>
      <c r="N46" s="293"/>
      <c r="O46" s="405"/>
      <c r="P46" s="403"/>
      <c r="Q46" s="403"/>
      <c r="R46" s="403"/>
      <c r="S46" s="404"/>
      <c r="T46" s="402"/>
      <c r="U46" s="403"/>
      <c r="V46" s="403"/>
      <c r="W46" s="403"/>
      <c r="X46" s="406"/>
      <c r="Y46" s="293"/>
      <c r="Z46" s="405"/>
      <c r="AA46" s="403"/>
      <c r="AB46" s="404"/>
      <c r="AC46" s="293"/>
      <c r="AE46" s="293"/>
      <c r="AF46" s="293"/>
      <c r="AG46" s="293"/>
      <c r="AH46" s="293"/>
    </row>
    <row r="47" spans="1:45" s="1" customFormat="1" ht="29.25" customHeight="1" x14ac:dyDescent="0.2">
      <c r="A47" s="95">
        <f t="shared" si="1"/>
        <v>19</v>
      </c>
      <c r="B47" s="103"/>
      <c r="C47" s="97"/>
      <c r="D47" s="97"/>
      <c r="E47" s="97"/>
      <c r="F47" s="97"/>
      <c r="G47" s="402"/>
      <c r="H47" s="403"/>
      <c r="I47" s="403"/>
      <c r="J47" s="403"/>
      <c r="K47" s="403"/>
      <c r="L47" s="403"/>
      <c r="M47" s="404"/>
      <c r="N47" s="293"/>
      <c r="O47" s="405"/>
      <c r="P47" s="403"/>
      <c r="Q47" s="403"/>
      <c r="R47" s="403"/>
      <c r="S47" s="404"/>
      <c r="T47" s="402"/>
      <c r="U47" s="403"/>
      <c r="V47" s="403"/>
      <c r="W47" s="403"/>
      <c r="X47" s="406"/>
      <c r="Y47" s="293"/>
      <c r="Z47" s="405"/>
      <c r="AA47" s="403"/>
      <c r="AB47" s="404"/>
      <c r="AC47" s="293"/>
      <c r="AE47" s="293"/>
      <c r="AF47" s="293"/>
      <c r="AG47" s="293"/>
      <c r="AH47" s="293"/>
    </row>
    <row r="48" spans="1:45" s="1" customFormat="1" ht="29.25" customHeight="1" thickBot="1" x14ac:dyDescent="0.25">
      <c r="A48" s="95">
        <f>A47+1</f>
        <v>20</v>
      </c>
      <c r="B48" s="103"/>
      <c r="C48" s="97"/>
      <c r="D48" s="97"/>
      <c r="E48" s="97"/>
      <c r="F48" s="97"/>
      <c r="G48" s="407"/>
      <c r="H48" s="408"/>
      <c r="I48" s="408"/>
      <c r="J48" s="408"/>
      <c r="K48" s="408"/>
      <c r="L48" s="408"/>
      <c r="M48" s="409"/>
      <c r="N48" s="410"/>
      <c r="O48" s="411"/>
      <c r="P48" s="408"/>
      <c r="Q48" s="408"/>
      <c r="R48" s="408"/>
      <c r="S48" s="409"/>
      <c r="T48" s="407"/>
      <c r="U48" s="408"/>
      <c r="V48" s="408"/>
      <c r="W48" s="408"/>
      <c r="X48" s="412"/>
      <c r="Y48" s="410"/>
      <c r="Z48" s="411"/>
      <c r="AA48" s="408"/>
      <c r="AB48" s="409"/>
      <c r="AC48" s="410"/>
      <c r="AE48" s="410"/>
      <c r="AF48" s="410"/>
      <c r="AG48" s="410"/>
      <c r="AH48" s="410"/>
    </row>
    <row r="49" spans="1:45" s="18" customFormat="1" ht="18.75" customHeight="1" x14ac:dyDescent="0.25">
      <c r="A49" s="204" t="s">
        <v>193</v>
      </c>
      <c r="B49" s="205"/>
      <c r="C49" s="205"/>
      <c r="D49" s="206"/>
      <c r="E49" s="207">
        <v>5</v>
      </c>
      <c r="F49" s="208" t="s">
        <v>194</v>
      </c>
      <c r="G49" s="206"/>
      <c r="H49" s="206"/>
      <c r="I49" s="206"/>
      <c r="J49" s="206"/>
      <c r="K49" s="206"/>
      <c r="L49" s="206"/>
      <c r="M49" s="206"/>
      <c r="N49" s="206"/>
      <c r="O49" s="209" t="s">
        <v>195</v>
      </c>
      <c r="P49" s="210"/>
      <c r="Q49" s="206"/>
      <c r="R49" s="206"/>
      <c r="S49" s="206"/>
      <c r="T49" s="206"/>
      <c r="U49" s="206"/>
      <c r="V49" s="206"/>
      <c r="W49" s="206"/>
      <c r="X49" s="206"/>
      <c r="Y49" s="206"/>
      <c r="Z49" s="206"/>
      <c r="AA49" s="206"/>
      <c r="AB49" s="206"/>
      <c r="AC49" s="211"/>
      <c r="AD49" s="206"/>
      <c r="AE49" s="204" t="s">
        <v>302</v>
      </c>
      <c r="AF49" s="206"/>
      <c r="AG49" s="206"/>
      <c r="AH49" s="211"/>
    </row>
    <row r="50" spans="1:45" s="18" customFormat="1" ht="15" customHeight="1" x14ac:dyDescent="0.2">
      <c r="A50" s="212">
        <v>1</v>
      </c>
      <c r="B50" s="213" t="s">
        <v>196</v>
      </c>
      <c r="C50" s="213"/>
      <c r="E50" s="214"/>
      <c r="F50" s="215" t="s">
        <v>197</v>
      </c>
      <c r="O50" s="216">
        <v>1</v>
      </c>
      <c r="P50" s="17" t="s">
        <v>198</v>
      </c>
      <c r="Q50" s="17"/>
      <c r="R50" s="17"/>
      <c r="S50" s="17"/>
      <c r="T50" s="17"/>
      <c r="AC50" s="217"/>
      <c r="AE50" s="218" t="s">
        <v>50</v>
      </c>
      <c r="AF50" s="651"/>
      <c r="AG50" s="651"/>
      <c r="AH50" s="217"/>
    </row>
    <row r="51" spans="1:45" s="18" customFormat="1" ht="15" customHeight="1" x14ac:dyDescent="0.25">
      <c r="A51" s="219"/>
      <c r="B51" s="215" t="s">
        <v>199</v>
      </c>
      <c r="C51" s="215"/>
      <c r="E51" s="220">
        <v>6</v>
      </c>
      <c r="F51" s="213" t="s">
        <v>200</v>
      </c>
      <c r="O51" s="172"/>
      <c r="P51" s="17" t="s">
        <v>201</v>
      </c>
      <c r="Q51" s="17"/>
      <c r="R51" s="17"/>
      <c r="S51" s="17"/>
      <c r="T51" s="17"/>
      <c r="AC51" s="217"/>
      <c r="AE51" s="221" t="s">
        <v>202</v>
      </c>
      <c r="AF51" s="651"/>
      <c r="AG51" s="651"/>
      <c r="AH51" s="217"/>
    </row>
    <row r="52" spans="1:45" s="18" customFormat="1" ht="15" customHeight="1" x14ac:dyDescent="0.2">
      <c r="A52" s="219"/>
      <c r="B52" s="215" t="s">
        <v>203</v>
      </c>
      <c r="C52" s="215"/>
      <c r="E52" s="214"/>
      <c r="F52" s="215" t="s">
        <v>204</v>
      </c>
      <c r="O52" s="216">
        <v>2</v>
      </c>
      <c r="P52" s="17" t="s">
        <v>205</v>
      </c>
      <c r="Q52" s="17"/>
      <c r="R52" s="17"/>
      <c r="S52" s="17"/>
      <c r="T52" s="17"/>
      <c r="AC52" s="217"/>
      <c r="AE52" s="86" t="s">
        <v>206</v>
      </c>
      <c r="AF52" s="651"/>
      <c r="AG52" s="651"/>
      <c r="AH52" s="217"/>
    </row>
    <row r="53" spans="1:45" s="18" customFormat="1" ht="15" customHeight="1" x14ac:dyDescent="0.2">
      <c r="A53" s="212">
        <v>2</v>
      </c>
      <c r="B53" s="213" t="s">
        <v>207</v>
      </c>
      <c r="C53" s="213"/>
      <c r="E53" s="214"/>
      <c r="F53" s="213" t="s">
        <v>208</v>
      </c>
      <c r="O53" s="172"/>
      <c r="P53" s="17" t="s">
        <v>209</v>
      </c>
      <c r="Q53" s="78"/>
      <c r="R53" s="17"/>
      <c r="S53" s="17"/>
      <c r="T53" s="17"/>
      <c r="V53" s="222"/>
      <c r="Z53" s="222"/>
      <c r="AA53" s="223"/>
      <c r="AC53" s="217"/>
      <c r="AE53" s="86" t="s">
        <v>210</v>
      </c>
      <c r="AF53" s="651"/>
      <c r="AG53" s="651"/>
      <c r="AH53" s="217"/>
    </row>
    <row r="54" spans="1:45" s="18" customFormat="1" ht="15" customHeight="1" x14ac:dyDescent="0.25">
      <c r="A54" s="212">
        <v>3</v>
      </c>
      <c r="B54" s="213" t="s">
        <v>211</v>
      </c>
      <c r="C54" s="213"/>
      <c r="E54" s="220">
        <v>7</v>
      </c>
      <c r="F54" s="213" t="s">
        <v>212</v>
      </c>
      <c r="O54" s="216">
        <v>3</v>
      </c>
      <c r="P54" s="17" t="s">
        <v>213</v>
      </c>
      <c r="Q54" s="78"/>
      <c r="R54" s="17"/>
      <c r="S54" s="17"/>
      <c r="T54" s="17"/>
      <c r="V54" s="222"/>
      <c r="Z54" s="222"/>
      <c r="AA54" s="223"/>
      <c r="AC54" s="217"/>
      <c r="AE54" s="221" t="s">
        <v>214</v>
      </c>
      <c r="AF54" s="652"/>
      <c r="AG54" s="652"/>
      <c r="AH54" s="217"/>
    </row>
    <row r="55" spans="1:45" s="18" customFormat="1" ht="15" customHeight="1" x14ac:dyDescent="0.2">
      <c r="A55" s="219"/>
      <c r="B55" s="215" t="s">
        <v>215</v>
      </c>
      <c r="C55" s="215"/>
      <c r="E55" s="214"/>
      <c r="F55" s="213" t="s">
        <v>216</v>
      </c>
      <c r="O55" s="216">
        <v>4</v>
      </c>
      <c r="P55" s="17" t="s">
        <v>217</v>
      </c>
      <c r="Q55" s="78"/>
      <c r="R55" s="17"/>
      <c r="S55" s="17"/>
      <c r="T55" s="17"/>
      <c r="V55" s="222"/>
      <c r="Z55" s="222"/>
      <c r="AA55" s="223"/>
      <c r="AC55" s="217"/>
      <c r="AE55" s="86" t="s">
        <v>218</v>
      </c>
      <c r="AF55" s="651"/>
      <c r="AG55" s="651"/>
      <c r="AH55" s="217"/>
    </row>
    <row r="56" spans="1:45" s="18" customFormat="1" ht="15" customHeight="1" x14ac:dyDescent="0.2">
      <c r="A56" s="212">
        <v>4</v>
      </c>
      <c r="B56" s="213" t="s">
        <v>219</v>
      </c>
      <c r="C56" s="213"/>
      <c r="E56" s="214"/>
      <c r="O56" s="216">
        <v>5</v>
      </c>
      <c r="P56" s="17" t="s">
        <v>171</v>
      </c>
      <c r="Q56" s="78"/>
      <c r="R56" s="17"/>
      <c r="S56" s="17"/>
      <c r="T56" s="17"/>
      <c r="V56" s="222"/>
      <c r="Z56" s="222"/>
      <c r="AA56" s="223"/>
      <c r="AC56" s="217"/>
      <c r="AE56" s="86" t="s">
        <v>220</v>
      </c>
      <c r="AF56" s="651"/>
      <c r="AG56" s="651"/>
      <c r="AH56" s="217"/>
    </row>
    <row r="57" spans="1:45" s="18" customFormat="1" ht="15" customHeight="1" x14ac:dyDescent="0.3">
      <c r="A57" s="225"/>
      <c r="B57" s="215" t="s">
        <v>221</v>
      </c>
      <c r="C57" s="215"/>
      <c r="E57" s="226" t="s">
        <v>222</v>
      </c>
      <c r="F57" s="227"/>
      <c r="O57" s="216">
        <v>6</v>
      </c>
      <c r="P57" s="17" t="s">
        <v>223</v>
      </c>
      <c r="Q57" s="78"/>
      <c r="R57" s="17"/>
      <c r="S57" s="17"/>
      <c r="T57" s="17"/>
      <c r="V57" s="222"/>
      <c r="Z57" s="222"/>
      <c r="AA57" s="223"/>
      <c r="AC57" s="217"/>
      <c r="AE57" s="86" t="s">
        <v>224</v>
      </c>
      <c r="AF57" s="651"/>
      <c r="AG57" s="651"/>
      <c r="AH57" s="217"/>
    </row>
    <row r="58" spans="1:45" s="18" customFormat="1" ht="18" customHeight="1" x14ac:dyDescent="0.2">
      <c r="A58" s="225"/>
      <c r="B58" s="215" t="s">
        <v>225</v>
      </c>
      <c r="C58" s="215"/>
      <c r="E58" s="172" t="s">
        <v>226</v>
      </c>
      <c r="O58" s="228" t="s">
        <v>227</v>
      </c>
      <c r="Q58" s="223"/>
      <c r="V58" s="222"/>
      <c r="Z58" s="222"/>
      <c r="AA58" s="223"/>
      <c r="AC58" s="217"/>
      <c r="AE58" s="86" t="s">
        <v>228</v>
      </c>
      <c r="AF58" s="651"/>
      <c r="AG58" s="651"/>
      <c r="AH58" s="217"/>
    </row>
    <row r="59" spans="1:45" s="156" customFormat="1" ht="17.25" customHeight="1" thickBot="1" x14ac:dyDescent="0.25">
      <c r="A59" s="229"/>
      <c r="B59" s="230"/>
      <c r="C59" s="230"/>
      <c r="D59" s="231"/>
      <c r="E59" s="232"/>
      <c r="F59" s="231"/>
      <c r="G59" s="231"/>
      <c r="H59" s="231"/>
      <c r="I59" s="231"/>
      <c r="J59" s="231"/>
      <c r="K59" s="231"/>
      <c r="L59" s="231"/>
      <c r="M59" s="231"/>
      <c r="N59" s="233"/>
      <c r="O59" s="234" t="s">
        <v>229</v>
      </c>
      <c r="P59" s="231"/>
      <c r="Q59" s="231"/>
      <c r="R59" s="231"/>
      <c r="S59" s="231"/>
      <c r="T59" s="231"/>
      <c r="U59" s="231"/>
      <c r="V59" s="231"/>
      <c r="W59" s="231"/>
      <c r="X59" s="231"/>
      <c r="Y59" s="231"/>
      <c r="Z59" s="233"/>
      <c r="AA59" s="235"/>
      <c r="AB59" s="231"/>
      <c r="AC59" s="236"/>
      <c r="AD59" s="231"/>
      <c r="AE59" s="237" t="s">
        <v>230</v>
      </c>
      <c r="AF59" s="231"/>
      <c r="AG59" s="231"/>
      <c r="AH59" s="236"/>
    </row>
    <row r="60" spans="1:45" s="133" customFormat="1" ht="18" customHeight="1" x14ac:dyDescent="0.2">
      <c r="A60" s="238" t="s">
        <v>119</v>
      </c>
      <c r="B60" s="145"/>
      <c r="C60" s="145"/>
      <c r="D60" s="146"/>
      <c r="J60" s="147"/>
      <c r="V60" s="147"/>
      <c r="W60" s="148"/>
    </row>
    <row r="61" spans="1:45" s="18" customFormat="1" ht="15" customHeight="1" x14ac:dyDescent="0.2">
      <c r="A61" s="238" t="s">
        <v>122</v>
      </c>
      <c r="D61" s="19"/>
      <c r="AI61" s="19"/>
      <c r="AJ61" s="19"/>
      <c r="AR61" s="19"/>
      <c r="AS61" s="19"/>
    </row>
    <row r="63" spans="1:45" s="88" customFormat="1" ht="15" x14ac:dyDescent="0.25">
      <c r="B63" s="88" t="s">
        <v>53</v>
      </c>
      <c r="D63" s="89"/>
      <c r="E63" s="88" t="s">
        <v>54</v>
      </c>
      <c r="T63" s="88" t="s">
        <v>55</v>
      </c>
      <c r="AI63" s="89"/>
      <c r="AJ63" s="89"/>
      <c r="AR63" s="89"/>
      <c r="AS63" s="89"/>
    </row>
    <row r="64" spans="1:45" s="18" customFormat="1" ht="21.75" customHeight="1" x14ac:dyDescent="0.2">
      <c r="D64" s="19"/>
      <c r="AI64" s="19"/>
      <c r="AJ64" s="19"/>
      <c r="AR64" s="19"/>
      <c r="AS64" s="19"/>
    </row>
    <row r="65" spans="1:45" s="18" customFormat="1" ht="15.75" customHeight="1" x14ac:dyDescent="0.2">
      <c r="D65" s="19"/>
      <c r="AI65" s="19"/>
      <c r="AJ65" s="19"/>
      <c r="AR65" s="19"/>
      <c r="AS65" s="19"/>
    </row>
    <row r="66" spans="1:45" s="18" customFormat="1" ht="17.25" customHeight="1" x14ac:dyDescent="0.2">
      <c r="B66" s="90"/>
      <c r="D66" s="19"/>
      <c r="E66" s="90"/>
      <c r="F66" s="90"/>
      <c r="G66" s="90"/>
      <c r="H66" s="90"/>
      <c r="I66" s="90"/>
      <c r="J66" s="90"/>
      <c r="K66" s="90"/>
      <c r="L66" s="90"/>
      <c r="T66" s="90"/>
      <c r="U66" s="90"/>
      <c r="V66" s="90"/>
      <c r="W66" s="90"/>
      <c r="X66" s="90"/>
      <c r="Y66" s="90"/>
      <c r="Z66" s="90"/>
      <c r="AA66" s="90"/>
      <c r="AI66" s="19"/>
      <c r="AJ66" s="19"/>
      <c r="AR66" s="19"/>
      <c r="AS66" s="19"/>
    </row>
    <row r="67" spans="1:45" s="18" customFormat="1" ht="18" customHeight="1" x14ac:dyDescent="0.2">
      <c r="B67" s="18" t="s">
        <v>56</v>
      </c>
      <c r="D67" s="19"/>
      <c r="E67" s="18" t="s">
        <v>56</v>
      </c>
      <c r="T67" s="18" t="s">
        <v>57</v>
      </c>
      <c r="AI67" s="19"/>
      <c r="AJ67" s="19"/>
      <c r="AR67" s="19"/>
      <c r="AS67" s="19"/>
    </row>
    <row r="68" spans="1:45" s="18" customFormat="1" ht="15.75" customHeight="1" x14ac:dyDescent="0.2">
      <c r="B68" s="18" t="s">
        <v>58</v>
      </c>
      <c r="D68" s="19"/>
      <c r="E68" s="18" t="s">
        <v>59</v>
      </c>
      <c r="T68" s="18" t="s">
        <v>58</v>
      </c>
      <c r="AI68" s="19"/>
      <c r="AJ68" s="19"/>
      <c r="AR68" s="19"/>
      <c r="AS68" s="19"/>
    </row>
    <row r="69" spans="1:45" s="18" customFormat="1" ht="6" customHeight="1" thickBot="1" x14ac:dyDescent="0.25">
      <c r="C69" s="19"/>
      <c r="AI69" s="19"/>
      <c r="AJ69" s="19"/>
    </row>
    <row r="70" spans="1:45" s="1" customFormat="1" ht="29.25" customHeight="1" x14ac:dyDescent="0.2">
      <c r="A70" s="294">
        <v>21</v>
      </c>
      <c r="B70" s="295"/>
      <c r="C70" s="93"/>
      <c r="D70" s="93"/>
      <c r="E70" s="93"/>
      <c r="F70" s="93"/>
      <c r="G70" s="396"/>
      <c r="H70" s="397"/>
      <c r="I70" s="397"/>
      <c r="J70" s="397"/>
      <c r="K70" s="397"/>
      <c r="L70" s="397"/>
      <c r="M70" s="398"/>
      <c r="N70" s="399"/>
      <c r="O70" s="400"/>
      <c r="P70" s="397"/>
      <c r="Q70" s="397"/>
      <c r="R70" s="397"/>
      <c r="S70" s="398"/>
      <c r="T70" s="396"/>
      <c r="U70" s="397"/>
      <c r="V70" s="397"/>
      <c r="W70" s="397"/>
      <c r="X70" s="401"/>
      <c r="Y70" s="399"/>
      <c r="Z70" s="400"/>
      <c r="AA70" s="397"/>
      <c r="AB70" s="398"/>
      <c r="AC70" s="399"/>
      <c r="AE70" s="399"/>
      <c r="AF70" s="399"/>
      <c r="AG70" s="399"/>
      <c r="AH70" s="399"/>
    </row>
    <row r="71" spans="1:45" s="1" customFormat="1" ht="29.25" customHeight="1" x14ac:dyDescent="0.2">
      <c r="A71" s="95">
        <f>A70+1</f>
        <v>22</v>
      </c>
      <c r="B71" s="103"/>
      <c r="C71" s="97"/>
      <c r="D71" s="97"/>
      <c r="E71" s="97"/>
      <c r="F71" s="97"/>
      <c r="G71" s="402"/>
      <c r="H71" s="403"/>
      <c r="I71" s="403"/>
      <c r="J71" s="403"/>
      <c r="K71" s="403"/>
      <c r="L71" s="403"/>
      <c r="M71" s="404"/>
      <c r="N71" s="293"/>
      <c r="O71" s="405"/>
      <c r="P71" s="403"/>
      <c r="Q71" s="403"/>
      <c r="R71" s="403"/>
      <c r="S71" s="404"/>
      <c r="T71" s="402"/>
      <c r="U71" s="403"/>
      <c r="V71" s="403"/>
      <c r="W71" s="403"/>
      <c r="X71" s="406"/>
      <c r="Y71" s="293"/>
      <c r="Z71" s="405"/>
      <c r="AA71" s="403"/>
      <c r="AB71" s="404"/>
      <c r="AC71" s="293"/>
      <c r="AE71" s="293"/>
      <c r="AF71" s="293"/>
      <c r="AG71" s="293"/>
      <c r="AH71" s="293"/>
    </row>
    <row r="72" spans="1:45" s="1" customFormat="1" ht="29.25" customHeight="1" x14ac:dyDescent="0.2">
      <c r="A72" s="95">
        <f>A71+1</f>
        <v>23</v>
      </c>
      <c r="B72" s="103"/>
      <c r="C72" s="97"/>
      <c r="D72" s="97"/>
      <c r="E72" s="97"/>
      <c r="F72" s="97"/>
      <c r="G72" s="402"/>
      <c r="H72" s="403"/>
      <c r="I72" s="403"/>
      <c r="J72" s="403"/>
      <c r="K72" s="403"/>
      <c r="L72" s="403"/>
      <c r="M72" s="404"/>
      <c r="N72" s="293"/>
      <c r="O72" s="405"/>
      <c r="P72" s="403"/>
      <c r="Q72" s="403"/>
      <c r="R72" s="403"/>
      <c r="S72" s="404"/>
      <c r="T72" s="402"/>
      <c r="U72" s="403"/>
      <c r="V72" s="403"/>
      <c r="W72" s="403"/>
      <c r="X72" s="406"/>
      <c r="Y72" s="293"/>
      <c r="Z72" s="405"/>
      <c r="AA72" s="403"/>
      <c r="AB72" s="404"/>
      <c r="AC72" s="293"/>
      <c r="AE72" s="293"/>
      <c r="AF72" s="293"/>
      <c r="AG72" s="293"/>
      <c r="AH72" s="293"/>
    </row>
    <row r="73" spans="1:45" s="1" customFormat="1" ht="29.25" customHeight="1" x14ac:dyDescent="0.2">
      <c r="A73" s="95">
        <f>A72+1</f>
        <v>24</v>
      </c>
      <c r="B73" s="103"/>
      <c r="C73" s="97"/>
      <c r="D73" s="97"/>
      <c r="E73" s="97"/>
      <c r="F73" s="97"/>
      <c r="G73" s="402"/>
      <c r="H73" s="403"/>
      <c r="I73" s="403"/>
      <c r="J73" s="403"/>
      <c r="K73" s="403"/>
      <c r="L73" s="403"/>
      <c r="M73" s="404"/>
      <c r="N73" s="293"/>
      <c r="O73" s="405"/>
      <c r="P73" s="403"/>
      <c r="Q73" s="403"/>
      <c r="R73" s="403"/>
      <c r="S73" s="404"/>
      <c r="T73" s="402"/>
      <c r="U73" s="403"/>
      <c r="V73" s="403"/>
      <c r="W73" s="403"/>
      <c r="X73" s="406"/>
      <c r="Y73" s="293"/>
      <c r="Z73" s="405"/>
      <c r="AA73" s="403"/>
      <c r="AB73" s="404"/>
      <c r="AC73" s="293"/>
      <c r="AE73" s="293"/>
      <c r="AF73" s="293"/>
      <c r="AG73" s="293"/>
      <c r="AH73" s="293"/>
    </row>
    <row r="74" spans="1:45" s="1" customFormat="1" ht="29.25" customHeight="1" x14ac:dyDescent="0.2">
      <c r="A74" s="95">
        <f>A73+1</f>
        <v>25</v>
      </c>
      <c r="B74" s="103"/>
      <c r="C74" s="97"/>
      <c r="D74" s="97"/>
      <c r="E74" s="97"/>
      <c r="F74" s="97"/>
      <c r="G74" s="402"/>
      <c r="H74" s="403"/>
      <c r="I74" s="403"/>
      <c r="J74" s="403"/>
      <c r="K74" s="403"/>
      <c r="L74" s="403"/>
      <c r="M74" s="404"/>
      <c r="N74" s="293"/>
      <c r="O74" s="405"/>
      <c r="P74" s="403"/>
      <c r="Q74" s="403"/>
      <c r="R74" s="403"/>
      <c r="S74" s="404"/>
      <c r="T74" s="402"/>
      <c r="U74" s="403"/>
      <c r="V74" s="403"/>
      <c r="W74" s="403"/>
      <c r="X74" s="406"/>
      <c r="Y74" s="293"/>
      <c r="Z74" s="405"/>
      <c r="AA74" s="403"/>
      <c r="AB74" s="404"/>
      <c r="AC74" s="293"/>
      <c r="AE74" s="293"/>
      <c r="AF74" s="293"/>
      <c r="AG74" s="293"/>
      <c r="AH74" s="293"/>
    </row>
    <row r="75" spans="1:45" s="1" customFormat="1" ht="29.25" customHeight="1" x14ac:dyDescent="0.2">
      <c r="A75" s="95">
        <f t="shared" ref="A75:A78" si="2">A74+1</f>
        <v>26</v>
      </c>
      <c r="B75" s="103"/>
      <c r="C75" s="97"/>
      <c r="D75" s="97"/>
      <c r="E75" s="97"/>
      <c r="F75" s="97"/>
      <c r="G75" s="402"/>
      <c r="H75" s="403"/>
      <c r="I75" s="403"/>
      <c r="J75" s="403"/>
      <c r="K75" s="403"/>
      <c r="L75" s="403"/>
      <c r="M75" s="404"/>
      <c r="N75" s="293"/>
      <c r="O75" s="405"/>
      <c r="P75" s="403"/>
      <c r="Q75" s="403"/>
      <c r="R75" s="403"/>
      <c r="S75" s="404"/>
      <c r="T75" s="402"/>
      <c r="U75" s="403"/>
      <c r="V75" s="403"/>
      <c r="W75" s="403"/>
      <c r="X75" s="406"/>
      <c r="Y75" s="293"/>
      <c r="Z75" s="405"/>
      <c r="AA75" s="403"/>
      <c r="AB75" s="404"/>
      <c r="AC75" s="293"/>
      <c r="AE75" s="293"/>
      <c r="AF75" s="293"/>
      <c r="AG75" s="293"/>
      <c r="AH75" s="293"/>
    </row>
    <row r="76" spans="1:45" s="1" customFormat="1" ht="29.25" customHeight="1" x14ac:dyDescent="0.2">
      <c r="A76" s="95">
        <f t="shared" si="2"/>
        <v>27</v>
      </c>
      <c r="B76" s="103"/>
      <c r="C76" s="97"/>
      <c r="D76" s="97"/>
      <c r="E76" s="97"/>
      <c r="F76" s="97"/>
      <c r="G76" s="402"/>
      <c r="H76" s="403"/>
      <c r="I76" s="403"/>
      <c r="J76" s="403"/>
      <c r="K76" s="403"/>
      <c r="L76" s="403"/>
      <c r="M76" s="404"/>
      <c r="N76" s="293"/>
      <c r="O76" s="405"/>
      <c r="P76" s="403"/>
      <c r="Q76" s="403"/>
      <c r="R76" s="403"/>
      <c r="S76" s="404"/>
      <c r="T76" s="402"/>
      <c r="U76" s="403"/>
      <c r="V76" s="403"/>
      <c r="W76" s="403"/>
      <c r="X76" s="406"/>
      <c r="Y76" s="293"/>
      <c r="Z76" s="405"/>
      <c r="AA76" s="403"/>
      <c r="AB76" s="404"/>
      <c r="AC76" s="293"/>
      <c r="AE76" s="293"/>
      <c r="AF76" s="293"/>
      <c r="AG76" s="293"/>
      <c r="AH76" s="293"/>
    </row>
    <row r="77" spans="1:45" s="1" customFormat="1" ht="29.25" customHeight="1" x14ac:dyDescent="0.2">
      <c r="A77" s="95">
        <f t="shared" si="2"/>
        <v>28</v>
      </c>
      <c r="B77" s="103"/>
      <c r="C77" s="97"/>
      <c r="D77" s="97"/>
      <c r="E77" s="97"/>
      <c r="F77" s="97"/>
      <c r="G77" s="402"/>
      <c r="H77" s="403"/>
      <c r="I77" s="403"/>
      <c r="J77" s="403"/>
      <c r="K77" s="403"/>
      <c r="L77" s="403"/>
      <c r="M77" s="404"/>
      <c r="N77" s="293"/>
      <c r="O77" s="405"/>
      <c r="P77" s="403"/>
      <c r="Q77" s="403"/>
      <c r="R77" s="403"/>
      <c r="S77" s="404"/>
      <c r="T77" s="402"/>
      <c r="U77" s="403"/>
      <c r="V77" s="403"/>
      <c r="W77" s="403"/>
      <c r="X77" s="406"/>
      <c r="Y77" s="293"/>
      <c r="Z77" s="405"/>
      <c r="AA77" s="403"/>
      <c r="AB77" s="404"/>
      <c r="AC77" s="293"/>
      <c r="AE77" s="293"/>
      <c r="AF77" s="293"/>
      <c r="AG77" s="293"/>
      <c r="AH77" s="293"/>
    </row>
    <row r="78" spans="1:45" s="1" customFormat="1" ht="29.25" customHeight="1" x14ac:dyDescent="0.2">
      <c r="A78" s="95">
        <f t="shared" si="2"/>
        <v>29</v>
      </c>
      <c r="B78" s="103"/>
      <c r="C78" s="97"/>
      <c r="D78" s="97"/>
      <c r="E78" s="97"/>
      <c r="F78" s="97"/>
      <c r="G78" s="402"/>
      <c r="H78" s="403"/>
      <c r="I78" s="403"/>
      <c r="J78" s="403"/>
      <c r="K78" s="403"/>
      <c r="L78" s="403"/>
      <c r="M78" s="404"/>
      <c r="N78" s="293"/>
      <c r="O78" s="405"/>
      <c r="P78" s="403"/>
      <c r="Q78" s="403"/>
      <c r="R78" s="403"/>
      <c r="S78" s="404"/>
      <c r="T78" s="402"/>
      <c r="U78" s="403"/>
      <c r="V78" s="403"/>
      <c r="W78" s="403"/>
      <c r="X78" s="406"/>
      <c r="Y78" s="293"/>
      <c r="Z78" s="405"/>
      <c r="AA78" s="403"/>
      <c r="AB78" s="404"/>
      <c r="AC78" s="293"/>
      <c r="AE78" s="293"/>
      <c r="AF78" s="293"/>
      <c r="AG78" s="293"/>
      <c r="AH78" s="293"/>
    </row>
    <row r="79" spans="1:45" s="1" customFormat="1" ht="29.25" customHeight="1" thickBot="1" x14ac:dyDescent="0.25">
      <c r="A79" s="95">
        <f>A78+1</f>
        <v>30</v>
      </c>
      <c r="B79" s="103"/>
      <c r="C79" s="97"/>
      <c r="D79" s="97"/>
      <c r="E79" s="97"/>
      <c r="F79" s="97"/>
      <c r="G79" s="407"/>
      <c r="H79" s="408"/>
      <c r="I79" s="408"/>
      <c r="J79" s="408"/>
      <c r="K79" s="408"/>
      <c r="L79" s="408"/>
      <c r="M79" s="409"/>
      <c r="N79" s="410"/>
      <c r="O79" s="411"/>
      <c r="P79" s="408"/>
      <c r="Q79" s="408"/>
      <c r="R79" s="408"/>
      <c r="S79" s="409"/>
      <c r="T79" s="407"/>
      <c r="U79" s="408"/>
      <c r="V79" s="408"/>
      <c r="W79" s="408"/>
      <c r="X79" s="412"/>
      <c r="Y79" s="410"/>
      <c r="Z79" s="411"/>
      <c r="AA79" s="408"/>
      <c r="AB79" s="409"/>
      <c r="AC79" s="410"/>
      <c r="AE79" s="410"/>
      <c r="AF79" s="410"/>
      <c r="AG79" s="410"/>
      <c r="AH79" s="410"/>
    </row>
    <row r="80" spans="1:45" s="18" customFormat="1" ht="18.75" customHeight="1" x14ac:dyDescent="0.25">
      <c r="A80" s="204" t="s">
        <v>193</v>
      </c>
      <c r="B80" s="205"/>
      <c r="C80" s="205"/>
      <c r="D80" s="206"/>
      <c r="E80" s="207">
        <v>5</v>
      </c>
      <c r="F80" s="208" t="s">
        <v>194</v>
      </c>
      <c r="G80" s="206"/>
      <c r="H80" s="206"/>
      <c r="I80" s="206"/>
      <c r="J80" s="206"/>
      <c r="K80" s="206"/>
      <c r="L80" s="206"/>
      <c r="M80" s="206"/>
      <c r="N80" s="206"/>
      <c r="O80" s="209" t="s">
        <v>195</v>
      </c>
      <c r="P80" s="210"/>
      <c r="Q80" s="206"/>
      <c r="R80" s="206"/>
      <c r="S80" s="206"/>
      <c r="T80" s="206"/>
      <c r="U80" s="206"/>
      <c r="V80" s="206"/>
      <c r="W80" s="206"/>
      <c r="X80" s="206"/>
      <c r="Y80" s="206"/>
      <c r="Z80" s="206"/>
      <c r="AA80" s="206"/>
      <c r="AB80" s="206"/>
      <c r="AC80" s="211"/>
      <c r="AD80" s="206"/>
      <c r="AE80" s="204" t="s">
        <v>302</v>
      </c>
      <c r="AF80" s="206"/>
      <c r="AG80" s="206"/>
      <c r="AH80" s="211"/>
    </row>
    <row r="81" spans="1:45" s="18" customFormat="1" ht="15" customHeight="1" x14ac:dyDescent="0.2">
      <c r="A81" s="212">
        <v>1</v>
      </c>
      <c r="B81" s="213" t="s">
        <v>196</v>
      </c>
      <c r="C81" s="213"/>
      <c r="E81" s="214"/>
      <c r="F81" s="215" t="s">
        <v>197</v>
      </c>
      <c r="O81" s="216">
        <v>1</v>
      </c>
      <c r="P81" s="17" t="s">
        <v>198</v>
      </c>
      <c r="Q81" s="17"/>
      <c r="R81" s="17"/>
      <c r="S81" s="17"/>
      <c r="T81" s="17"/>
      <c r="AC81" s="217"/>
      <c r="AE81" s="218" t="s">
        <v>50</v>
      </c>
      <c r="AF81" s="651"/>
      <c r="AG81" s="651"/>
      <c r="AH81" s="217"/>
    </row>
    <row r="82" spans="1:45" s="18" customFormat="1" ht="15" customHeight="1" x14ac:dyDescent="0.25">
      <c r="A82" s="219"/>
      <c r="B82" s="215" t="s">
        <v>199</v>
      </c>
      <c r="C82" s="215"/>
      <c r="E82" s="220">
        <v>6</v>
      </c>
      <c r="F82" s="213" t="s">
        <v>200</v>
      </c>
      <c r="O82" s="172"/>
      <c r="P82" s="17" t="s">
        <v>201</v>
      </c>
      <c r="Q82" s="17"/>
      <c r="R82" s="17"/>
      <c r="S82" s="17"/>
      <c r="T82" s="17"/>
      <c r="AC82" s="217"/>
      <c r="AE82" s="221" t="s">
        <v>202</v>
      </c>
      <c r="AF82" s="651"/>
      <c r="AG82" s="651"/>
      <c r="AH82" s="217"/>
    </row>
    <row r="83" spans="1:45" s="18" customFormat="1" ht="15" customHeight="1" x14ac:dyDescent="0.2">
      <c r="A83" s="219"/>
      <c r="B83" s="215" t="s">
        <v>203</v>
      </c>
      <c r="C83" s="215"/>
      <c r="E83" s="214"/>
      <c r="F83" s="215" t="s">
        <v>204</v>
      </c>
      <c r="O83" s="216">
        <v>2</v>
      </c>
      <c r="P83" s="17" t="s">
        <v>205</v>
      </c>
      <c r="Q83" s="17"/>
      <c r="R83" s="17"/>
      <c r="S83" s="17"/>
      <c r="T83" s="17"/>
      <c r="AC83" s="217"/>
      <c r="AE83" s="86" t="s">
        <v>206</v>
      </c>
      <c r="AF83" s="651"/>
      <c r="AG83" s="651"/>
      <c r="AH83" s="217"/>
    </row>
    <row r="84" spans="1:45" s="18" customFormat="1" ht="15" customHeight="1" x14ac:dyDescent="0.2">
      <c r="A84" s="212">
        <v>2</v>
      </c>
      <c r="B84" s="213" t="s">
        <v>207</v>
      </c>
      <c r="C84" s="213"/>
      <c r="E84" s="214"/>
      <c r="F84" s="213" t="s">
        <v>208</v>
      </c>
      <c r="O84" s="172"/>
      <c r="P84" s="17" t="s">
        <v>209</v>
      </c>
      <c r="Q84" s="78"/>
      <c r="R84" s="17"/>
      <c r="S84" s="17"/>
      <c r="T84" s="17"/>
      <c r="V84" s="222"/>
      <c r="Z84" s="222"/>
      <c r="AA84" s="223"/>
      <c r="AC84" s="217"/>
      <c r="AE84" s="86" t="s">
        <v>210</v>
      </c>
      <c r="AF84" s="651"/>
      <c r="AG84" s="651"/>
      <c r="AH84" s="217"/>
    </row>
    <row r="85" spans="1:45" s="18" customFormat="1" ht="15" customHeight="1" x14ac:dyDescent="0.25">
      <c r="A85" s="212">
        <v>3</v>
      </c>
      <c r="B85" s="213" t="s">
        <v>211</v>
      </c>
      <c r="C85" s="213"/>
      <c r="E85" s="220">
        <v>7</v>
      </c>
      <c r="F85" s="213" t="s">
        <v>212</v>
      </c>
      <c r="O85" s="216">
        <v>3</v>
      </c>
      <c r="P85" s="17" t="s">
        <v>213</v>
      </c>
      <c r="Q85" s="78"/>
      <c r="R85" s="17"/>
      <c r="S85" s="17"/>
      <c r="T85" s="17"/>
      <c r="V85" s="222"/>
      <c r="Z85" s="222"/>
      <c r="AA85" s="223"/>
      <c r="AC85" s="217"/>
      <c r="AE85" s="221" t="s">
        <v>214</v>
      </c>
      <c r="AF85" s="652"/>
      <c r="AG85" s="652"/>
      <c r="AH85" s="217"/>
    </row>
    <row r="86" spans="1:45" s="18" customFormat="1" ht="15" customHeight="1" x14ac:dyDescent="0.2">
      <c r="A86" s="219"/>
      <c r="B86" s="215" t="s">
        <v>215</v>
      </c>
      <c r="C86" s="215"/>
      <c r="E86" s="214"/>
      <c r="F86" s="213" t="s">
        <v>216</v>
      </c>
      <c r="O86" s="216">
        <v>4</v>
      </c>
      <c r="P86" s="17" t="s">
        <v>217</v>
      </c>
      <c r="Q86" s="78"/>
      <c r="R86" s="17"/>
      <c r="S86" s="17"/>
      <c r="T86" s="17"/>
      <c r="V86" s="222"/>
      <c r="Z86" s="222"/>
      <c r="AA86" s="223"/>
      <c r="AC86" s="217"/>
      <c r="AE86" s="86" t="s">
        <v>218</v>
      </c>
      <c r="AF86" s="651"/>
      <c r="AG86" s="651"/>
      <c r="AH86" s="217"/>
    </row>
    <row r="87" spans="1:45" s="18" customFormat="1" ht="15" customHeight="1" x14ac:dyDescent="0.2">
      <c r="A87" s="212">
        <v>4</v>
      </c>
      <c r="B87" s="213" t="s">
        <v>219</v>
      </c>
      <c r="C87" s="213"/>
      <c r="E87" s="214"/>
      <c r="O87" s="216">
        <v>5</v>
      </c>
      <c r="P87" s="17" t="s">
        <v>171</v>
      </c>
      <c r="Q87" s="78"/>
      <c r="R87" s="17"/>
      <c r="S87" s="17"/>
      <c r="T87" s="17"/>
      <c r="V87" s="222"/>
      <c r="Z87" s="222"/>
      <c r="AA87" s="223"/>
      <c r="AC87" s="217"/>
      <c r="AE87" s="86" t="s">
        <v>220</v>
      </c>
      <c r="AF87" s="651"/>
      <c r="AG87" s="651"/>
      <c r="AH87" s="217"/>
    </row>
    <row r="88" spans="1:45" s="18" customFormat="1" ht="15" customHeight="1" x14ac:dyDescent="0.3">
      <c r="A88" s="225"/>
      <c r="B88" s="215" t="s">
        <v>221</v>
      </c>
      <c r="C88" s="215"/>
      <c r="E88" s="226" t="s">
        <v>222</v>
      </c>
      <c r="F88" s="227"/>
      <c r="O88" s="216">
        <v>6</v>
      </c>
      <c r="P88" s="17" t="s">
        <v>223</v>
      </c>
      <c r="Q88" s="78"/>
      <c r="R88" s="17"/>
      <c r="S88" s="17"/>
      <c r="T88" s="17"/>
      <c r="V88" s="222"/>
      <c r="Z88" s="222"/>
      <c r="AA88" s="223"/>
      <c r="AC88" s="217"/>
      <c r="AE88" s="86" t="s">
        <v>224</v>
      </c>
      <c r="AF88" s="651"/>
      <c r="AG88" s="651"/>
      <c r="AH88" s="217"/>
    </row>
    <row r="89" spans="1:45" s="18" customFormat="1" ht="18" customHeight="1" x14ac:dyDescent="0.2">
      <c r="A89" s="225"/>
      <c r="B89" s="215" t="s">
        <v>225</v>
      </c>
      <c r="C89" s="215"/>
      <c r="E89" s="172" t="s">
        <v>226</v>
      </c>
      <c r="O89" s="228" t="s">
        <v>227</v>
      </c>
      <c r="Q89" s="223"/>
      <c r="V89" s="222"/>
      <c r="Z89" s="222"/>
      <c r="AA89" s="223"/>
      <c r="AC89" s="217"/>
      <c r="AE89" s="86" t="s">
        <v>228</v>
      </c>
      <c r="AF89" s="651"/>
      <c r="AG89" s="651"/>
      <c r="AH89" s="217"/>
    </row>
    <row r="90" spans="1:45" s="156" customFormat="1" ht="17.25" customHeight="1" thickBot="1" x14ac:dyDescent="0.25">
      <c r="A90" s="229"/>
      <c r="B90" s="230"/>
      <c r="C90" s="230"/>
      <c r="D90" s="231"/>
      <c r="E90" s="232"/>
      <c r="F90" s="231"/>
      <c r="G90" s="231"/>
      <c r="H90" s="231"/>
      <c r="I90" s="231"/>
      <c r="J90" s="231"/>
      <c r="K90" s="231"/>
      <c r="L90" s="231"/>
      <c r="M90" s="231"/>
      <c r="N90" s="233"/>
      <c r="O90" s="234" t="s">
        <v>229</v>
      </c>
      <c r="P90" s="231"/>
      <c r="Q90" s="231"/>
      <c r="R90" s="231"/>
      <c r="S90" s="231"/>
      <c r="T90" s="231"/>
      <c r="U90" s="231"/>
      <c r="V90" s="231"/>
      <c r="W90" s="231"/>
      <c r="X90" s="231"/>
      <c r="Y90" s="231"/>
      <c r="Z90" s="233"/>
      <c r="AA90" s="235"/>
      <c r="AB90" s="231"/>
      <c r="AC90" s="236"/>
      <c r="AD90" s="231"/>
      <c r="AE90" s="237" t="s">
        <v>230</v>
      </c>
      <c r="AF90" s="231"/>
      <c r="AG90" s="231"/>
      <c r="AH90" s="236"/>
    </row>
    <row r="91" spans="1:45" s="133" customFormat="1" ht="18" customHeight="1" x14ac:dyDescent="0.2">
      <c r="A91" s="238" t="s">
        <v>119</v>
      </c>
      <c r="B91" s="145"/>
      <c r="C91" s="145"/>
      <c r="D91" s="146"/>
      <c r="J91" s="147"/>
      <c r="V91" s="147"/>
      <c r="W91" s="148"/>
    </row>
    <row r="92" spans="1:45" s="18" customFormat="1" ht="15" customHeight="1" x14ac:dyDescent="0.2">
      <c r="A92" s="238" t="s">
        <v>122</v>
      </c>
      <c r="D92" s="19"/>
      <c r="AI92" s="19"/>
      <c r="AJ92" s="19"/>
      <c r="AR92" s="19"/>
      <c r="AS92" s="19"/>
    </row>
    <row r="94" spans="1:45" s="88" customFormat="1" ht="15" x14ac:dyDescent="0.25">
      <c r="B94" s="88" t="s">
        <v>53</v>
      </c>
      <c r="D94" s="89"/>
      <c r="E94" s="88" t="s">
        <v>54</v>
      </c>
      <c r="T94" s="88" t="s">
        <v>55</v>
      </c>
      <c r="AI94" s="89"/>
      <c r="AJ94" s="89"/>
      <c r="AR94" s="89"/>
      <c r="AS94" s="89"/>
    </row>
    <row r="95" spans="1:45" s="18" customFormat="1" ht="21.75" customHeight="1" x14ac:dyDescent="0.2">
      <c r="D95" s="19"/>
      <c r="AI95" s="19"/>
      <c r="AJ95" s="19"/>
      <c r="AR95" s="19"/>
      <c r="AS95" s="19"/>
    </row>
    <row r="96" spans="1:45" s="18" customFormat="1" ht="15.75" customHeight="1" x14ac:dyDescent="0.2">
      <c r="D96" s="19"/>
      <c r="AI96" s="19"/>
      <c r="AJ96" s="19"/>
      <c r="AR96" s="19"/>
      <c r="AS96" s="19"/>
    </row>
    <row r="97" spans="1:45" s="18" customFormat="1" ht="17.25" customHeight="1" x14ac:dyDescent="0.2">
      <c r="B97" s="90"/>
      <c r="D97" s="19"/>
      <c r="E97" s="90"/>
      <c r="F97" s="90"/>
      <c r="G97" s="90"/>
      <c r="H97" s="90"/>
      <c r="I97" s="90"/>
      <c r="J97" s="90"/>
      <c r="K97" s="90"/>
      <c r="L97" s="90"/>
      <c r="T97" s="90"/>
      <c r="U97" s="90"/>
      <c r="V97" s="90"/>
      <c r="W97" s="90"/>
      <c r="X97" s="90"/>
      <c r="Y97" s="90"/>
      <c r="Z97" s="90"/>
      <c r="AA97" s="90"/>
      <c r="AI97" s="19"/>
      <c r="AJ97" s="19"/>
      <c r="AR97" s="19"/>
      <c r="AS97" s="19"/>
    </row>
    <row r="98" spans="1:45" s="18" customFormat="1" ht="18" customHeight="1" x14ac:dyDescent="0.2">
      <c r="B98" s="18" t="s">
        <v>56</v>
      </c>
      <c r="D98" s="19"/>
      <c r="E98" s="18" t="s">
        <v>56</v>
      </c>
      <c r="T98" s="18" t="s">
        <v>57</v>
      </c>
      <c r="AI98" s="19"/>
      <c r="AJ98" s="19"/>
      <c r="AR98" s="19"/>
      <c r="AS98" s="19"/>
    </row>
    <row r="99" spans="1:45" s="18" customFormat="1" ht="15.75" customHeight="1" x14ac:dyDescent="0.2">
      <c r="B99" s="18" t="s">
        <v>58</v>
      </c>
      <c r="D99" s="19"/>
      <c r="E99" s="18" t="s">
        <v>59</v>
      </c>
      <c r="T99" s="18" t="s">
        <v>58</v>
      </c>
      <c r="AI99" s="19"/>
      <c r="AJ99" s="19"/>
      <c r="AR99" s="19"/>
      <c r="AS99" s="19"/>
    </row>
    <row r="100" spans="1:45" s="18" customFormat="1" ht="6" customHeight="1" thickBot="1" x14ac:dyDescent="0.25">
      <c r="C100" s="19"/>
      <c r="AI100" s="19"/>
      <c r="AJ100" s="19"/>
    </row>
    <row r="101" spans="1:45" s="1" customFormat="1" ht="29.25" customHeight="1" x14ac:dyDescent="0.2">
      <c r="A101" s="294">
        <v>31</v>
      </c>
      <c r="B101" s="295"/>
      <c r="C101" s="93"/>
      <c r="D101" s="93"/>
      <c r="E101" s="93"/>
      <c r="F101" s="93"/>
      <c r="G101" s="396"/>
      <c r="H101" s="397"/>
      <c r="I101" s="397"/>
      <c r="J101" s="397"/>
      <c r="K101" s="397"/>
      <c r="L101" s="397"/>
      <c r="M101" s="398"/>
      <c r="N101" s="399"/>
      <c r="O101" s="400"/>
      <c r="P101" s="397"/>
      <c r="Q101" s="397"/>
      <c r="R101" s="397"/>
      <c r="S101" s="398"/>
      <c r="T101" s="396"/>
      <c r="U101" s="397"/>
      <c r="V101" s="397"/>
      <c r="W101" s="397"/>
      <c r="X101" s="401"/>
      <c r="Y101" s="399"/>
      <c r="Z101" s="400"/>
      <c r="AA101" s="397"/>
      <c r="AB101" s="398"/>
      <c r="AC101" s="399"/>
      <c r="AE101" s="399"/>
      <c r="AF101" s="399"/>
      <c r="AG101" s="399"/>
      <c r="AH101" s="399"/>
    </row>
    <row r="102" spans="1:45" s="1" customFormat="1" ht="29.25" customHeight="1" x14ac:dyDescent="0.2">
      <c r="A102" s="95">
        <f>A101+1</f>
        <v>32</v>
      </c>
      <c r="B102" s="103"/>
      <c r="C102" s="97"/>
      <c r="D102" s="97"/>
      <c r="E102" s="97"/>
      <c r="F102" s="97"/>
      <c r="G102" s="402"/>
      <c r="H102" s="403"/>
      <c r="I102" s="403"/>
      <c r="J102" s="403"/>
      <c r="K102" s="403"/>
      <c r="L102" s="403"/>
      <c r="M102" s="404"/>
      <c r="N102" s="293"/>
      <c r="O102" s="405"/>
      <c r="P102" s="403"/>
      <c r="Q102" s="403"/>
      <c r="R102" s="403"/>
      <c r="S102" s="404"/>
      <c r="T102" s="402"/>
      <c r="U102" s="403"/>
      <c r="V102" s="403"/>
      <c r="W102" s="403"/>
      <c r="X102" s="406"/>
      <c r="Y102" s="293"/>
      <c r="Z102" s="405"/>
      <c r="AA102" s="403"/>
      <c r="AB102" s="404"/>
      <c r="AC102" s="293"/>
      <c r="AE102" s="293"/>
      <c r="AF102" s="293"/>
      <c r="AG102" s="293"/>
      <c r="AH102" s="293"/>
    </row>
    <row r="103" spans="1:45" s="1" customFormat="1" ht="29.25" customHeight="1" x14ac:dyDescent="0.2">
      <c r="A103" s="95">
        <f>A102+1</f>
        <v>33</v>
      </c>
      <c r="B103" s="103"/>
      <c r="C103" s="97"/>
      <c r="D103" s="97"/>
      <c r="E103" s="97"/>
      <c r="F103" s="97"/>
      <c r="G103" s="402"/>
      <c r="H103" s="403"/>
      <c r="I103" s="403"/>
      <c r="J103" s="403"/>
      <c r="K103" s="403"/>
      <c r="L103" s="403"/>
      <c r="M103" s="404"/>
      <c r="N103" s="293"/>
      <c r="O103" s="405"/>
      <c r="P103" s="403"/>
      <c r="Q103" s="403"/>
      <c r="R103" s="403"/>
      <c r="S103" s="404"/>
      <c r="T103" s="402"/>
      <c r="U103" s="403"/>
      <c r="V103" s="403"/>
      <c r="W103" s="403"/>
      <c r="X103" s="406"/>
      <c r="Y103" s="293"/>
      <c r="Z103" s="405"/>
      <c r="AA103" s="403"/>
      <c r="AB103" s="404"/>
      <c r="AC103" s="293"/>
      <c r="AE103" s="293"/>
      <c r="AF103" s="293"/>
      <c r="AG103" s="293"/>
      <c r="AH103" s="293"/>
    </row>
    <row r="104" spans="1:45" s="1" customFormat="1" ht="29.25" customHeight="1" x14ac:dyDescent="0.2">
      <c r="A104" s="95">
        <f>A103+1</f>
        <v>34</v>
      </c>
      <c r="B104" s="103"/>
      <c r="C104" s="97"/>
      <c r="D104" s="97"/>
      <c r="E104" s="97"/>
      <c r="F104" s="97"/>
      <c r="G104" s="402"/>
      <c r="H104" s="403"/>
      <c r="I104" s="403"/>
      <c r="J104" s="403"/>
      <c r="K104" s="403"/>
      <c r="L104" s="403"/>
      <c r="M104" s="404"/>
      <c r="N104" s="293"/>
      <c r="O104" s="405"/>
      <c r="P104" s="403"/>
      <c r="Q104" s="403"/>
      <c r="R104" s="403"/>
      <c r="S104" s="404"/>
      <c r="T104" s="402"/>
      <c r="U104" s="403"/>
      <c r="V104" s="403"/>
      <c r="W104" s="403"/>
      <c r="X104" s="406"/>
      <c r="Y104" s="293"/>
      <c r="Z104" s="405"/>
      <c r="AA104" s="403"/>
      <c r="AB104" s="404"/>
      <c r="AC104" s="293"/>
      <c r="AE104" s="293"/>
      <c r="AF104" s="293"/>
      <c r="AG104" s="293"/>
      <c r="AH104" s="293"/>
    </row>
    <row r="105" spans="1:45" s="1" customFormat="1" ht="29.25" customHeight="1" x14ac:dyDescent="0.2">
      <c r="A105" s="95">
        <f>A104+1</f>
        <v>35</v>
      </c>
      <c r="B105" s="103"/>
      <c r="C105" s="97"/>
      <c r="D105" s="97"/>
      <c r="E105" s="97"/>
      <c r="F105" s="97"/>
      <c r="G105" s="402"/>
      <c r="H105" s="403"/>
      <c r="I105" s="403"/>
      <c r="J105" s="403"/>
      <c r="K105" s="403"/>
      <c r="L105" s="403"/>
      <c r="M105" s="404"/>
      <c r="N105" s="293"/>
      <c r="O105" s="405"/>
      <c r="P105" s="403"/>
      <c r="Q105" s="403"/>
      <c r="R105" s="403"/>
      <c r="S105" s="404"/>
      <c r="T105" s="402"/>
      <c r="U105" s="403"/>
      <c r="V105" s="403"/>
      <c r="W105" s="403"/>
      <c r="X105" s="406"/>
      <c r="Y105" s="293"/>
      <c r="Z105" s="405"/>
      <c r="AA105" s="403"/>
      <c r="AB105" s="404"/>
      <c r="AC105" s="293"/>
      <c r="AE105" s="293"/>
      <c r="AF105" s="293"/>
      <c r="AG105" s="293"/>
      <c r="AH105" s="293"/>
    </row>
    <row r="106" spans="1:45" s="1" customFormat="1" ht="29.25" customHeight="1" x14ac:dyDescent="0.2">
      <c r="A106" s="95">
        <f t="shared" ref="A106:A109" si="3">A105+1</f>
        <v>36</v>
      </c>
      <c r="B106" s="103"/>
      <c r="C106" s="97"/>
      <c r="D106" s="97"/>
      <c r="E106" s="97"/>
      <c r="F106" s="97"/>
      <c r="G106" s="402"/>
      <c r="H106" s="403"/>
      <c r="I106" s="403"/>
      <c r="J106" s="403"/>
      <c r="K106" s="403"/>
      <c r="L106" s="403"/>
      <c r="M106" s="404"/>
      <c r="N106" s="293"/>
      <c r="O106" s="405"/>
      <c r="P106" s="403"/>
      <c r="Q106" s="403"/>
      <c r="R106" s="403"/>
      <c r="S106" s="404"/>
      <c r="T106" s="402"/>
      <c r="U106" s="403"/>
      <c r="V106" s="403"/>
      <c r="W106" s="403"/>
      <c r="X106" s="406"/>
      <c r="Y106" s="293"/>
      <c r="Z106" s="405"/>
      <c r="AA106" s="403"/>
      <c r="AB106" s="404"/>
      <c r="AC106" s="293"/>
      <c r="AE106" s="293"/>
      <c r="AF106" s="293"/>
      <c r="AG106" s="293"/>
      <c r="AH106" s="293"/>
    </row>
    <row r="107" spans="1:45" s="1" customFormat="1" ht="29.25" customHeight="1" x14ac:dyDescent="0.2">
      <c r="A107" s="95">
        <f t="shared" si="3"/>
        <v>37</v>
      </c>
      <c r="B107" s="103"/>
      <c r="C107" s="97"/>
      <c r="D107" s="97"/>
      <c r="E107" s="97"/>
      <c r="F107" s="97"/>
      <c r="G107" s="402"/>
      <c r="H107" s="403"/>
      <c r="I107" s="403"/>
      <c r="J107" s="403"/>
      <c r="K107" s="403"/>
      <c r="L107" s="403"/>
      <c r="M107" s="404"/>
      <c r="N107" s="293"/>
      <c r="O107" s="405"/>
      <c r="P107" s="403"/>
      <c r="Q107" s="403"/>
      <c r="R107" s="403"/>
      <c r="S107" s="404"/>
      <c r="T107" s="402"/>
      <c r="U107" s="403"/>
      <c r="V107" s="403"/>
      <c r="W107" s="403"/>
      <c r="X107" s="406"/>
      <c r="Y107" s="293"/>
      <c r="Z107" s="405"/>
      <c r="AA107" s="403"/>
      <c r="AB107" s="404"/>
      <c r="AC107" s="293"/>
      <c r="AE107" s="293"/>
      <c r="AF107" s="293"/>
      <c r="AG107" s="293"/>
      <c r="AH107" s="293"/>
    </row>
    <row r="108" spans="1:45" s="1" customFormat="1" ht="29.25" customHeight="1" x14ac:dyDescent="0.2">
      <c r="A108" s="95">
        <f t="shared" si="3"/>
        <v>38</v>
      </c>
      <c r="B108" s="103"/>
      <c r="C108" s="97"/>
      <c r="D108" s="97"/>
      <c r="E108" s="97"/>
      <c r="F108" s="97"/>
      <c r="G108" s="402"/>
      <c r="H108" s="403"/>
      <c r="I108" s="403"/>
      <c r="J108" s="403"/>
      <c r="K108" s="403"/>
      <c r="L108" s="403"/>
      <c r="M108" s="404"/>
      <c r="N108" s="293"/>
      <c r="O108" s="405"/>
      <c r="P108" s="403"/>
      <c r="Q108" s="403"/>
      <c r="R108" s="403"/>
      <c r="S108" s="404"/>
      <c r="T108" s="402"/>
      <c r="U108" s="403"/>
      <c r="V108" s="403"/>
      <c r="W108" s="403"/>
      <c r="X108" s="406"/>
      <c r="Y108" s="293"/>
      <c r="Z108" s="405"/>
      <c r="AA108" s="403"/>
      <c r="AB108" s="404"/>
      <c r="AC108" s="293"/>
      <c r="AE108" s="293"/>
      <c r="AF108" s="293"/>
      <c r="AG108" s="293"/>
      <c r="AH108" s="293"/>
    </row>
    <row r="109" spans="1:45" s="1" customFormat="1" ht="29.25" customHeight="1" x14ac:dyDescent="0.2">
      <c r="A109" s="95">
        <f t="shared" si="3"/>
        <v>39</v>
      </c>
      <c r="B109" s="103"/>
      <c r="C109" s="97"/>
      <c r="D109" s="97"/>
      <c r="E109" s="97"/>
      <c r="F109" s="97"/>
      <c r="G109" s="402"/>
      <c r="H109" s="403"/>
      <c r="I109" s="403"/>
      <c r="J109" s="403"/>
      <c r="K109" s="403"/>
      <c r="L109" s="403"/>
      <c r="M109" s="404"/>
      <c r="N109" s="293"/>
      <c r="O109" s="405"/>
      <c r="P109" s="403"/>
      <c r="Q109" s="403"/>
      <c r="R109" s="403"/>
      <c r="S109" s="404"/>
      <c r="T109" s="402"/>
      <c r="U109" s="403"/>
      <c r="V109" s="403"/>
      <c r="W109" s="403"/>
      <c r="X109" s="406"/>
      <c r="Y109" s="293"/>
      <c r="Z109" s="405"/>
      <c r="AA109" s="403"/>
      <c r="AB109" s="404"/>
      <c r="AC109" s="293"/>
      <c r="AE109" s="293"/>
      <c r="AF109" s="293"/>
      <c r="AG109" s="293"/>
      <c r="AH109" s="293"/>
    </row>
    <row r="110" spans="1:45" s="1" customFormat="1" ht="29.25" customHeight="1" thickBot="1" x14ac:dyDescent="0.25">
      <c r="A110" s="95">
        <f>A109+1</f>
        <v>40</v>
      </c>
      <c r="B110" s="103"/>
      <c r="C110" s="97"/>
      <c r="D110" s="97"/>
      <c r="E110" s="97"/>
      <c r="F110" s="97"/>
      <c r="G110" s="407"/>
      <c r="H110" s="408"/>
      <c r="I110" s="408"/>
      <c r="J110" s="408"/>
      <c r="K110" s="408"/>
      <c r="L110" s="408"/>
      <c r="M110" s="409"/>
      <c r="N110" s="410"/>
      <c r="O110" s="411"/>
      <c r="P110" s="408"/>
      <c r="Q110" s="408"/>
      <c r="R110" s="408"/>
      <c r="S110" s="409"/>
      <c r="T110" s="407"/>
      <c r="U110" s="408"/>
      <c r="V110" s="408"/>
      <c r="W110" s="408"/>
      <c r="X110" s="412"/>
      <c r="Y110" s="410"/>
      <c r="Z110" s="411"/>
      <c r="AA110" s="408"/>
      <c r="AB110" s="409"/>
      <c r="AC110" s="410"/>
      <c r="AE110" s="410"/>
      <c r="AF110" s="410"/>
      <c r="AG110" s="410"/>
      <c r="AH110" s="410"/>
    </row>
    <row r="111" spans="1:45" s="18" customFormat="1" ht="18.75" customHeight="1" x14ac:dyDescent="0.25">
      <c r="A111" s="204" t="s">
        <v>193</v>
      </c>
      <c r="B111" s="205"/>
      <c r="C111" s="205"/>
      <c r="D111" s="206"/>
      <c r="E111" s="207">
        <v>5</v>
      </c>
      <c r="F111" s="208" t="s">
        <v>194</v>
      </c>
      <c r="G111" s="206"/>
      <c r="H111" s="206"/>
      <c r="I111" s="206"/>
      <c r="J111" s="206"/>
      <c r="K111" s="206"/>
      <c r="L111" s="206"/>
      <c r="M111" s="206"/>
      <c r="N111" s="206"/>
      <c r="O111" s="209" t="s">
        <v>195</v>
      </c>
      <c r="P111" s="210"/>
      <c r="Q111" s="206"/>
      <c r="R111" s="206"/>
      <c r="S111" s="206"/>
      <c r="T111" s="206"/>
      <c r="U111" s="206"/>
      <c r="V111" s="206"/>
      <c r="W111" s="206"/>
      <c r="X111" s="206"/>
      <c r="Y111" s="206"/>
      <c r="Z111" s="206"/>
      <c r="AA111" s="206"/>
      <c r="AB111" s="206"/>
      <c r="AC111" s="211"/>
      <c r="AD111" s="206"/>
      <c r="AE111" s="204" t="s">
        <v>302</v>
      </c>
      <c r="AF111" s="206"/>
      <c r="AG111" s="206"/>
      <c r="AH111" s="211"/>
    </row>
    <row r="112" spans="1:45" s="18" customFormat="1" ht="15" customHeight="1" x14ac:dyDescent="0.2">
      <c r="A112" s="212">
        <v>1</v>
      </c>
      <c r="B112" s="213" t="s">
        <v>196</v>
      </c>
      <c r="C112" s="213"/>
      <c r="E112" s="214"/>
      <c r="F112" s="215" t="s">
        <v>197</v>
      </c>
      <c r="O112" s="216">
        <v>1</v>
      </c>
      <c r="P112" s="17" t="s">
        <v>198</v>
      </c>
      <c r="Q112" s="17"/>
      <c r="R112" s="17"/>
      <c r="S112" s="17"/>
      <c r="T112" s="17"/>
      <c r="AC112" s="217"/>
      <c r="AE112" s="218" t="s">
        <v>50</v>
      </c>
      <c r="AF112" s="651"/>
      <c r="AG112" s="651"/>
      <c r="AH112" s="217"/>
    </row>
    <row r="113" spans="1:45" s="18" customFormat="1" ht="15" customHeight="1" x14ac:dyDescent="0.25">
      <c r="A113" s="219"/>
      <c r="B113" s="215" t="s">
        <v>199</v>
      </c>
      <c r="C113" s="215"/>
      <c r="E113" s="220">
        <v>6</v>
      </c>
      <c r="F113" s="213" t="s">
        <v>200</v>
      </c>
      <c r="O113" s="172"/>
      <c r="P113" s="17" t="s">
        <v>201</v>
      </c>
      <c r="Q113" s="17"/>
      <c r="R113" s="17"/>
      <c r="S113" s="17"/>
      <c r="T113" s="17"/>
      <c r="AC113" s="217"/>
      <c r="AE113" s="221" t="s">
        <v>202</v>
      </c>
      <c r="AF113" s="651"/>
      <c r="AG113" s="651"/>
      <c r="AH113" s="217"/>
    </row>
    <row r="114" spans="1:45" s="18" customFormat="1" ht="15" customHeight="1" x14ac:dyDescent="0.2">
      <c r="A114" s="219"/>
      <c r="B114" s="215" t="s">
        <v>203</v>
      </c>
      <c r="C114" s="215"/>
      <c r="E114" s="214"/>
      <c r="F114" s="215" t="s">
        <v>204</v>
      </c>
      <c r="O114" s="216">
        <v>2</v>
      </c>
      <c r="P114" s="17" t="s">
        <v>205</v>
      </c>
      <c r="Q114" s="17"/>
      <c r="R114" s="17"/>
      <c r="S114" s="17"/>
      <c r="T114" s="17"/>
      <c r="AC114" s="217"/>
      <c r="AE114" s="86" t="s">
        <v>206</v>
      </c>
      <c r="AF114" s="651"/>
      <c r="AG114" s="651"/>
      <c r="AH114" s="217"/>
    </row>
    <row r="115" spans="1:45" s="18" customFormat="1" ht="15" customHeight="1" x14ac:dyDescent="0.2">
      <c r="A115" s="212">
        <v>2</v>
      </c>
      <c r="B115" s="213" t="s">
        <v>207</v>
      </c>
      <c r="C115" s="213"/>
      <c r="E115" s="214"/>
      <c r="F115" s="213" t="s">
        <v>208</v>
      </c>
      <c r="O115" s="172"/>
      <c r="P115" s="17" t="s">
        <v>209</v>
      </c>
      <c r="Q115" s="78"/>
      <c r="R115" s="17"/>
      <c r="S115" s="17"/>
      <c r="T115" s="17"/>
      <c r="V115" s="222"/>
      <c r="Z115" s="222"/>
      <c r="AA115" s="223"/>
      <c r="AC115" s="217"/>
      <c r="AE115" s="86" t="s">
        <v>210</v>
      </c>
      <c r="AF115" s="651"/>
      <c r="AG115" s="651"/>
      <c r="AH115" s="217"/>
    </row>
    <row r="116" spans="1:45" s="18" customFormat="1" ht="15" customHeight="1" x14ac:dyDescent="0.25">
      <c r="A116" s="212">
        <v>3</v>
      </c>
      <c r="B116" s="213" t="s">
        <v>211</v>
      </c>
      <c r="C116" s="213"/>
      <c r="E116" s="220">
        <v>7</v>
      </c>
      <c r="F116" s="213" t="s">
        <v>212</v>
      </c>
      <c r="O116" s="216">
        <v>3</v>
      </c>
      <c r="P116" s="17" t="s">
        <v>213</v>
      </c>
      <c r="Q116" s="78"/>
      <c r="R116" s="17"/>
      <c r="S116" s="17"/>
      <c r="T116" s="17"/>
      <c r="V116" s="222"/>
      <c r="Z116" s="222"/>
      <c r="AA116" s="223"/>
      <c r="AC116" s="217"/>
      <c r="AE116" s="221" t="s">
        <v>214</v>
      </c>
      <c r="AF116" s="652"/>
      <c r="AG116" s="652"/>
      <c r="AH116" s="217"/>
    </row>
    <row r="117" spans="1:45" s="18" customFormat="1" ht="15" customHeight="1" x14ac:dyDescent="0.2">
      <c r="A117" s="219"/>
      <c r="B117" s="215" t="s">
        <v>215</v>
      </c>
      <c r="C117" s="215"/>
      <c r="E117" s="214"/>
      <c r="F117" s="213" t="s">
        <v>216</v>
      </c>
      <c r="O117" s="216">
        <v>4</v>
      </c>
      <c r="P117" s="17" t="s">
        <v>217</v>
      </c>
      <c r="Q117" s="78"/>
      <c r="R117" s="17"/>
      <c r="S117" s="17"/>
      <c r="T117" s="17"/>
      <c r="V117" s="222"/>
      <c r="Z117" s="222"/>
      <c r="AA117" s="223"/>
      <c r="AC117" s="217"/>
      <c r="AE117" s="86" t="s">
        <v>218</v>
      </c>
      <c r="AF117" s="651"/>
      <c r="AG117" s="651"/>
      <c r="AH117" s="217"/>
    </row>
    <row r="118" spans="1:45" s="18" customFormat="1" ht="15" customHeight="1" x14ac:dyDescent="0.2">
      <c r="A118" s="212">
        <v>4</v>
      </c>
      <c r="B118" s="213" t="s">
        <v>219</v>
      </c>
      <c r="C118" s="213"/>
      <c r="E118" s="214"/>
      <c r="O118" s="216">
        <v>5</v>
      </c>
      <c r="P118" s="17" t="s">
        <v>171</v>
      </c>
      <c r="Q118" s="78"/>
      <c r="R118" s="17"/>
      <c r="S118" s="17"/>
      <c r="T118" s="17"/>
      <c r="V118" s="222"/>
      <c r="Z118" s="222"/>
      <c r="AA118" s="223"/>
      <c r="AC118" s="217"/>
      <c r="AE118" s="86" t="s">
        <v>220</v>
      </c>
      <c r="AF118" s="651"/>
      <c r="AG118" s="651"/>
      <c r="AH118" s="217"/>
    </row>
    <row r="119" spans="1:45" s="18" customFormat="1" ht="15" customHeight="1" x14ac:dyDescent="0.3">
      <c r="A119" s="225"/>
      <c r="B119" s="215" t="s">
        <v>221</v>
      </c>
      <c r="C119" s="215"/>
      <c r="E119" s="226" t="s">
        <v>222</v>
      </c>
      <c r="F119" s="227"/>
      <c r="O119" s="216">
        <v>6</v>
      </c>
      <c r="P119" s="17" t="s">
        <v>223</v>
      </c>
      <c r="Q119" s="78"/>
      <c r="R119" s="17"/>
      <c r="S119" s="17"/>
      <c r="T119" s="17"/>
      <c r="V119" s="222"/>
      <c r="Z119" s="222"/>
      <c r="AA119" s="223"/>
      <c r="AC119" s="217"/>
      <c r="AE119" s="86" t="s">
        <v>224</v>
      </c>
      <c r="AF119" s="651"/>
      <c r="AG119" s="651"/>
      <c r="AH119" s="217"/>
    </row>
    <row r="120" spans="1:45" s="18" customFormat="1" ht="18" customHeight="1" x14ac:dyDescent="0.2">
      <c r="A120" s="225"/>
      <c r="B120" s="215" t="s">
        <v>225</v>
      </c>
      <c r="C120" s="215"/>
      <c r="E120" s="172" t="s">
        <v>226</v>
      </c>
      <c r="O120" s="228" t="s">
        <v>227</v>
      </c>
      <c r="Q120" s="223"/>
      <c r="V120" s="222"/>
      <c r="Z120" s="222"/>
      <c r="AA120" s="223"/>
      <c r="AC120" s="217"/>
      <c r="AE120" s="86" t="s">
        <v>228</v>
      </c>
      <c r="AF120" s="651"/>
      <c r="AG120" s="651"/>
      <c r="AH120" s="217"/>
    </row>
    <row r="121" spans="1:45" s="156" customFormat="1" ht="17.25" customHeight="1" thickBot="1" x14ac:dyDescent="0.25">
      <c r="A121" s="229"/>
      <c r="B121" s="230"/>
      <c r="C121" s="230"/>
      <c r="D121" s="231"/>
      <c r="E121" s="232"/>
      <c r="F121" s="231"/>
      <c r="G121" s="231"/>
      <c r="H121" s="231"/>
      <c r="I121" s="231"/>
      <c r="J121" s="231"/>
      <c r="K121" s="231"/>
      <c r="L121" s="231"/>
      <c r="M121" s="231"/>
      <c r="N121" s="233"/>
      <c r="O121" s="234" t="s">
        <v>229</v>
      </c>
      <c r="P121" s="231"/>
      <c r="Q121" s="231"/>
      <c r="R121" s="231"/>
      <c r="S121" s="231"/>
      <c r="T121" s="231"/>
      <c r="U121" s="231"/>
      <c r="V121" s="231"/>
      <c r="W121" s="231"/>
      <c r="X121" s="231"/>
      <c r="Y121" s="231"/>
      <c r="Z121" s="233"/>
      <c r="AA121" s="235"/>
      <c r="AB121" s="231"/>
      <c r="AC121" s="236"/>
      <c r="AD121" s="231"/>
      <c r="AE121" s="237" t="s">
        <v>230</v>
      </c>
      <c r="AF121" s="231"/>
      <c r="AG121" s="231"/>
      <c r="AH121" s="236"/>
    </row>
    <row r="122" spans="1:45" s="133" customFormat="1" ht="18" customHeight="1" x14ac:dyDescent="0.2">
      <c r="A122" s="238" t="s">
        <v>119</v>
      </c>
      <c r="B122" s="145"/>
      <c r="C122" s="145"/>
      <c r="D122" s="146"/>
      <c r="J122" s="147"/>
      <c r="V122" s="147"/>
      <c r="W122" s="148"/>
    </row>
    <row r="123" spans="1:45" s="18" customFormat="1" ht="15" customHeight="1" x14ac:dyDescent="0.2">
      <c r="A123" s="238" t="s">
        <v>122</v>
      </c>
      <c r="D123" s="19"/>
      <c r="AI123" s="19"/>
      <c r="AJ123" s="19"/>
      <c r="AR123" s="19"/>
      <c r="AS123" s="19"/>
    </row>
    <row r="125" spans="1:45" s="88" customFormat="1" ht="15" x14ac:dyDescent="0.25">
      <c r="B125" s="88" t="s">
        <v>53</v>
      </c>
      <c r="D125" s="89"/>
      <c r="E125" s="88" t="s">
        <v>54</v>
      </c>
      <c r="T125" s="88" t="s">
        <v>55</v>
      </c>
      <c r="AI125" s="89"/>
      <c r="AJ125" s="89"/>
      <c r="AR125" s="89"/>
      <c r="AS125" s="89"/>
    </row>
    <row r="126" spans="1:45" s="18" customFormat="1" ht="21.75" customHeight="1" x14ac:dyDescent="0.2">
      <c r="D126" s="19"/>
      <c r="AI126" s="19"/>
      <c r="AJ126" s="19"/>
      <c r="AR126" s="19"/>
      <c r="AS126" s="19"/>
    </row>
    <row r="127" spans="1:45" s="18" customFormat="1" ht="15.75" customHeight="1" x14ac:dyDescent="0.2">
      <c r="D127" s="19"/>
      <c r="AI127" s="19"/>
      <c r="AJ127" s="19"/>
      <c r="AR127" s="19"/>
      <c r="AS127" s="19"/>
    </row>
    <row r="128" spans="1:45" s="18" customFormat="1" ht="17.25" customHeight="1" x14ac:dyDescent="0.2">
      <c r="B128" s="90"/>
      <c r="D128" s="19"/>
      <c r="E128" s="90"/>
      <c r="F128" s="90"/>
      <c r="G128" s="90"/>
      <c r="H128" s="90"/>
      <c r="I128" s="90"/>
      <c r="J128" s="90"/>
      <c r="K128" s="90"/>
      <c r="L128" s="90"/>
      <c r="T128" s="90"/>
      <c r="U128" s="90"/>
      <c r="V128" s="90"/>
      <c r="W128" s="90"/>
      <c r="X128" s="90"/>
      <c r="Y128" s="90"/>
      <c r="Z128" s="90"/>
      <c r="AA128" s="90"/>
      <c r="AI128" s="19"/>
      <c r="AJ128" s="19"/>
      <c r="AR128" s="19"/>
      <c r="AS128" s="19"/>
    </row>
    <row r="129" spans="1:45" s="18" customFormat="1" ht="18" customHeight="1" x14ac:dyDescent="0.2">
      <c r="B129" s="18" t="s">
        <v>56</v>
      </c>
      <c r="D129" s="19"/>
      <c r="E129" s="18" t="s">
        <v>56</v>
      </c>
      <c r="T129" s="18" t="s">
        <v>57</v>
      </c>
      <c r="AI129" s="19"/>
      <c r="AJ129" s="19"/>
      <c r="AR129" s="19"/>
      <c r="AS129" s="19"/>
    </row>
    <row r="130" spans="1:45" s="18" customFormat="1" ht="15.75" customHeight="1" x14ac:dyDescent="0.2">
      <c r="B130" s="18" t="s">
        <v>58</v>
      </c>
      <c r="D130" s="19"/>
      <c r="E130" s="18" t="s">
        <v>59</v>
      </c>
      <c r="T130" s="18" t="s">
        <v>58</v>
      </c>
      <c r="AI130" s="19"/>
      <c r="AJ130" s="19"/>
      <c r="AR130" s="19"/>
      <c r="AS130" s="19"/>
    </row>
    <row r="131" spans="1:45" s="18" customFormat="1" ht="6" customHeight="1" thickBot="1" x14ac:dyDescent="0.25">
      <c r="C131" s="19"/>
      <c r="AI131" s="19"/>
      <c r="AJ131" s="19"/>
    </row>
    <row r="132" spans="1:45" s="1" customFormat="1" ht="29.25" customHeight="1" x14ac:dyDescent="0.2">
      <c r="A132" s="294">
        <v>41</v>
      </c>
      <c r="B132" s="295"/>
      <c r="C132" s="93"/>
      <c r="D132" s="93"/>
      <c r="E132" s="93"/>
      <c r="F132" s="93"/>
      <c r="G132" s="396"/>
      <c r="H132" s="397"/>
      <c r="I132" s="397"/>
      <c r="J132" s="397"/>
      <c r="K132" s="397"/>
      <c r="L132" s="397"/>
      <c r="M132" s="398"/>
      <c r="N132" s="399"/>
      <c r="O132" s="400"/>
      <c r="P132" s="397"/>
      <c r="Q132" s="397"/>
      <c r="R132" s="397"/>
      <c r="S132" s="398"/>
      <c r="T132" s="396"/>
      <c r="U132" s="397"/>
      <c r="V132" s="397"/>
      <c r="W132" s="397"/>
      <c r="X132" s="401"/>
      <c r="Y132" s="399"/>
      <c r="Z132" s="400"/>
      <c r="AA132" s="397"/>
      <c r="AB132" s="398"/>
      <c r="AC132" s="399"/>
      <c r="AE132" s="399"/>
      <c r="AF132" s="399"/>
      <c r="AG132" s="399"/>
      <c r="AH132" s="399"/>
    </row>
    <row r="133" spans="1:45" s="1" customFormat="1" ht="29.25" customHeight="1" x14ac:dyDescent="0.2">
      <c r="A133" s="95">
        <f>A132+1</f>
        <v>42</v>
      </c>
      <c r="B133" s="103"/>
      <c r="C133" s="97"/>
      <c r="D133" s="97"/>
      <c r="E133" s="97"/>
      <c r="F133" s="97"/>
      <c r="G133" s="402"/>
      <c r="H133" s="403"/>
      <c r="I133" s="403"/>
      <c r="J133" s="403"/>
      <c r="K133" s="403"/>
      <c r="L133" s="403"/>
      <c r="M133" s="404"/>
      <c r="N133" s="293"/>
      <c r="O133" s="405"/>
      <c r="P133" s="403"/>
      <c r="Q133" s="403"/>
      <c r="R133" s="403"/>
      <c r="S133" s="404"/>
      <c r="T133" s="402"/>
      <c r="U133" s="403"/>
      <c r="V133" s="403"/>
      <c r="W133" s="403"/>
      <c r="X133" s="406"/>
      <c r="Y133" s="293"/>
      <c r="Z133" s="405"/>
      <c r="AA133" s="403"/>
      <c r="AB133" s="404"/>
      <c r="AC133" s="293"/>
      <c r="AE133" s="293"/>
      <c r="AF133" s="293"/>
      <c r="AG133" s="293"/>
      <c r="AH133" s="293"/>
    </row>
    <row r="134" spans="1:45" s="1" customFormat="1" ht="29.25" customHeight="1" x14ac:dyDescent="0.2">
      <c r="A134" s="95">
        <f>A133+1</f>
        <v>43</v>
      </c>
      <c r="B134" s="103"/>
      <c r="C134" s="97"/>
      <c r="D134" s="97"/>
      <c r="E134" s="97"/>
      <c r="F134" s="97"/>
      <c r="G134" s="402"/>
      <c r="H134" s="403"/>
      <c r="I134" s="403"/>
      <c r="J134" s="403"/>
      <c r="K134" s="403"/>
      <c r="L134" s="403"/>
      <c r="M134" s="404"/>
      <c r="N134" s="293"/>
      <c r="O134" s="405"/>
      <c r="P134" s="403"/>
      <c r="Q134" s="403"/>
      <c r="R134" s="403"/>
      <c r="S134" s="404"/>
      <c r="T134" s="402"/>
      <c r="U134" s="403"/>
      <c r="V134" s="403"/>
      <c r="W134" s="403"/>
      <c r="X134" s="406"/>
      <c r="Y134" s="293"/>
      <c r="Z134" s="405"/>
      <c r="AA134" s="403"/>
      <c r="AB134" s="404"/>
      <c r="AC134" s="293"/>
      <c r="AE134" s="293"/>
      <c r="AF134" s="293"/>
      <c r="AG134" s="293"/>
      <c r="AH134" s="293"/>
    </row>
    <row r="135" spans="1:45" s="1" customFormat="1" ht="29.25" customHeight="1" x14ac:dyDescent="0.2">
      <c r="A135" s="95">
        <f>A134+1</f>
        <v>44</v>
      </c>
      <c r="B135" s="103"/>
      <c r="C135" s="97"/>
      <c r="D135" s="97"/>
      <c r="E135" s="97"/>
      <c r="F135" s="97"/>
      <c r="G135" s="402"/>
      <c r="H135" s="403"/>
      <c r="I135" s="403"/>
      <c r="J135" s="403"/>
      <c r="K135" s="403"/>
      <c r="L135" s="403"/>
      <c r="M135" s="404"/>
      <c r="N135" s="293"/>
      <c r="O135" s="405"/>
      <c r="P135" s="403"/>
      <c r="Q135" s="403"/>
      <c r="R135" s="403"/>
      <c r="S135" s="404"/>
      <c r="T135" s="402"/>
      <c r="U135" s="403"/>
      <c r="V135" s="403"/>
      <c r="W135" s="403"/>
      <c r="X135" s="406"/>
      <c r="Y135" s="293"/>
      <c r="Z135" s="405"/>
      <c r="AA135" s="403"/>
      <c r="AB135" s="404"/>
      <c r="AC135" s="293"/>
      <c r="AE135" s="293"/>
      <c r="AF135" s="293"/>
      <c r="AG135" s="293"/>
      <c r="AH135" s="293"/>
    </row>
    <row r="136" spans="1:45" s="1" customFormat="1" ht="29.25" customHeight="1" x14ac:dyDescent="0.2">
      <c r="A136" s="95">
        <f>A135+1</f>
        <v>45</v>
      </c>
      <c r="B136" s="103"/>
      <c r="C136" s="97"/>
      <c r="D136" s="97"/>
      <c r="E136" s="97"/>
      <c r="F136" s="97"/>
      <c r="G136" s="402"/>
      <c r="H136" s="403"/>
      <c r="I136" s="403"/>
      <c r="J136" s="403"/>
      <c r="K136" s="403"/>
      <c r="L136" s="403"/>
      <c r="M136" s="404"/>
      <c r="N136" s="293"/>
      <c r="O136" s="405"/>
      <c r="P136" s="403"/>
      <c r="Q136" s="403"/>
      <c r="R136" s="403"/>
      <c r="S136" s="404"/>
      <c r="T136" s="402"/>
      <c r="U136" s="403"/>
      <c r="V136" s="403"/>
      <c r="W136" s="403"/>
      <c r="X136" s="406"/>
      <c r="Y136" s="293"/>
      <c r="Z136" s="405"/>
      <c r="AA136" s="403"/>
      <c r="AB136" s="404"/>
      <c r="AC136" s="293"/>
      <c r="AE136" s="293"/>
      <c r="AF136" s="293"/>
      <c r="AG136" s="293"/>
      <c r="AH136" s="293"/>
    </row>
    <row r="137" spans="1:45" s="1" customFormat="1" ht="29.25" customHeight="1" x14ac:dyDescent="0.2">
      <c r="A137" s="95">
        <f t="shared" ref="A137:A140" si="4">A136+1</f>
        <v>46</v>
      </c>
      <c r="B137" s="103"/>
      <c r="C137" s="97"/>
      <c r="D137" s="97"/>
      <c r="E137" s="97"/>
      <c r="F137" s="97"/>
      <c r="G137" s="402"/>
      <c r="H137" s="403"/>
      <c r="I137" s="403"/>
      <c r="J137" s="403"/>
      <c r="K137" s="403"/>
      <c r="L137" s="403"/>
      <c r="M137" s="404"/>
      <c r="N137" s="293"/>
      <c r="O137" s="405"/>
      <c r="P137" s="403"/>
      <c r="Q137" s="403"/>
      <c r="R137" s="403"/>
      <c r="S137" s="404"/>
      <c r="T137" s="402"/>
      <c r="U137" s="403"/>
      <c r="V137" s="403"/>
      <c r="W137" s="403"/>
      <c r="X137" s="406"/>
      <c r="Y137" s="293"/>
      <c r="Z137" s="405"/>
      <c r="AA137" s="403"/>
      <c r="AB137" s="404"/>
      <c r="AC137" s="293"/>
      <c r="AE137" s="293"/>
      <c r="AF137" s="293"/>
      <c r="AG137" s="293"/>
      <c r="AH137" s="293"/>
    </row>
    <row r="138" spans="1:45" s="1" customFormat="1" ht="29.25" customHeight="1" x14ac:dyDescent="0.2">
      <c r="A138" s="95">
        <f t="shared" si="4"/>
        <v>47</v>
      </c>
      <c r="B138" s="103"/>
      <c r="C138" s="97"/>
      <c r="D138" s="97"/>
      <c r="E138" s="97"/>
      <c r="F138" s="97"/>
      <c r="G138" s="402"/>
      <c r="H138" s="403"/>
      <c r="I138" s="403"/>
      <c r="J138" s="403"/>
      <c r="K138" s="403"/>
      <c r="L138" s="403"/>
      <c r="M138" s="404"/>
      <c r="N138" s="293"/>
      <c r="O138" s="405"/>
      <c r="P138" s="403"/>
      <c r="Q138" s="403"/>
      <c r="R138" s="403"/>
      <c r="S138" s="404"/>
      <c r="T138" s="402"/>
      <c r="U138" s="403"/>
      <c r="V138" s="403"/>
      <c r="W138" s="403"/>
      <c r="X138" s="406"/>
      <c r="Y138" s="293"/>
      <c r="Z138" s="405"/>
      <c r="AA138" s="403"/>
      <c r="AB138" s="404"/>
      <c r="AC138" s="293"/>
      <c r="AE138" s="293"/>
      <c r="AF138" s="293"/>
      <c r="AG138" s="293"/>
      <c r="AH138" s="293"/>
    </row>
    <row r="139" spans="1:45" s="1" customFormat="1" ht="29.25" customHeight="1" x14ac:dyDescent="0.2">
      <c r="A139" s="95">
        <f t="shared" si="4"/>
        <v>48</v>
      </c>
      <c r="B139" s="103"/>
      <c r="C139" s="97"/>
      <c r="D139" s="97"/>
      <c r="E139" s="97"/>
      <c r="F139" s="97"/>
      <c r="G139" s="402"/>
      <c r="H139" s="403"/>
      <c r="I139" s="403"/>
      <c r="J139" s="403"/>
      <c r="K139" s="403"/>
      <c r="L139" s="403"/>
      <c r="M139" s="404"/>
      <c r="N139" s="293"/>
      <c r="O139" s="405"/>
      <c r="P139" s="403"/>
      <c r="Q139" s="403"/>
      <c r="R139" s="403"/>
      <c r="S139" s="404"/>
      <c r="T139" s="402"/>
      <c r="U139" s="403"/>
      <c r="V139" s="403"/>
      <c r="W139" s="403"/>
      <c r="X139" s="406"/>
      <c r="Y139" s="293"/>
      <c r="Z139" s="405"/>
      <c r="AA139" s="403"/>
      <c r="AB139" s="404"/>
      <c r="AC139" s="293"/>
      <c r="AE139" s="293"/>
      <c r="AF139" s="293"/>
      <c r="AG139" s="293"/>
      <c r="AH139" s="293"/>
    </row>
    <row r="140" spans="1:45" s="1" customFormat="1" ht="29.25" customHeight="1" x14ac:dyDescent="0.2">
      <c r="A140" s="95">
        <f t="shared" si="4"/>
        <v>49</v>
      </c>
      <c r="B140" s="103"/>
      <c r="C140" s="97"/>
      <c r="D140" s="97"/>
      <c r="E140" s="97"/>
      <c r="F140" s="97"/>
      <c r="G140" s="402"/>
      <c r="H140" s="403"/>
      <c r="I140" s="403"/>
      <c r="J140" s="403"/>
      <c r="K140" s="403"/>
      <c r="L140" s="403"/>
      <c r="M140" s="404"/>
      <c r="N140" s="293"/>
      <c r="O140" s="405"/>
      <c r="P140" s="403"/>
      <c r="Q140" s="403"/>
      <c r="R140" s="403"/>
      <c r="S140" s="404"/>
      <c r="T140" s="402"/>
      <c r="U140" s="403"/>
      <c r="V140" s="403"/>
      <c r="W140" s="403"/>
      <c r="X140" s="406"/>
      <c r="Y140" s="293"/>
      <c r="Z140" s="405"/>
      <c r="AA140" s="403"/>
      <c r="AB140" s="404"/>
      <c r="AC140" s="293"/>
      <c r="AE140" s="293"/>
      <c r="AF140" s="293"/>
      <c r="AG140" s="293"/>
      <c r="AH140" s="293"/>
    </row>
    <row r="141" spans="1:45" s="1" customFormat="1" ht="29.25" customHeight="1" thickBot="1" x14ac:dyDescent="0.25">
      <c r="A141" s="95">
        <f>A140+1</f>
        <v>50</v>
      </c>
      <c r="B141" s="103"/>
      <c r="C141" s="97"/>
      <c r="D141" s="97"/>
      <c r="E141" s="97"/>
      <c r="F141" s="97"/>
      <c r="G141" s="407"/>
      <c r="H141" s="408"/>
      <c r="I141" s="408"/>
      <c r="J141" s="408"/>
      <c r="K141" s="408"/>
      <c r="L141" s="408"/>
      <c r="M141" s="409"/>
      <c r="N141" s="410"/>
      <c r="O141" s="411"/>
      <c r="P141" s="408"/>
      <c r="Q141" s="408"/>
      <c r="R141" s="408"/>
      <c r="S141" s="409"/>
      <c r="T141" s="407"/>
      <c r="U141" s="408"/>
      <c r="V141" s="408"/>
      <c r="W141" s="408"/>
      <c r="X141" s="412"/>
      <c r="Y141" s="410"/>
      <c r="Z141" s="411"/>
      <c r="AA141" s="408"/>
      <c r="AB141" s="409"/>
      <c r="AC141" s="410"/>
      <c r="AE141" s="410"/>
      <c r="AF141" s="410"/>
      <c r="AG141" s="410"/>
      <c r="AH141" s="410"/>
    </row>
    <row r="142" spans="1:45" s="18" customFormat="1" ht="18.75" customHeight="1" x14ac:dyDescent="0.25">
      <c r="A142" s="204" t="s">
        <v>193</v>
      </c>
      <c r="B142" s="205"/>
      <c r="C142" s="205"/>
      <c r="D142" s="206"/>
      <c r="E142" s="207">
        <v>5</v>
      </c>
      <c r="F142" s="208" t="s">
        <v>194</v>
      </c>
      <c r="G142" s="206"/>
      <c r="H142" s="206"/>
      <c r="I142" s="206"/>
      <c r="J142" s="206"/>
      <c r="K142" s="206"/>
      <c r="L142" s="206"/>
      <c r="M142" s="206"/>
      <c r="N142" s="206"/>
      <c r="O142" s="209" t="s">
        <v>195</v>
      </c>
      <c r="P142" s="210"/>
      <c r="Q142" s="206"/>
      <c r="R142" s="206"/>
      <c r="S142" s="206"/>
      <c r="T142" s="206"/>
      <c r="U142" s="206"/>
      <c r="V142" s="206"/>
      <c r="W142" s="206"/>
      <c r="X142" s="206"/>
      <c r="Y142" s="206"/>
      <c r="Z142" s="206"/>
      <c r="AA142" s="206"/>
      <c r="AB142" s="206"/>
      <c r="AC142" s="211"/>
      <c r="AD142" s="206"/>
      <c r="AE142" s="204" t="s">
        <v>302</v>
      </c>
      <c r="AF142" s="206"/>
      <c r="AG142" s="206"/>
      <c r="AH142" s="211"/>
    </row>
    <row r="143" spans="1:45" s="18" customFormat="1" ht="15" customHeight="1" x14ac:dyDescent="0.2">
      <c r="A143" s="212">
        <v>1</v>
      </c>
      <c r="B143" s="213" t="s">
        <v>196</v>
      </c>
      <c r="C143" s="213"/>
      <c r="E143" s="214"/>
      <c r="F143" s="215" t="s">
        <v>197</v>
      </c>
      <c r="O143" s="216">
        <v>1</v>
      </c>
      <c r="P143" s="17" t="s">
        <v>198</v>
      </c>
      <c r="Q143" s="17"/>
      <c r="R143" s="17"/>
      <c r="S143" s="17"/>
      <c r="T143" s="17"/>
      <c r="AC143" s="217"/>
      <c r="AE143" s="218" t="s">
        <v>50</v>
      </c>
      <c r="AF143" s="651"/>
      <c r="AG143" s="651"/>
      <c r="AH143" s="217"/>
    </row>
    <row r="144" spans="1:45" s="18" customFormat="1" ht="15" customHeight="1" x14ac:dyDescent="0.25">
      <c r="A144" s="219"/>
      <c r="B144" s="215" t="s">
        <v>199</v>
      </c>
      <c r="C144" s="215"/>
      <c r="E144" s="220">
        <v>6</v>
      </c>
      <c r="F144" s="213" t="s">
        <v>200</v>
      </c>
      <c r="O144" s="172"/>
      <c r="P144" s="17" t="s">
        <v>201</v>
      </c>
      <c r="Q144" s="17"/>
      <c r="R144" s="17"/>
      <c r="S144" s="17"/>
      <c r="T144" s="17"/>
      <c r="AC144" s="217"/>
      <c r="AE144" s="221" t="s">
        <v>202</v>
      </c>
      <c r="AF144" s="651"/>
      <c r="AG144" s="651"/>
      <c r="AH144" s="217"/>
    </row>
    <row r="145" spans="1:45" s="18" customFormat="1" ht="15" customHeight="1" x14ac:dyDescent="0.2">
      <c r="A145" s="219"/>
      <c r="B145" s="215" t="s">
        <v>203</v>
      </c>
      <c r="C145" s="215"/>
      <c r="E145" s="214"/>
      <c r="F145" s="215" t="s">
        <v>204</v>
      </c>
      <c r="O145" s="216">
        <v>2</v>
      </c>
      <c r="P145" s="17" t="s">
        <v>205</v>
      </c>
      <c r="Q145" s="17"/>
      <c r="R145" s="17"/>
      <c r="S145" s="17"/>
      <c r="T145" s="17"/>
      <c r="AC145" s="217"/>
      <c r="AE145" s="86" t="s">
        <v>206</v>
      </c>
      <c r="AF145" s="651"/>
      <c r="AG145" s="651"/>
      <c r="AH145" s="217"/>
    </row>
    <row r="146" spans="1:45" s="18" customFormat="1" ht="15" customHeight="1" x14ac:dyDescent="0.2">
      <c r="A146" s="212">
        <v>2</v>
      </c>
      <c r="B146" s="213" t="s">
        <v>207</v>
      </c>
      <c r="C146" s="213"/>
      <c r="E146" s="214"/>
      <c r="F146" s="213" t="s">
        <v>208</v>
      </c>
      <c r="O146" s="172"/>
      <c r="P146" s="17" t="s">
        <v>209</v>
      </c>
      <c r="Q146" s="78"/>
      <c r="R146" s="17"/>
      <c r="S146" s="17"/>
      <c r="T146" s="17"/>
      <c r="V146" s="222"/>
      <c r="Z146" s="222"/>
      <c r="AA146" s="223"/>
      <c r="AC146" s="217"/>
      <c r="AE146" s="86" t="s">
        <v>210</v>
      </c>
      <c r="AF146" s="651"/>
      <c r="AG146" s="651"/>
      <c r="AH146" s="217"/>
    </row>
    <row r="147" spans="1:45" s="18" customFormat="1" ht="15" customHeight="1" x14ac:dyDescent="0.25">
      <c r="A147" s="212">
        <v>3</v>
      </c>
      <c r="B147" s="213" t="s">
        <v>211</v>
      </c>
      <c r="C147" s="213"/>
      <c r="E147" s="220">
        <v>7</v>
      </c>
      <c r="F147" s="213" t="s">
        <v>212</v>
      </c>
      <c r="O147" s="216">
        <v>3</v>
      </c>
      <c r="P147" s="17" t="s">
        <v>213</v>
      </c>
      <c r="Q147" s="78"/>
      <c r="R147" s="17"/>
      <c r="S147" s="17"/>
      <c r="T147" s="17"/>
      <c r="V147" s="222"/>
      <c r="Z147" s="222"/>
      <c r="AA147" s="223"/>
      <c r="AC147" s="217"/>
      <c r="AE147" s="221" t="s">
        <v>214</v>
      </c>
      <c r="AF147" s="652"/>
      <c r="AG147" s="652"/>
      <c r="AH147" s="217"/>
    </row>
    <row r="148" spans="1:45" s="18" customFormat="1" ht="15" customHeight="1" x14ac:dyDescent="0.2">
      <c r="A148" s="219"/>
      <c r="B148" s="215" t="s">
        <v>215</v>
      </c>
      <c r="C148" s="215"/>
      <c r="E148" s="214"/>
      <c r="F148" s="213" t="s">
        <v>216</v>
      </c>
      <c r="O148" s="216">
        <v>4</v>
      </c>
      <c r="P148" s="17" t="s">
        <v>217</v>
      </c>
      <c r="Q148" s="78"/>
      <c r="R148" s="17"/>
      <c r="S148" s="17"/>
      <c r="T148" s="17"/>
      <c r="V148" s="222"/>
      <c r="Z148" s="222"/>
      <c r="AA148" s="223"/>
      <c r="AC148" s="217"/>
      <c r="AE148" s="86" t="s">
        <v>218</v>
      </c>
      <c r="AF148" s="651"/>
      <c r="AG148" s="651"/>
      <c r="AH148" s="217"/>
    </row>
    <row r="149" spans="1:45" s="18" customFormat="1" ht="15" customHeight="1" x14ac:dyDescent="0.2">
      <c r="A149" s="212">
        <v>4</v>
      </c>
      <c r="B149" s="213" t="s">
        <v>219</v>
      </c>
      <c r="C149" s="213"/>
      <c r="E149" s="214"/>
      <c r="O149" s="216">
        <v>5</v>
      </c>
      <c r="P149" s="17" t="s">
        <v>171</v>
      </c>
      <c r="Q149" s="78"/>
      <c r="R149" s="17"/>
      <c r="S149" s="17"/>
      <c r="T149" s="17"/>
      <c r="V149" s="222"/>
      <c r="Z149" s="222"/>
      <c r="AA149" s="223"/>
      <c r="AC149" s="217"/>
      <c r="AE149" s="86" t="s">
        <v>220</v>
      </c>
      <c r="AF149" s="651"/>
      <c r="AG149" s="651"/>
      <c r="AH149" s="217"/>
    </row>
    <row r="150" spans="1:45" s="18" customFormat="1" ht="15" customHeight="1" x14ac:dyDescent="0.3">
      <c r="A150" s="225"/>
      <c r="B150" s="215" t="s">
        <v>221</v>
      </c>
      <c r="C150" s="215"/>
      <c r="E150" s="226" t="s">
        <v>222</v>
      </c>
      <c r="F150" s="227"/>
      <c r="O150" s="216">
        <v>6</v>
      </c>
      <c r="P150" s="17" t="s">
        <v>223</v>
      </c>
      <c r="Q150" s="78"/>
      <c r="R150" s="17"/>
      <c r="S150" s="17"/>
      <c r="T150" s="17"/>
      <c r="V150" s="222"/>
      <c r="Z150" s="222"/>
      <c r="AA150" s="223"/>
      <c r="AC150" s="217"/>
      <c r="AE150" s="86" t="s">
        <v>224</v>
      </c>
      <c r="AF150" s="651"/>
      <c r="AG150" s="651"/>
      <c r="AH150" s="217"/>
    </row>
    <row r="151" spans="1:45" s="18" customFormat="1" ht="18" customHeight="1" x14ac:dyDescent="0.2">
      <c r="A151" s="225"/>
      <c r="B151" s="215" t="s">
        <v>225</v>
      </c>
      <c r="C151" s="215"/>
      <c r="E151" s="172" t="s">
        <v>226</v>
      </c>
      <c r="O151" s="228" t="s">
        <v>227</v>
      </c>
      <c r="Q151" s="223"/>
      <c r="V151" s="222"/>
      <c r="Z151" s="222"/>
      <c r="AA151" s="223"/>
      <c r="AC151" s="217"/>
      <c r="AE151" s="86" t="s">
        <v>228</v>
      </c>
      <c r="AF151" s="651"/>
      <c r="AG151" s="651"/>
      <c r="AH151" s="217"/>
    </row>
    <row r="152" spans="1:45" s="156" customFormat="1" ht="17.25" customHeight="1" thickBot="1" x14ac:dyDescent="0.25">
      <c r="A152" s="229"/>
      <c r="B152" s="230"/>
      <c r="C152" s="230"/>
      <c r="D152" s="231"/>
      <c r="E152" s="232"/>
      <c r="F152" s="231"/>
      <c r="G152" s="231"/>
      <c r="H152" s="231"/>
      <c r="I152" s="231"/>
      <c r="J152" s="231"/>
      <c r="K152" s="231"/>
      <c r="L152" s="231"/>
      <c r="M152" s="231"/>
      <c r="N152" s="233"/>
      <c r="O152" s="234" t="s">
        <v>229</v>
      </c>
      <c r="P152" s="231"/>
      <c r="Q152" s="231"/>
      <c r="R152" s="231"/>
      <c r="S152" s="231"/>
      <c r="T152" s="231"/>
      <c r="U152" s="231"/>
      <c r="V152" s="231"/>
      <c r="W152" s="231"/>
      <c r="X152" s="231"/>
      <c r="Y152" s="231"/>
      <c r="Z152" s="233"/>
      <c r="AA152" s="235"/>
      <c r="AB152" s="231"/>
      <c r="AC152" s="236"/>
      <c r="AD152" s="231"/>
      <c r="AE152" s="237" t="s">
        <v>230</v>
      </c>
      <c r="AF152" s="231"/>
      <c r="AG152" s="231"/>
      <c r="AH152" s="236"/>
    </row>
    <row r="153" spans="1:45" s="133" customFormat="1" ht="18" customHeight="1" x14ac:dyDescent="0.2">
      <c r="A153" s="238" t="s">
        <v>119</v>
      </c>
      <c r="B153" s="145"/>
      <c r="C153" s="145"/>
      <c r="D153" s="146"/>
      <c r="J153" s="147"/>
      <c r="V153" s="147"/>
      <c r="W153" s="148"/>
    </row>
    <row r="154" spans="1:45" s="18" customFormat="1" ht="15" customHeight="1" x14ac:dyDescent="0.2">
      <c r="A154" s="238" t="s">
        <v>122</v>
      </c>
      <c r="D154" s="19"/>
      <c r="AI154" s="19"/>
      <c r="AJ154" s="19"/>
      <c r="AR154" s="19"/>
      <c r="AS154" s="19"/>
    </row>
    <row r="156" spans="1:45" s="88" customFormat="1" ht="15" x14ac:dyDescent="0.25">
      <c r="B156" s="88" t="s">
        <v>53</v>
      </c>
      <c r="D156" s="89"/>
      <c r="E156" s="88" t="s">
        <v>54</v>
      </c>
      <c r="T156" s="88" t="s">
        <v>55</v>
      </c>
      <c r="AI156" s="89"/>
      <c r="AJ156" s="89"/>
      <c r="AR156" s="89"/>
      <c r="AS156" s="89"/>
    </row>
    <row r="157" spans="1:45" s="18" customFormat="1" ht="21.75" customHeight="1" x14ac:dyDescent="0.2">
      <c r="D157" s="19"/>
      <c r="AI157" s="19"/>
      <c r="AJ157" s="19"/>
      <c r="AR157" s="19"/>
      <c r="AS157" s="19"/>
    </row>
    <row r="158" spans="1:45" s="18" customFormat="1" ht="15.75" customHeight="1" x14ac:dyDescent="0.2">
      <c r="D158" s="19"/>
      <c r="AI158" s="19"/>
      <c r="AJ158" s="19"/>
      <c r="AR158" s="19"/>
      <c r="AS158" s="19"/>
    </row>
    <row r="159" spans="1:45" s="18" customFormat="1" ht="17.25" customHeight="1" x14ac:dyDescent="0.2">
      <c r="B159" s="90"/>
      <c r="D159" s="19"/>
      <c r="E159" s="90"/>
      <c r="F159" s="90"/>
      <c r="G159" s="90"/>
      <c r="H159" s="90"/>
      <c r="I159" s="90"/>
      <c r="J159" s="90"/>
      <c r="K159" s="90"/>
      <c r="L159" s="90"/>
      <c r="T159" s="90"/>
      <c r="U159" s="90"/>
      <c r="V159" s="90"/>
      <c r="W159" s="90"/>
      <c r="X159" s="90"/>
      <c r="Y159" s="90"/>
      <c r="Z159" s="90"/>
      <c r="AA159" s="90"/>
      <c r="AI159" s="19"/>
      <c r="AJ159" s="19"/>
      <c r="AR159" s="19"/>
      <c r="AS159" s="19"/>
    </row>
    <row r="160" spans="1:45" s="18" customFormat="1" ht="18" customHeight="1" x14ac:dyDescent="0.2">
      <c r="B160" s="18" t="s">
        <v>56</v>
      </c>
      <c r="D160" s="19"/>
      <c r="E160" s="18" t="s">
        <v>56</v>
      </c>
      <c r="T160" s="18" t="s">
        <v>57</v>
      </c>
      <c r="AI160" s="19"/>
      <c r="AJ160" s="19"/>
      <c r="AR160" s="19"/>
      <c r="AS160" s="19"/>
    </row>
    <row r="161" spans="1:45" s="18" customFormat="1" ht="15.75" customHeight="1" x14ac:dyDescent="0.2">
      <c r="B161" s="18" t="s">
        <v>58</v>
      </c>
      <c r="D161" s="19"/>
      <c r="E161" s="18" t="s">
        <v>59</v>
      </c>
      <c r="T161" s="18" t="s">
        <v>58</v>
      </c>
      <c r="AI161" s="19"/>
      <c r="AJ161" s="19"/>
      <c r="AR161" s="19"/>
      <c r="AS161" s="19"/>
    </row>
    <row r="163" spans="1:45" s="6" customFormat="1" ht="21" customHeight="1" x14ac:dyDescent="0.25">
      <c r="A163" s="393" t="s">
        <v>264</v>
      </c>
      <c r="C163" s="48"/>
    </row>
  </sheetData>
  <mergeCells count="29">
    <mergeCell ref="AH4:AH6"/>
    <mergeCell ref="I5:I6"/>
    <mergeCell ref="J5:J6"/>
    <mergeCell ref="K5:K6"/>
    <mergeCell ref="L5:L6"/>
    <mergeCell ref="M5:M6"/>
    <mergeCell ref="C4:C7"/>
    <mergeCell ref="A1:AG1"/>
    <mergeCell ref="A2:AG2"/>
    <mergeCell ref="A4:A7"/>
    <mergeCell ref="B4:B7"/>
    <mergeCell ref="D4:D7"/>
    <mergeCell ref="E4:E7"/>
    <mergeCell ref="F4:F7"/>
    <mergeCell ref="G4:N4"/>
    <mergeCell ref="O4:Y4"/>
    <mergeCell ref="Z4:AB4"/>
    <mergeCell ref="AC4:AC6"/>
    <mergeCell ref="AE4:AF4"/>
    <mergeCell ref="AG4:AG6"/>
    <mergeCell ref="G5:G6"/>
    <mergeCell ref="H5:H6"/>
    <mergeCell ref="AB5:AB6"/>
    <mergeCell ref="N5:N6"/>
    <mergeCell ref="O5:S5"/>
    <mergeCell ref="T5:X5"/>
    <mergeCell ref="Y5:Y6"/>
    <mergeCell ref="Z5:Z6"/>
    <mergeCell ref="AA5:AA6"/>
  </mergeCells>
  <pageMargins left="0.27" right="0.2" top="0.19" bottom="0.13" header="0.18" footer="0.15"/>
  <pageSetup paperSize="5" scale="64" orientation="landscape" horizontalDpi="4294967293" verticalDpi="360" r:id="rId1"/>
  <rowBreaks count="4" manualBreakCount="4">
    <brk id="38" max="33" man="1"/>
    <brk id="69" max="33" man="1"/>
    <brk id="100" max="33" man="1"/>
    <brk id="131" max="3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8D456-26ED-4B5D-83D6-1E3C36620927}">
  <sheetPr>
    <tabColor theme="1" tint="4.9989318521683403E-2"/>
  </sheetPr>
  <dimension ref="A1:AE159"/>
  <sheetViews>
    <sheetView showGridLines="0" view="pageBreakPreview" zoomScaleNormal="100" zoomScaleSheetLayoutView="100" workbookViewId="0">
      <selection activeCell="B9" sqref="B9"/>
    </sheetView>
  </sheetViews>
  <sheetFormatPr defaultColWidth="3.7109375" defaultRowHeight="11.25" x14ac:dyDescent="0.2"/>
  <cols>
    <col min="1" max="1" width="4.85546875" style="264" customWidth="1"/>
    <col min="2" max="2" width="32" style="264" customWidth="1"/>
    <col min="3" max="8" width="5" style="264" customWidth="1"/>
    <col min="9" max="9" width="6" style="264" customWidth="1"/>
    <col min="10" max="11" width="6.28515625" style="264" customWidth="1"/>
    <col min="12" max="12" width="7.140625" style="264" customWidth="1"/>
    <col min="13" max="13" width="9.140625" style="264" customWidth="1"/>
    <col min="14" max="14" width="4.85546875" style="264" customWidth="1"/>
    <col min="15" max="15" width="6.140625" style="264" customWidth="1"/>
    <col min="16" max="16" width="1.7109375" style="264" customWidth="1"/>
    <col min="17" max="25" width="3.7109375" style="264"/>
    <col min="26" max="26" width="34.140625" style="264" customWidth="1"/>
    <col min="27" max="246" width="3.7109375" style="264"/>
    <col min="247" max="247" width="24.5703125" style="264" customWidth="1"/>
    <col min="248" max="253" width="3.7109375" style="264"/>
    <col min="254" max="254" width="4.28515625" style="264" customWidth="1"/>
    <col min="255" max="258" width="3.7109375" style="264"/>
    <col min="259" max="259" width="4.28515625" style="264" customWidth="1"/>
    <col min="260" max="260" width="4.7109375" style="264" customWidth="1"/>
    <col min="261" max="261" width="1.7109375" style="264" customWidth="1"/>
    <col min="262" max="502" width="3.7109375" style="264"/>
    <col min="503" max="503" width="24.5703125" style="264" customWidth="1"/>
    <col min="504" max="509" width="3.7109375" style="264"/>
    <col min="510" max="510" width="4.28515625" style="264" customWidth="1"/>
    <col min="511" max="514" width="3.7109375" style="264"/>
    <col min="515" max="515" width="4.28515625" style="264" customWidth="1"/>
    <col min="516" max="516" width="4.7109375" style="264" customWidth="1"/>
    <col min="517" max="517" width="1.7109375" style="264" customWidth="1"/>
    <col min="518" max="758" width="3.7109375" style="264"/>
    <col min="759" max="759" width="24.5703125" style="264" customWidth="1"/>
    <col min="760" max="765" width="3.7109375" style="264"/>
    <col min="766" max="766" width="4.28515625" style="264" customWidth="1"/>
    <col min="767" max="770" width="3.7109375" style="264"/>
    <col min="771" max="771" width="4.28515625" style="264" customWidth="1"/>
    <col min="772" max="772" width="4.7109375" style="264" customWidth="1"/>
    <col min="773" max="773" width="1.7109375" style="264" customWidth="1"/>
    <col min="774" max="1014" width="3.7109375" style="264"/>
    <col min="1015" max="1015" width="24.5703125" style="264" customWidth="1"/>
    <col min="1016" max="1021" width="3.7109375" style="264"/>
    <col min="1022" max="1022" width="4.28515625" style="264" customWidth="1"/>
    <col min="1023" max="1026" width="3.7109375" style="264"/>
    <col min="1027" max="1027" width="4.28515625" style="264" customWidth="1"/>
    <col min="1028" max="1028" width="4.7109375" style="264" customWidth="1"/>
    <col min="1029" max="1029" width="1.7109375" style="264" customWidth="1"/>
    <col min="1030" max="1270" width="3.7109375" style="264"/>
    <col min="1271" max="1271" width="24.5703125" style="264" customWidth="1"/>
    <col min="1272" max="1277" width="3.7109375" style="264"/>
    <col min="1278" max="1278" width="4.28515625" style="264" customWidth="1"/>
    <col min="1279" max="1282" width="3.7109375" style="264"/>
    <col min="1283" max="1283" width="4.28515625" style="264" customWidth="1"/>
    <col min="1284" max="1284" width="4.7109375" style="264" customWidth="1"/>
    <col min="1285" max="1285" width="1.7109375" style="264" customWidth="1"/>
    <col min="1286" max="1526" width="3.7109375" style="264"/>
    <col min="1527" max="1527" width="24.5703125" style="264" customWidth="1"/>
    <col min="1528" max="1533" width="3.7109375" style="264"/>
    <col min="1534" max="1534" width="4.28515625" style="264" customWidth="1"/>
    <col min="1535" max="1538" width="3.7109375" style="264"/>
    <col min="1539" max="1539" width="4.28515625" style="264" customWidth="1"/>
    <col min="1540" max="1540" width="4.7109375" style="264" customWidth="1"/>
    <col min="1541" max="1541" width="1.7109375" style="264" customWidth="1"/>
    <col min="1542" max="1782" width="3.7109375" style="264"/>
    <col min="1783" max="1783" width="24.5703125" style="264" customWidth="1"/>
    <col min="1784" max="1789" width="3.7109375" style="264"/>
    <col min="1790" max="1790" width="4.28515625" style="264" customWidth="1"/>
    <col min="1791" max="1794" width="3.7109375" style="264"/>
    <col min="1795" max="1795" width="4.28515625" style="264" customWidth="1"/>
    <col min="1796" max="1796" width="4.7109375" style="264" customWidth="1"/>
    <col min="1797" max="1797" width="1.7109375" style="264" customWidth="1"/>
    <col min="1798" max="2038" width="3.7109375" style="264"/>
    <col min="2039" max="2039" width="24.5703125" style="264" customWidth="1"/>
    <col min="2040" max="2045" width="3.7109375" style="264"/>
    <col min="2046" max="2046" width="4.28515625" style="264" customWidth="1"/>
    <col min="2047" max="2050" width="3.7109375" style="264"/>
    <col min="2051" max="2051" width="4.28515625" style="264" customWidth="1"/>
    <col min="2052" max="2052" width="4.7109375" style="264" customWidth="1"/>
    <col min="2053" max="2053" width="1.7109375" style="264" customWidth="1"/>
    <col min="2054" max="2294" width="3.7109375" style="264"/>
    <col min="2295" max="2295" width="24.5703125" style="264" customWidth="1"/>
    <col min="2296" max="2301" width="3.7109375" style="264"/>
    <col min="2302" max="2302" width="4.28515625" style="264" customWidth="1"/>
    <col min="2303" max="2306" width="3.7109375" style="264"/>
    <col min="2307" max="2307" width="4.28515625" style="264" customWidth="1"/>
    <col min="2308" max="2308" width="4.7109375" style="264" customWidth="1"/>
    <col min="2309" max="2309" width="1.7109375" style="264" customWidth="1"/>
    <col min="2310" max="2550" width="3.7109375" style="264"/>
    <col min="2551" max="2551" width="24.5703125" style="264" customWidth="1"/>
    <col min="2552" max="2557" width="3.7109375" style="264"/>
    <col min="2558" max="2558" width="4.28515625" style="264" customWidth="1"/>
    <col min="2559" max="2562" width="3.7109375" style="264"/>
    <col min="2563" max="2563" width="4.28515625" style="264" customWidth="1"/>
    <col min="2564" max="2564" width="4.7109375" style="264" customWidth="1"/>
    <col min="2565" max="2565" width="1.7109375" style="264" customWidth="1"/>
    <col min="2566" max="2806" width="3.7109375" style="264"/>
    <col min="2807" max="2807" width="24.5703125" style="264" customWidth="1"/>
    <col min="2808" max="2813" width="3.7109375" style="264"/>
    <col min="2814" max="2814" width="4.28515625" style="264" customWidth="1"/>
    <col min="2815" max="2818" width="3.7109375" style="264"/>
    <col min="2819" max="2819" width="4.28515625" style="264" customWidth="1"/>
    <col min="2820" max="2820" width="4.7109375" style="264" customWidth="1"/>
    <col min="2821" max="2821" width="1.7109375" style="264" customWidth="1"/>
    <col min="2822" max="3062" width="3.7109375" style="264"/>
    <col min="3063" max="3063" width="24.5703125" style="264" customWidth="1"/>
    <col min="3064" max="3069" width="3.7109375" style="264"/>
    <col min="3070" max="3070" width="4.28515625" style="264" customWidth="1"/>
    <col min="3071" max="3074" width="3.7109375" style="264"/>
    <col min="3075" max="3075" width="4.28515625" style="264" customWidth="1"/>
    <col min="3076" max="3076" width="4.7109375" style="264" customWidth="1"/>
    <col min="3077" max="3077" width="1.7109375" style="264" customWidth="1"/>
    <col min="3078" max="3318" width="3.7109375" style="264"/>
    <col min="3319" max="3319" width="24.5703125" style="264" customWidth="1"/>
    <col min="3320" max="3325" width="3.7109375" style="264"/>
    <col min="3326" max="3326" width="4.28515625" style="264" customWidth="1"/>
    <col min="3327" max="3330" width="3.7109375" style="264"/>
    <col min="3331" max="3331" width="4.28515625" style="264" customWidth="1"/>
    <col min="3332" max="3332" width="4.7109375" style="264" customWidth="1"/>
    <col min="3333" max="3333" width="1.7109375" style="264" customWidth="1"/>
    <col min="3334" max="3574" width="3.7109375" style="264"/>
    <col min="3575" max="3575" width="24.5703125" style="264" customWidth="1"/>
    <col min="3576" max="3581" width="3.7109375" style="264"/>
    <col min="3582" max="3582" width="4.28515625" style="264" customWidth="1"/>
    <col min="3583" max="3586" width="3.7109375" style="264"/>
    <col min="3587" max="3587" width="4.28515625" style="264" customWidth="1"/>
    <col min="3588" max="3588" width="4.7109375" style="264" customWidth="1"/>
    <col min="3589" max="3589" width="1.7109375" style="264" customWidth="1"/>
    <col min="3590" max="3830" width="3.7109375" style="264"/>
    <col min="3831" max="3831" width="24.5703125" style="264" customWidth="1"/>
    <col min="3832" max="3837" width="3.7109375" style="264"/>
    <col min="3838" max="3838" width="4.28515625" style="264" customWidth="1"/>
    <col min="3839" max="3842" width="3.7109375" style="264"/>
    <col min="3843" max="3843" width="4.28515625" style="264" customWidth="1"/>
    <col min="3844" max="3844" width="4.7109375" style="264" customWidth="1"/>
    <col min="3845" max="3845" width="1.7109375" style="264" customWidth="1"/>
    <col min="3846" max="4086" width="3.7109375" style="264"/>
    <col min="4087" max="4087" width="24.5703125" style="264" customWidth="1"/>
    <col min="4088" max="4093" width="3.7109375" style="264"/>
    <col min="4094" max="4094" width="4.28515625" style="264" customWidth="1"/>
    <col min="4095" max="4098" width="3.7109375" style="264"/>
    <col min="4099" max="4099" width="4.28515625" style="264" customWidth="1"/>
    <col min="4100" max="4100" width="4.7109375" style="264" customWidth="1"/>
    <col min="4101" max="4101" width="1.7109375" style="264" customWidth="1"/>
    <col min="4102" max="4342" width="3.7109375" style="264"/>
    <col min="4343" max="4343" width="24.5703125" style="264" customWidth="1"/>
    <col min="4344" max="4349" width="3.7109375" style="264"/>
    <col min="4350" max="4350" width="4.28515625" style="264" customWidth="1"/>
    <col min="4351" max="4354" width="3.7109375" style="264"/>
    <col min="4355" max="4355" width="4.28515625" style="264" customWidth="1"/>
    <col min="4356" max="4356" width="4.7109375" style="264" customWidth="1"/>
    <col min="4357" max="4357" width="1.7109375" style="264" customWidth="1"/>
    <col min="4358" max="4598" width="3.7109375" style="264"/>
    <col min="4599" max="4599" width="24.5703125" style="264" customWidth="1"/>
    <col min="4600" max="4605" width="3.7109375" style="264"/>
    <col min="4606" max="4606" width="4.28515625" style="264" customWidth="1"/>
    <col min="4607" max="4610" width="3.7109375" style="264"/>
    <col min="4611" max="4611" width="4.28515625" style="264" customWidth="1"/>
    <col min="4612" max="4612" width="4.7109375" style="264" customWidth="1"/>
    <col min="4613" max="4613" width="1.7109375" style="264" customWidth="1"/>
    <col min="4614" max="4854" width="3.7109375" style="264"/>
    <col min="4855" max="4855" width="24.5703125" style="264" customWidth="1"/>
    <col min="4856" max="4861" width="3.7109375" style="264"/>
    <col min="4862" max="4862" width="4.28515625" style="264" customWidth="1"/>
    <col min="4863" max="4866" width="3.7109375" style="264"/>
    <col min="4867" max="4867" width="4.28515625" style="264" customWidth="1"/>
    <col min="4868" max="4868" width="4.7109375" style="264" customWidth="1"/>
    <col min="4869" max="4869" width="1.7109375" style="264" customWidth="1"/>
    <col min="4870" max="5110" width="3.7109375" style="264"/>
    <col min="5111" max="5111" width="24.5703125" style="264" customWidth="1"/>
    <col min="5112" max="5117" width="3.7109375" style="264"/>
    <col min="5118" max="5118" width="4.28515625" style="264" customWidth="1"/>
    <col min="5119" max="5122" width="3.7109375" style="264"/>
    <col min="5123" max="5123" width="4.28515625" style="264" customWidth="1"/>
    <col min="5124" max="5124" width="4.7109375" style="264" customWidth="1"/>
    <col min="5125" max="5125" width="1.7109375" style="264" customWidth="1"/>
    <col min="5126" max="5366" width="3.7109375" style="264"/>
    <col min="5367" max="5367" width="24.5703125" style="264" customWidth="1"/>
    <col min="5368" max="5373" width="3.7109375" style="264"/>
    <col min="5374" max="5374" width="4.28515625" style="264" customWidth="1"/>
    <col min="5375" max="5378" width="3.7109375" style="264"/>
    <col min="5379" max="5379" width="4.28515625" style="264" customWidth="1"/>
    <col min="5380" max="5380" width="4.7109375" style="264" customWidth="1"/>
    <col min="5381" max="5381" width="1.7109375" style="264" customWidth="1"/>
    <col min="5382" max="5622" width="3.7109375" style="264"/>
    <col min="5623" max="5623" width="24.5703125" style="264" customWidth="1"/>
    <col min="5624" max="5629" width="3.7109375" style="264"/>
    <col min="5630" max="5630" width="4.28515625" style="264" customWidth="1"/>
    <col min="5631" max="5634" width="3.7109375" style="264"/>
    <col min="5635" max="5635" width="4.28515625" style="264" customWidth="1"/>
    <col min="5636" max="5636" width="4.7109375" style="264" customWidth="1"/>
    <col min="5637" max="5637" width="1.7109375" style="264" customWidth="1"/>
    <col min="5638" max="5878" width="3.7109375" style="264"/>
    <col min="5879" max="5879" width="24.5703125" style="264" customWidth="1"/>
    <col min="5880" max="5885" width="3.7109375" style="264"/>
    <col min="5886" max="5886" width="4.28515625" style="264" customWidth="1"/>
    <col min="5887" max="5890" width="3.7109375" style="264"/>
    <col min="5891" max="5891" width="4.28515625" style="264" customWidth="1"/>
    <col min="5892" max="5892" width="4.7109375" style="264" customWidth="1"/>
    <col min="5893" max="5893" width="1.7109375" style="264" customWidth="1"/>
    <col min="5894" max="6134" width="3.7109375" style="264"/>
    <col min="6135" max="6135" width="24.5703125" style="264" customWidth="1"/>
    <col min="6136" max="6141" width="3.7109375" style="264"/>
    <col min="6142" max="6142" width="4.28515625" style="264" customWidth="1"/>
    <col min="6143" max="6146" width="3.7109375" style="264"/>
    <col min="6147" max="6147" width="4.28515625" style="264" customWidth="1"/>
    <col min="6148" max="6148" width="4.7109375" style="264" customWidth="1"/>
    <col min="6149" max="6149" width="1.7109375" style="264" customWidth="1"/>
    <col min="6150" max="6390" width="3.7109375" style="264"/>
    <col min="6391" max="6391" width="24.5703125" style="264" customWidth="1"/>
    <col min="6392" max="6397" width="3.7109375" style="264"/>
    <col min="6398" max="6398" width="4.28515625" style="264" customWidth="1"/>
    <col min="6399" max="6402" width="3.7109375" style="264"/>
    <col min="6403" max="6403" width="4.28515625" style="264" customWidth="1"/>
    <col min="6404" max="6404" width="4.7109375" style="264" customWidth="1"/>
    <col min="6405" max="6405" width="1.7109375" style="264" customWidth="1"/>
    <col min="6406" max="6646" width="3.7109375" style="264"/>
    <col min="6647" max="6647" width="24.5703125" style="264" customWidth="1"/>
    <col min="6648" max="6653" width="3.7109375" style="264"/>
    <col min="6654" max="6654" width="4.28515625" style="264" customWidth="1"/>
    <col min="6655" max="6658" width="3.7109375" style="264"/>
    <col min="6659" max="6659" width="4.28515625" style="264" customWidth="1"/>
    <col min="6660" max="6660" width="4.7109375" style="264" customWidth="1"/>
    <col min="6661" max="6661" width="1.7109375" style="264" customWidth="1"/>
    <col min="6662" max="6902" width="3.7109375" style="264"/>
    <col min="6903" max="6903" width="24.5703125" style="264" customWidth="1"/>
    <col min="6904" max="6909" width="3.7109375" style="264"/>
    <col min="6910" max="6910" width="4.28515625" style="264" customWidth="1"/>
    <col min="6911" max="6914" width="3.7109375" style="264"/>
    <col min="6915" max="6915" width="4.28515625" style="264" customWidth="1"/>
    <col min="6916" max="6916" width="4.7109375" style="264" customWidth="1"/>
    <col min="6917" max="6917" width="1.7109375" style="264" customWidth="1"/>
    <col min="6918" max="7158" width="3.7109375" style="264"/>
    <col min="7159" max="7159" width="24.5703125" style="264" customWidth="1"/>
    <col min="7160" max="7165" width="3.7109375" style="264"/>
    <col min="7166" max="7166" width="4.28515625" style="264" customWidth="1"/>
    <col min="7167" max="7170" width="3.7109375" style="264"/>
    <col min="7171" max="7171" width="4.28515625" style="264" customWidth="1"/>
    <col min="7172" max="7172" width="4.7109375" style="264" customWidth="1"/>
    <col min="7173" max="7173" width="1.7109375" style="264" customWidth="1"/>
    <col min="7174" max="7414" width="3.7109375" style="264"/>
    <col min="7415" max="7415" width="24.5703125" style="264" customWidth="1"/>
    <col min="7416" max="7421" width="3.7109375" style="264"/>
    <col min="7422" max="7422" width="4.28515625" style="264" customWidth="1"/>
    <col min="7423" max="7426" width="3.7109375" style="264"/>
    <col min="7427" max="7427" width="4.28515625" style="264" customWidth="1"/>
    <col min="7428" max="7428" width="4.7109375" style="264" customWidth="1"/>
    <col min="7429" max="7429" width="1.7109375" style="264" customWidth="1"/>
    <col min="7430" max="7670" width="3.7109375" style="264"/>
    <col min="7671" max="7671" width="24.5703125" style="264" customWidth="1"/>
    <col min="7672" max="7677" width="3.7109375" style="264"/>
    <col min="7678" max="7678" width="4.28515625" style="264" customWidth="1"/>
    <col min="7679" max="7682" width="3.7109375" style="264"/>
    <col min="7683" max="7683" width="4.28515625" style="264" customWidth="1"/>
    <col min="7684" max="7684" width="4.7109375" style="264" customWidth="1"/>
    <col min="7685" max="7685" width="1.7109375" style="264" customWidth="1"/>
    <col min="7686" max="7926" width="3.7109375" style="264"/>
    <col min="7927" max="7927" width="24.5703125" style="264" customWidth="1"/>
    <col min="7928" max="7933" width="3.7109375" style="264"/>
    <col min="7934" max="7934" width="4.28515625" style="264" customWidth="1"/>
    <col min="7935" max="7938" width="3.7109375" style="264"/>
    <col min="7939" max="7939" width="4.28515625" style="264" customWidth="1"/>
    <col min="7940" max="7940" width="4.7109375" style="264" customWidth="1"/>
    <col min="7941" max="7941" width="1.7109375" style="264" customWidth="1"/>
    <col min="7942" max="8182" width="3.7109375" style="264"/>
    <col min="8183" max="8183" width="24.5703125" style="264" customWidth="1"/>
    <col min="8184" max="8189" width="3.7109375" style="264"/>
    <col min="8190" max="8190" width="4.28515625" style="264" customWidth="1"/>
    <col min="8191" max="8194" width="3.7109375" style="264"/>
    <col min="8195" max="8195" width="4.28515625" style="264" customWidth="1"/>
    <col min="8196" max="8196" width="4.7109375" style="264" customWidth="1"/>
    <col min="8197" max="8197" width="1.7109375" style="264" customWidth="1"/>
    <col min="8198" max="8438" width="3.7109375" style="264"/>
    <col min="8439" max="8439" width="24.5703125" style="264" customWidth="1"/>
    <col min="8440" max="8445" width="3.7109375" style="264"/>
    <col min="8446" max="8446" width="4.28515625" style="264" customWidth="1"/>
    <col min="8447" max="8450" width="3.7109375" style="264"/>
    <col min="8451" max="8451" width="4.28515625" style="264" customWidth="1"/>
    <col min="8452" max="8452" width="4.7109375" style="264" customWidth="1"/>
    <col min="8453" max="8453" width="1.7109375" style="264" customWidth="1"/>
    <col min="8454" max="8694" width="3.7109375" style="264"/>
    <col min="8695" max="8695" width="24.5703125" style="264" customWidth="1"/>
    <col min="8696" max="8701" width="3.7109375" style="264"/>
    <col min="8702" max="8702" width="4.28515625" style="264" customWidth="1"/>
    <col min="8703" max="8706" width="3.7109375" style="264"/>
    <col min="8707" max="8707" width="4.28515625" style="264" customWidth="1"/>
    <col min="8708" max="8708" width="4.7109375" style="264" customWidth="1"/>
    <col min="8709" max="8709" width="1.7109375" style="264" customWidth="1"/>
    <col min="8710" max="8950" width="3.7109375" style="264"/>
    <col min="8951" max="8951" width="24.5703125" style="264" customWidth="1"/>
    <col min="8952" max="8957" width="3.7109375" style="264"/>
    <col min="8958" max="8958" width="4.28515625" style="264" customWidth="1"/>
    <col min="8959" max="8962" width="3.7109375" style="264"/>
    <col min="8963" max="8963" width="4.28515625" style="264" customWidth="1"/>
    <col min="8964" max="8964" width="4.7109375" style="264" customWidth="1"/>
    <col min="8965" max="8965" width="1.7109375" style="264" customWidth="1"/>
    <col min="8966" max="9206" width="3.7109375" style="264"/>
    <col min="9207" max="9207" width="24.5703125" style="264" customWidth="1"/>
    <col min="9208" max="9213" width="3.7109375" style="264"/>
    <col min="9214" max="9214" width="4.28515625" style="264" customWidth="1"/>
    <col min="9215" max="9218" width="3.7109375" style="264"/>
    <col min="9219" max="9219" width="4.28515625" style="264" customWidth="1"/>
    <col min="9220" max="9220" width="4.7109375" style="264" customWidth="1"/>
    <col min="9221" max="9221" width="1.7109375" style="264" customWidth="1"/>
    <col min="9222" max="9462" width="3.7109375" style="264"/>
    <col min="9463" max="9463" width="24.5703125" style="264" customWidth="1"/>
    <col min="9464" max="9469" width="3.7109375" style="264"/>
    <col min="9470" max="9470" width="4.28515625" style="264" customWidth="1"/>
    <col min="9471" max="9474" width="3.7109375" style="264"/>
    <col min="9475" max="9475" width="4.28515625" style="264" customWidth="1"/>
    <col min="9476" max="9476" width="4.7109375" style="264" customWidth="1"/>
    <col min="9477" max="9477" width="1.7109375" style="264" customWidth="1"/>
    <col min="9478" max="9718" width="3.7109375" style="264"/>
    <col min="9719" max="9719" width="24.5703125" style="264" customWidth="1"/>
    <col min="9720" max="9725" width="3.7109375" style="264"/>
    <col min="9726" max="9726" width="4.28515625" style="264" customWidth="1"/>
    <col min="9727" max="9730" width="3.7109375" style="264"/>
    <col min="9731" max="9731" width="4.28515625" style="264" customWidth="1"/>
    <col min="9732" max="9732" width="4.7109375" style="264" customWidth="1"/>
    <col min="9733" max="9733" width="1.7109375" style="264" customWidth="1"/>
    <col min="9734" max="9974" width="3.7109375" style="264"/>
    <col min="9975" max="9975" width="24.5703125" style="264" customWidth="1"/>
    <col min="9976" max="9981" width="3.7109375" style="264"/>
    <col min="9982" max="9982" width="4.28515625" style="264" customWidth="1"/>
    <col min="9983" max="9986" width="3.7109375" style="264"/>
    <col min="9987" max="9987" width="4.28515625" style="264" customWidth="1"/>
    <col min="9988" max="9988" width="4.7109375" style="264" customWidth="1"/>
    <col min="9989" max="9989" width="1.7109375" style="264" customWidth="1"/>
    <col min="9990" max="10230" width="3.7109375" style="264"/>
    <col min="10231" max="10231" width="24.5703125" style="264" customWidth="1"/>
    <col min="10232" max="10237" width="3.7109375" style="264"/>
    <col min="10238" max="10238" width="4.28515625" style="264" customWidth="1"/>
    <col min="10239" max="10242" width="3.7109375" style="264"/>
    <col min="10243" max="10243" width="4.28515625" style="264" customWidth="1"/>
    <col min="10244" max="10244" width="4.7109375" style="264" customWidth="1"/>
    <col min="10245" max="10245" width="1.7109375" style="264" customWidth="1"/>
    <col min="10246" max="10486" width="3.7109375" style="264"/>
    <col min="10487" max="10487" width="24.5703125" style="264" customWidth="1"/>
    <col min="10488" max="10493" width="3.7109375" style="264"/>
    <col min="10494" max="10494" width="4.28515625" style="264" customWidth="1"/>
    <col min="10495" max="10498" width="3.7109375" style="264"/>
    <col min="10499" max="10499" width="4.28515625" style="264" customWidth="1"/>
    <col min="10500" max="10500" width="4.7109375" style="264" customWidth="1"/>
    <col min="10501" max="10501" width="1.7109375" style="264" customWidth="1"/>
    <col min="10502" max="10742" width="3.7109375" style="264"/>
    <col min="10743" max="10743" width="24.5703125" style="264" customWidth="1"/>
    <col min="10744" max="10749" width="3.7109375" style="264"/>
    <col min="10750" max="10750" width="4.28515625" style="264" customWidth="1"/>
    <col min="10751" max="10754" width="3.7109375" style="264"/>
    <col min="10755" max="10755" width="4.28515625" style="264" customWidth="1"/>
    <col min="10756" max="10756" width="4.7109375" style="264" customWidth="1"/>
    <col min="10757" max="10757" width="1.7109375" style="264" customWidth="1"/>
    <col min="10758" max="10998" width="3.7109375" style="264"/>
    <col min="10999" max="10999" width="24.5703125" style="264" customWidth="1"/>
    <col min="11000" max="11005" width="3.7109375" style="264"/>
    <col min="11006" max="11006" width="4.28515625" style="264" customWidth="1"/>
    <col min="11007" max="11010" width="3.7109375" style="264"/>
    <col min="11011" max="11011" width="4.28515625" style="264" customWidth="1"/>
    <col min="11012" max="11012" width="4.7109375" style="264" customWidth="1"/>
    <col min="11013" max="11013" width="1.7109375" style="264" customWidth="1"/>
    <col min="11014" max="11254" width="3.7109375" style="264"/>
    <col min="11255" max="11255" width="24.5703125" style="264" customWidth="1"/>
    <col min="11256" max="11261" width="3.7109375" style="264"/>
    <col min="11262" max="11262" width="4.28515625" style="264" customWidth="1"/>
    <col min="11263" max="11266" width="3.7109375" style="264"/>
    <col min="11267" max="11267" width="4.28515625" style="264" customWidth="1"/>
    <col min="11268" max="11268" width="4.7109375" style="264" customWidth="1"/>
    <col min="11269" max="11269" width="1.7109375" style="264" customWidth="1"/>
    <col min="11270" max="11510" width="3.7109375" style="264"/>
    <col min="11511" max="11511" width="24.5703125" style="264" customWidth="1"/>
    <col min="11512" max="11517" width="3.7109375" style="264"/>
    <col min="11518" max="11518" width="4.28515625" style="264" customWidth="1"/>
    <col min="11519" max="11522" width="3.7109375" style="264"/>
    <col min="11523" max="11523" width="4.28515625" style="264" customWidth="1"/>
    <col min="11524" max="11524" width="4.7109375" style="264" customWidth="1"/>
    <col min="11525" max="11525" width="1.7109375" style="264" customWidth="1"/>
    <col min="11526" max="11766" width="3.7109375" style="264"/>
    <col min="11767" max="11767" width="24.5703125" style="264" customWidth="1"/>
    <col min="11768" max="11773" width="3.7109375" style="264"/>
    <col min="11774" max="11774" width="4.28515625" style="264" customWidth="1"/>
    <col min="11775" max="11778" width="3.7109375" style="264"/>
    <col min="11779" max="11779" width="4.28515625" style="264" customWidth="1"/>
    <col min="11780" max="11780" width="4.7109375" style="264" customWidth="1"/>
    <col min="11781" max="11781" width="1.7109375" style="264" customWidth="1"/>
    <col min="11782" max="12022" width="3.7109375" style="264"/>
    <col min="12023" max="12023" width="24.5703125" style="264" customWidth="1"/>
    <col min="12024" max="12029" width="3.7109375" style="264"/>
    <col min="12030" max="12030" width="4.28515625" style="264" customWidth="1"/>
    <col min="12031" max="12034" width="3.7109375" style="264"/>
    <col min="12035" max="12035" width="4.28515625" style="264" customWidth="1"/>
    <col min="12036" max="12036" width="4.7109375" style="264" customWidth="1"/>
    <col min="12037" max="12037" width="1.7109375" style="264" customWidth="1"/>
    <col min="12038" max="12278" width="3.7109375" style="264"/>
    <col min="12279" max="12279" width="24.5703125" style="264" customWidth="1"/>
    <col min="12280" max="12285" width="3.7109375" style="264"/>
    <col min="12286" max="12286" width="4.28515625" style="264" customWidth="1"/>
    <col min="12287" max="12290" width="3.7109375" style="264"/>
    <col min="12291" max="12291" width="4.28515625" style="264" customWidth="1"/>
    <col min="12292" max="12292" width="4.7109375" style="264" customWidth="1"/>
    <col min="12293" max="12293" width="1.7109375" style="264" customWidth="1"/>
    <col min="12294" max="12534" width="3.7109375" style="264"/>
    <col min="12535" max="12535" width="24.5703125" style="264" customWidth="1"/>
    <col min="12536" max="12541" width="3.7109375" style="264"/>
    <col min="12542" max="12542" width="4.28515625" style="264" customWidth="1"/>
    <col min="12543" max="12546" width="3.7109375" style="264"/>
    <col min="12547" max="12547" width="4.28515625" style="264" customWidth="1"/>
    <col min="12548" max="12548" width="4.7109375" style="264" customWidth="1"/>
    <col min="12549" max="12549" width="1.7109375" style="264" customWidth="1"/>
    <col min="12550" max="12790" width="3.7109375" style="264"/>
    <col min="12791" max="12791" width="24.5703125" style="264" customWidth="1"/>
    <col min="12792" max="12797" width="3.7109375" style="264"/>
    <col min="12798" max="12798" width="4.28515625" style="264" customWidth="1"/>
    <col min="12799" max="12802" width="3.7109375" style="264"/>
    <col min="12803" max="12803" width="4.28515625" style="264" customWidth="1"/>
    <col min="12804" max="12804" width="4.7109375" style="264" customWidth="1"/>
    <col min="12805" max="12805" width="1.7109375" style="264" customWidth="1"/>
    <col min="12806" max="13046" width="3.7109375" style="264"/>
    <col min="13047" max="13047" width="24.5703125" style="264" customWidth="1"/>
    <col min="13048" max="13053" width="3.7109375" style="264"/>
    <col min="13054" max="13054" width="4.28515625" style="264" customWidth="1"/>
    <col min="13055" max="13058" width="3.7109375" style="264"/>
    <col min="13059" max="13059" width="4.28515625" style="264" customWidth="1"/>
    <col min="13060" max="13060" width="4.7109375" style="264" customWidth="1"/>
    <col min="13061" max="13061" width="1.7109375" style="264" customWidth="1"/>
    <col min="13062" max="13302" width="3.7109375" style="264"/>
    <col min="13303" max="13303" width="24.5703125" style="264" customWidth="1"/>
    <col min="13304" max="13309" width="3.7109375" style="264"/>
    <col min="13310" max="13310" width="4.28515625" style="264" customWidth="1"/>
    <col min="13311" max="13314" width="3.7109375" style="264"/>
    <col min="13315" max="13315" width="4.28515625" style="264" customWidth="1"/>
    <col min="13316" max="13316" width="4.7109375" style="264" customWidth="1"/>
    <col min="13317" max="13317" width="1.7109375" style="264" customWidth="1"/>
    <col min="13318" max="13558" width="3.7109375" style="264"/>
    <col min="13559" max="13559" width="24.5703125" style="264" customWidth="1"/>
    <col min="13560" max="13565" width="3.7109375" style="264"/>
    <col min="13566" max="13566" width="4.28515625" style="264" customWidth="1"/>
    <col min="13567" max="13570" width="3.7109375" style="264"/>
    <col min="13571" max="13571" width="4.28515625" style="264" customWidth="1"/>
    <col min="13572" max="13572" width="4.7109375" style="264" customWidth="1"/>
    <col min="13573" max="13573" width="1.7109375" style="264" customWidth="1"/>
    <col min="13574" max="13814" width="3.7109375" style="264"/>
    <col min="13815" max="13815" width="24.5703125" style="264" customWidth="1"/>
    <col min="13816" max="13821" width="3.7109375" style="264"/>
    <col min="13822" max="13822" width="4.28515625" style="264" customWidth="1"/>
    <col min="13823" max="13826" width="3.7109375" style="264"/>
    <col min="13827" max="13827" width="4.28515625" style="264" customWidth="1"/>
    <col min="13828" max="13828" width="4.7109375" style="264" customWidth="1"/>
    <col min="13829" max="13829" width="1.7109375" style="264" customWidth="1"/>
    <col min="13830" max="14070" width="3.7109375" style="264"/>
    <col min="14071" max="14071" width="24.5703125" style="264" customWidth="1"/>
    <col min="14072" max="14077" width="3.7109375" style="264"/>
    <col min="14078" max="14078" width="4.28515625" style="264" customWidth="1"/>
    <col min="14079" max="14082" width="3.7109375" style="264"/>
    <col min="14083" max="14083" width="4.28515625" style="264" customWidth="1"/>
    <col min="14084" max="14084" width="4.7109375" style="264" customWidth="1"/>
    <col min="14085" max="14085" width="1.7109375" style="264" customWidth="1"/>
    <col min="14086" max="14326" width="3.7109375" style="264"/>
    <col min="14327" max="14327" width="24.5703125" style="264" customWidth="1"/>
    <col min="14328" max="14333" width="3.7109375" style="264"/>
    <col min="14334" max="14334" width="4.28515625" style="264" customWidth="1"/>
    <col min="14335" max="14338" width="3.7109375" style="264"/>
    <col min="14339" max="14339" width="4.28515625" style="264" customWidth="1"/>
    <col min="14340" max="14340" width="4.7109375" style="264" customWidth="1"/>
    <col min="14341" max="14341" width="1.7109375" style="264" customWidth="1"/>
    <col min="14342" max="14582" width="3.7109375" style="264"/>
    <col min="14583" max="14583" width="24.5703125" style="264" customWidth="1"/>
    <col min="14584" max="14589" width="3.7109375" style="264"/>
    <col min="14590" max="14590" width="4.28515625" style="264" customWidth="1"/>
    <col min="14591" max="14594" width="3.7109375" style="264"/>
    <col min="14595" max="14595" width="4.28515625" style="264" customWidth="1"/>
    <col min="14596" max="14596" width="4.7109375" style="264" customWidth="1"/>
    <col min="14597" max="14597" width="1.7109375" style="264" customWidth="1"/>
    <col min="14598" max="14838" width="3.7109375" style="264"/>
    <col min="14839" max="14839" width="24.5703125" style="264" customWidth="1"/>
    <col min="14840" max="14845" width="3.7109375" style="264"/>
    <col min="14846" max="14846" width="4.28515625" style="264" customWidth="1"/>
    <col min="14847" max="14850" width="3.7109375" style="264"/>
    <col min="14851" max="14851" width="4.28515625" style="264" customWidth="1"/>
    <col min="14852" max="14852" width="4.7109375" style="264" customWidth="1"/>
    <col min="14853" max="14853" width="1.7109375" style="264" customWidth="1"/>
    <col min="14854" max="15094" width="3.7109375" style="264"/>
    <col min="15095" max="15095" width="24.5703125" style="264" customWidth="1"/>
    <col min="15096" max="15101" width="3.7109375" style="264"/>
    <col min="15102" max="15102" width="4.28515625" style="264" customWidth="1"/>
    <col min="15103" max="15106" width="3.7109375" style="264"/>
    <col min="15107" max="15107" width="4.28515625" style="264" customWidth="1"/>
    <col min="15108" max="15108" width="4.7109375" style="264" customWidth="1"/>
    <col min="15109" max="15109" width="1.7109375" style="264" customWidth="1"/>
    <col min="15110" max="15350" width="3.7109375" style="264"/>
    <col min="15351" max="15351" width="24.5703125" style="264" customWidth="1"/>
    <col min="15352" max="15357" width="3.7109375" style="264"/>
    <col min="15358" max="15358" width="4.28515625" style="264" customWidth="1"/>
    <col min="15359" max="15362" width="3.7109375" style="264"/>
    <col min="15363" max="15363" width="4.28515625" style="264" customWidth="1"/>
    <col min="15364" max="15364" width="4.7109375" style="264" customWidth="1"/>
    <col min="15365" max="15365" width="1.7109375" style="264" customWidth="1"/>
    <col min="15366" max="15606" width="3.7109375" style="264"/>
    <col min="15607" max="15607" width="24.5703125" style="264" customWidth="1"/>
    <col min="15608" max="15613" width="3.7109375" style="264"/>
    <col min="15614" max="15614" width="4.28515625" style="264" customWidth="1"/>
    <col min="15615" max="15618" width="3.7109375" style="264"/>
    <col min="15619" max="15619" width="4.28515625" style="264" customWidth="1"/>
    <col min="15620" max="15620" width="4.7109375" style="264" customWidth="1"/>
    <col min="15621" max="15621" width="1.7109375" style="264" customWidth="1"/>
    <col min="15622" max="15862" width="3.7109375" style="264"/>
    <col min="15863" max="15863" width="24.5703125" style="264" customWidth="1"/>
    <col min="15864" max="15869" width="3.7109375" style="264"/>
    <col min="15870" max="15870" width="4.28515625" style="264" customWidth="1"/>
    <col min="15871" max="15874" width="3.7109375" style="264"/>
    <col min="15875" max="15875" width="4.28515625" style="264" customWidth="1"/>
    <col min="15876" max="15876" width="4.7109375" style="264" customWidth="1"/>
    <col min="15877" max="15877" width="1.7109375" style="264" customWidth="1"/>
    <col min="15878" max="16118" width="3.7109375" style="264"/>
    <col min="16119" max="16119" width="24.5703125" style="264" customWidth="1"/>
    <col min="16120" max="16125" width="3.7109375" style="264"/>
    <col min="16126" max="16126" width="4.28515625" style="264" customWidth="1"/>
    <col min="16127" max="16130" width="3.7109375" style="264"/>
    <col min="16131" max="16131" width="4.28515625" style="264" customWidth="1"/>
    <col min="16132" max="16132" width="4.7109375" style="264" customWidth="1"/>
    <col min="16133" max="16133" width="1.7109375" style="264" customWidth="1"/>
    <col min="16134" max="16384" width="3.7109375" style="264"/>
  </cols>
  <sheetData>
    <row r="1" spans="1:31" s="102" customFormat="1" ht="22.5" customHeight="1" x14ac:dyDescent="0.2">
      <c r="A1" s="438" t="s">
        <v>18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S1" s="438"/>
      <c r="T1" s="438"/>
      <c r="U1" s="438"/>
      <c r="V1" s="438"/>
      <c r="W1" s="438"/>
      <c r="X1" s="438"/>
      <c r="Y1" s="438"/>
      <c r="Z1" s="438"/>
      <c r="AA1" s="149"/>
      <c r="AB1" s="149"/>
    </row>
    <row r="2" spans="1:31" customFormat="1" ht="22.5" customHeight="1" x14ac:dyDescent="0.2">
      <c r="A2" s="438" t="s">
        <v>252</v>
      </c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438"/>
      <c r="X2" s="438"/>
      <c r="Y2" s="438"/>
      <c r="Z2" s="438"/>
      <c r="AA2" s="149"/>
      <c r="AB2" s="149"/>
      <c r="AC2" s="17"/>
      <c r="AD2" s="17"/>
      <c r="AE2" s="17"/>
    </row>
    <row r="3" spans="1:31" s="41" customFormat="1" ht="21.75" customHeight="1" thickBot="1" x14ac:dyDescent="0.25">
      <c r="A3" s="391" t="s">
        <v>253</v>
      </c>
      <c r="C3" s="40"/>
      <c r="Q3" s="392"/>
      <c r="R3" s="391"/>
    </row>
    <row r="4" spans="1:31" ht="18.75" customHeight="1" x14ac:dyDescent="0.2">
      <c r="A4" s="521" t="s">
        <v>263</v>
      </c>
      <c r="B4" s="533" t="s">
        <v>1</v>
      </c>
      <c r="C4" s="536" t="s">
        <v>169</v>
      </c>
      <c r="D4" s="537"/>
      <c r="E4" s="537"/>
      <c r="F4" s="537"/>
      <c r="G4" s="537"/>
      <c r="H4" s="537"/>
      <c r="I4" s="538"/>
      <c r="J4" s="536" t="s">
        <v>170</v>
      </c>
      <c r="K4" s="537"/>
      <c r="L4" s="537"/>
      <c r="M4" s="537"/>
      <c r="N4" s="539"/>
      <c r="O4" s="604" t="s">
        <v>236</v>
      </c>
      <c r="Q4" s="521" t="s">
        <v>147</v>
      </c>
      <c r="R4" s="606"/>
      <c r="S4" s="606"/>
      <c r="T4" s="606"/>
      <c r="U4" s="606"/>
      <c r="V4" s="606"/>
      <c r="W4" s="606"/>
      <c r="X4" s="606"/>
      <c r="Y4" s="606"/>
      <c r="Z4" s="607"/>
    </row>
    <row r="5" spans="1:31" ht="49.5" customHeight="1" x14ac:dyDescent="0.2">
      <c r="A5" s="522"/>
      <c r="B5" s="534"/>
      <c r="C5" s="545" t="s">
        <v>239</v>
      </c>
      <c r="D5" s="546"/>
      <c r="E5" s="546"/>
      <c r="F5" s="546"/>
      <c r="G5" s="546"/>
      <c r="H5" s="547"/>
      <c r="I5" s="608" t="s">
        <v>3</v>
      </c>
      <c r="J5" s="549" t="s">
        <v>141</v>
      </c>
      <c r="K5" s="509" t="s">
        <v>142</v>
      </c>
      <c r="L5" s="509" t="s">
        <v>143</v>
      </c>
      <c r="M5" s="510" t="s">
        <v>144</v>
      </c>
      <c r="N5" s="608" t="s">
        <v>3</v>
      </c>
      <c r="O5" s="605"/>
      <c r="Q5" s="382"/>
      <c r="R5" s="383"/>
      <c r="S5" s="383"/>
      <c r="T5" s="383"/>
      <c r="U5" s="383"/>
      <c r="V5" s="383"/>
      <c r="W5" s="383"/>
      <c r="X5" s="383"/>
      <c r="Y5" s="383"/>
      <c r="Z5" s="343"/>
    </row>
    <row r="6" spans="1:31" ht="36.75" customHeight="1" x14ac:dyDescent="0.2">
      <c r="A6" s="522"/>
      <c r="B6" s="534"/>
      <c r="C6" s="548"/>
      <c r="D6" s="546"/>
      <c r="E6" s="546"/>
      <c r="F6" s="546"/>
      <c r="G6" s="546"/>
      <c r="H6" s="547"/>
      <c r="I6" s="608"/>
      <c r="J6" s="549"/>
      <c r="K6" s="509"/>
      <c r="L6" s="509"/>
      <c r="M6" s="510"/>
      <c r="N6" s="608"/>
      <c r="O6" s="605"/>
      <c r="Q6" s="274"/>
      <c r="Z6" s="273"/>
    </row>
    <row r="7" spans="1:31" ht="15" customHeight="1" x14ac:dyDescent="0.2">
      <c r="A7" s="522"/>
      <c r="B7" s="534"/>
      <c r="C7" s="323">
        <v>1</v>
      </c>
      <c r="D7" s="324">
        <v>2</v>
      </c>
      <c r="E7" s="324">
        <v>3</v>
      </c>
      <c r="F7" s="325">
        <v>4</v>
      </c>
      <c r="G7" s="324">
        <v>5</v>
      </c>
      <c r="H7" s="326">
        <v>6</v>
      </c>
      <c r="I7" s="608"/>
      <c r="J7" s="281">
        <v>1</v>
      </c>
      <c r="K7" s="266">
        <v>2</v>
      </c>
      <c r="L7" s="266">
        <v>3</v>
      </c>
      <c r="M7" s="267">
        <v>4</v>
      </c>
      <c r="N7" s="608"/>
      <c r="O7" s="605"/>
      <c r="Q7" s="274"/>
      <c r="Z7" s="273"/>
    </row>
    <row r="8" spans="1:31" ht="18.75" customHeight="1" thickBot="1" x14ac:dyDescent="0.25">
      <c r="A8" s="523"/>
      <c r="B8" s="535"/>
      <c r="C8" s="618" t="s">
        <v>145</v>
      </c>
      <c r="D8" s="619"/>
      <c r="E8" s="619"/>
      <c r="F8" s="619"/>
      <c r="G8" s="619"/>
      <c r="H8" s="619"/>
      <c r="I8" s="330">
        <v>60</v>
      </c>
      <c r="J8" s="620" t="s">
        <v>146</v>
      </c>
      <c r="K8" s="620"/>
      <c r="L8" s="620"/>
      <c r="M8" s="620"/>
      <c r="N8" s="330">
        <v>40</v>
      </c>
      <c r="O8" s="331">
        <v>100</v>
      </c>
      <c r="Q8" s="275"/>
      <c r="R8" s="276"/>
      <c r="S8" s="276"/>
      <c r="T8" s="276"/>
      <c r="U8" s="276"/>
      <c r="V8" s="276"/>
      <c r="W8" s="276"/>
      <c r="X8" s="276"/>
      <c r="Y8" s="276"/>
      <c r="Z8" s="277"/>
    </row>
    <row r="9" spans="1:31" ht="25.5" customHeight="1" thickBot="1" x14ac:dyDescent="0.25">
      <c r="A9" s="381">
        <v>1</v>
      </c>
      <c r="B9" s="413">
        <f>'1 DAN'!B8</f>
        <v>0</v>
      </c>
      <c r="C9" s="334"/>
      <c r="D9" s="335"/>
      <c r="E9" s="335"/>
      <c r="F9" s="335"/>
      <c r="G9" s="335"/>
      <c r="H9" s="336"/>
      <c r="I9" s="337"/>
      <c r="J9" s="334"/>
      <c r="K9" s="335"/>
      <c r="L9" s="335"/>
      <c r="M9" s="336"/>
      <c r="N9" s="337"/>
      <c r="O9" s="338"/>
    </row>
    <row r="10" spans="1:31" ht="25.5" customHeight="1" thickBot="1" x14ac:dyDescent="0.25">
      <c r="A10" s="384">
        <f>A9+1</f>
        <v>2</v>
      </c>
      <c r="B10" s="414">
        <f>'1 DAN'!B9</f>
        <v>0</v>
      </c>
      <c r="C10" s="282"/>
      <c r="D10" s="283"/>
      <c r="E10" s="283"/>
      <c r="F10" s="283"/>
      <c r="G10" s="283"/>
      <c r="H10" s="284"/>
      <c r="I10" s="329"/>
      <c r="J10" s="282"/>
      <c r="K10" s="283"/>
      <c r="L10" s="283"/>
      <c r="M10" s="284"/>
      <c r="N10" s="329"/>
      <c r="O10" s="285"/>
      <c r="Q10" s="268"/>
      <c r="R10" s="615" t="s">
        <v>156</v>
      </c>
      <c r="S10" s="616"/>
      <c r="T10" s="616"/>
      <c r="U10" s="616"/>
      <c r="V10" s="616"/>
      <c r="W10" s="616"/>
      <c r="X10" s="616"/>
      <c r="Y10" s="616"/>
      <c r="Z10" s="617"/>
    </row>
    <row r="11" spans="1:31" ht="25.5" customHeight="1" thickTop="1" x14ac:dyDescent="0.2">
      <c r="A11" s="381">
        <f t="shared" ref="A11:A18" si="0">A10+1</f>
        <v>3</v>
      </c>
      <c r="B11" s="413">
        <f>'1 DAN'!B10</f>
        <v>0</v>
      </c>
      <c r="C11" s="286"/>
      <c r="D11" s="287"/>
      <c r="E11" s="287"/>
      <c r="F11" s="287"/>
      <c r="G11" s="287"/>
      <c r="H11" s="265"/>
      <c r="I11" s="328"/>
      <c r="J11" s="286"/>
      <c r="K11" s="287"/>
      <c r="L11" s="287"/>
      <c r="M11" s="265"/>
      <c r="N11" s="328"/>
      <c r="O11" s="288"/>
      <c r="Q11" s="503" t="s">
        <v>4</v>
      </c>
      <c r="R11" s="524" t="s">
        <v>262</v>
      </c>
      <c r="S11" s="525"/>
      <c r="T11" s="525"/>
      <c r="U11" s="525"/>
      <c r="V11" s="525"/>
      <c r="W11" s="525"/>
      <c r="X11" s="525"/>
      <c r="Y11" s="525"/>
      <c r="Z11" s="526"/>
    </row>
    <row r="12" spans="1:31" ht="25.5" customHeight="1" thickBot="1" x14ac:dyDescent="0.25">
      <c r="A12" s="384">
        <f t="shared" si="0"/>
        <v>4</v>
      </c>
      <c r="B12" s="414">
        <f>'1 DAN'!B11</f>
        <v>0</v>
      </c>
      <c r="C12" s="339"/>
      <c r="D12" s="340"/>
      <c r="E12" s="340"/>
      <c r="F12" s="340"/>
      <c r="G12" s="340"/>
      <c r="H12" s="341"/>
      <c r="I12" s="342"/>
      <c r="J12" s="339"/>
      <c r="K12" s="340"/>
      <c r="L12" s="340"/>
      <c r="M12" s="341"/>
      <c r="N12" s="342"/>
      <c r="O12" s="343"/>
      <c r="Q12" s="504"/>
      <c r="R12" s="527"/>
      <c r="S12" s="528"/>
      <c r="T12" s="528"/>
      <c r="U12" s="528"/>
      <c r="V12" s="528"/>
      <c r="W12" s="528"/>
      <c r="X12" s="528"/>
      <c r="Y12" s="528"/>
      <c r="Z12" s="529"/>
    </row>
    <row r="13" spans="1:31" ht="25.5" customHeight="1" x14ac:dyDescent="0.2">
      <c r="A13" s="381">
        <f t="shared" si="0"/>
        <v>5</v>
      </c>
      <c r="B13" s="413">
        <f>'1 DAN'!B12</f>
        <v>0</v>
      </c>
      <c r="C13" s="334"/>
      <c r="D13" s="335"/>
      <c r="E13" s="335"/>
      <c r="F13" s="335"/>
      <c r="G13" s="335"/>
      <c r="H13" s="336"/>
      <c r="I13" s="337"/>
      <c r="J13" s="334"/>
      <c r="K13" s="335"/>
      <c r="L13" s="335"/>
      <c r="M13" s="336"/>
      <c r="N13" s="337"/>
      <c r="O13" s="338"/>
      <c r="Q13" s="504"/>
      <c r="R13" s="527"/>
      <c r="S13" s="528"/>
      <c r="T13" s="528"/>
      <c r="U13" s="528"/>
      <c r="V13" s="528"/>
      <c r="W13" s="528"/>
      <c r="X13" s="528"/>
      <c r="Y13" s="528"/>
      <c r="Z13" s="529"/>
    </row>
    <row r="14" spans="1:31" ht="25.5" customHeight="1" thickBot="1" x14ac:dyDescent="0.25">
      <c r="A14" s="384">
        <f t="shared" si="0"/>
        <v>6</v>
      </c>
      <c r="B14" s="414">
        <f>'1 DAN'!B13</f>
        <v>0</v>
      </c>
      <c r="C14" s="282"/>
      <c r="D14" s="283"/>
      <c r="E14" s="283"/>
      <c r="F14" s="283"/>
      <c r="G14" s="283"/>
      <c r="H14" s="284"/>
      <c r="I14" s="329"/>
      <c r="J14" s="282"/>
      <c r="K14" s="283"/>
      <c r="L14" s="283"/>
      <c r="M14" s="284"/>
      <c r="N14" s="329"/>
      <c r="O14" s="285"/>
      <c r="Q14" s="504"/>
      <c r="R14" s="527"/>
      <c r="S14" s="528"/>
      <c r="T14" s="528"/>
      <c r="U14" s="528"/>
      <c r="V14" s="528"/>
      <c r="W14" s="528"/>
      <c r="X14" s="528"/>
      <c r="Y14" s="528"/>
      <c r="Z14" s="529"/>
    </row>
    <row r="15" spans="1:31" ht="25.5" customHeight="1" thickBot="1" x14ac:dyDescent="0.25">
      <c r="A15" s="381">
        <f t="shared" si="0"/>
        <v>7</v>
      </c>
      <c r="B15" s="413">
        <f>'1 DAN'!B14</f>
        <v>0</v>
      </c>
      <c r="C15" s="286"/>
      <c r="D15" s="287"/>
      <c r="E15" s="287"/>
      <c r="F15" s="287"/>
      <c r="G15" s="287"/>
      <c r="H15" s="265"/>
      <c r="I15" s="328"/>
      <c r="J15" s="286"/>
      <c r="K15" s="287"/>
      <c r="L15" s="287"/>
      <c r="M15" s="265"/>
      <c r="N15" s="328"/>
      <c r="O15" s="288"/>
      <c r="Q15" s="506"/>
      <c r="R15" s="530"/>
      <c r="S15" s="531"/>
      <c r="T15" s="531"/>
      <c r="U15" s="531"/>
      <c r="V15" s="531"/>
      <c r="W15" s="531"/>
      <c r="X15" s="531"/>
      <c r="Y15" s="531"/>
      <c r="Z15" s="532"/>
    </row>
    <row r="16" spans="1:31" ht="25.5" customHeight="1" thickBot="1" x14ac:dyDescent="0.25">
      <c r="A16" s="384">
        <f t="shared" si="0"/>
        <v>8</v>
      </c>
      <c r="B16" s="414">
        <f>'1 DAN'!B15</f>
        <v>0</v>
      </c>
      <c r="C16" s="339"/>
      <c r="D16" s="340"/>
      <c r="E16" s="340"/>
      <c r="F16" s="340"/>
      <c r="G16" s="340"/>
      <c r="H16" s="341"/>
      <c r="I16" s="342"/>
      <c r="J16" s="339"/>
      <c r="K16" s="340"/>
      <c r="L16" s="340"/>
      <c r="M16" s="341"/>
      <c r="N16" s="342"/>
      <c r="O16" s="343"/>
      <c r="Q16" s="505" t="s">
        <v>5</v>
      </c>
      <c r="R16" s="507">
        <v>1</v>
      </c>
      <c r="S16" s="566" t="s">
        <v>148</v>
      </c>
      <c r="T16" s="566"/>
      <c r="U16" s="566"/>
      <c r="V16" s="566"/>
      <c r="W16" s="566"/>
      <c r="X16" s="566"/>
      <c r="Y16" s="568" t="s">
        <v>153</v>
      </c>
      <c r="Z16" s="569"/>
    </row>
    <row r="17" spans="1:26" ht="25.5" customHeight="1" x14ac:dyDescent="0.2">
      <c r="A17" s="381">
        <f t="shared" si="0"/>
        <v>9</v>
      </c>
      <c r="B17" s="413">
        <f>'1 DAN'!B16</f>
        <v>0</v>
      </c>
      <c r="C17" s="334"/>
      <c r="D17" s="335"/>
      <c r="E17" s="335"/>
      <c r="F17" s="335"/>
      <c r="G17" s="335"/>
      <c r="H17" s="336"/>
      <c r="I17" s="337"/>
      <c r="J17" s="334"/>
      <c r="K17" s="335"/>
      <c r="L17" s="335"/>
      <c r="M17" s="336"/>
      <c r="N17" s="337"/>
      <c r="O17" s="338"/>
      <c r="Q17" s="504"/>
      <c r="R17" s="508"/>
      <c r="S17" s="567"/>
      <c r="T17" s="567"/>
      <c r="U17" s="567"/>
      <c r="V17" s="567"/>
      <c r="W17" s="567"/>
      <c r="X17" s="567"/>
      <c r="Y17" s="556"/>
      <c r="Z17" s="529"/>
    </row>
    <row r="18" spans="1:26" ht="25.5" customHeight="1" thickBot="1" x14ac:dyDescent="0.25">
      <c r="A18" s="384">
        <f t="shared" si="0"/>
        <v>10</v>
      </c>
      <c r="B18" s="414">
        <f>'1 DAN'!B17</f>
        <v>0</v>
      </c>
      <c r="C18" s="387"/>
      <c r="D18" s="388"/>
      <c r="E18" s="388"/>
      <c r="F18" s="388"/>
      <c r="G18" s="388"/>
      <c r="H18" s="389"/>
      <c r="I18" s="390"/>
      <c r="J18" s="387"/>
      <c r="K18" s="388"/>
      <c r="L18" s="388"/>
      <c r="M18" s="389"/>
      <c r="N18" s="390"/>
      <c r="O18" s="277"/>
      <c r="Q18" s="504"/>
      <c r="R18" s="508"/>
      <c r="S18" s="567"/>
      <c r="T18" s="567"/>
      <c r="U18" s="567"/>
      <c r="V18" s="567"/>
      <c r="W18" s="567"/>
      <c r="X18" s="567"/>
      <c r="Y18" s="556"/>
      <c r="Z18" s="529"/>
    </row>
    <row r="19" spans="1:26" ht="13.5" customHeight="1" thickBot="1" x14ac:dyDescent="0.25">
      <c r="A19" s="385"/>
      <c r="B19" s="386"/>
      <c r="Q19" s="504"/>
      <c r="R19" s="508"/>
      <c r="S19" s="567"/>
      <c r="T19" s="567"/>
      <c r="U19" s="567"/>
      <c r="V19" s="567"/>
      <c r="W19" s="567"/>
      <c r="X19" s="567"/>
      <c r="Y19" s="560"/>
      <c r="Z19" s="570"/>
    </row>
    <row r="20" spans="1:26" ht="25.5" customHeight="1" x14ac:dyDescent="0.2">
      <c r="A20" s="269" t="s">
        <v>237</v>
      </c>
      <c r="B20" s="270"/>
      <c r="C20" s="270"/>
      <c r="D20" s="270"/>
      <c r="E20" s="270"/>
      <c r="F20" s="270"/>
      <c r="G20" s="270"/>
      <c r="H20" s="278" t="s">
        <v>238</v>
      </c>
      <c r="I20" s="270"/>
      <c r="J20" s="270"/>
      <c r="K20" s="270"/>
      <c r="L20" s="270"/>
      <c r="M20" s="270"/>
      <c r="N20" s="270"/>
      <c r="O20" s="271"/>
      <c r="Q20" s="504"/>
      <c r="R20" s="508">
        <v>2</v>
      </c>
      <c r="S20" s="571" t="s">
        <v>149</v>
      </c>
      <c r="T20" s="571"/>
      <c r="U20" s="571"/>
      <c r="V20" s="571"/>
      <c r="W20" s="571"/>
      <c r="X20" s="571"/>
      <c r="Y20" s="572" t="s">
        <v>154</v>
      </c>
      <c r="Z20" s="573"/>
    </row>
    <row r="21" spans="1:26" ht="15" customHeight="1" x14ac:dyDescent="0.2">
      <c r="A21" s="332" t="s">
        <v>8</v>
      </c>
      <c r="B21" s="333" t="s">
        <v>198</v>
      </c>
      <c r="H21" s="263" t="s">
        <v>243</v>
      </c>
      <c r="O21" s="273"/>
      <c r="Q21" s="504"/>
      <c r="R21" s="508"/>
      <c r="S21" s="571"/>
      <c r="T21" s="571"/>
      <c r="U21" s="571"/>
      <c r="V21" s="571"/>
      <c r="W21" s="571"/>
      <c r="X21" s="571"/>
      <c r="Y21" s="550"/>
      <c r="Z21" s="551"/>
    </row>
    <row r="22" spans="1:26" ht="13.5" customHeight="1" x14ac:dyDescent="0.2">
      <c r="A22" s="345"/>
      <c r="B22" s="333" t="s">
        <v>201</v>
      </c>
      <c r="H22" s="152" t="s">
        <v>247</v>
      </c>
      <c r="O22" s="273"/>
      <c r="Q22" s="504"/>
      <c r="R22" s="508"/>
      <c r="S22" s="571"/>
      <c r="T22" s="571"/>
      <c r="U22" s="571"/>
      <c r="V22" s="571"/>
      <c r="W22" s="571"/>
      <c r="X22" s="571"/>
      <c r="Y22" s="550"/>
      <c r="Z22" s="551"/>
    </row>
    <row r="23" spans="1:26" ht="13.5" customHeight="1" x14ac:dyDescent="0.2">
      <c r="A23" s="332" t="s">
        <v>9</v>
      </c>
      <c r="B23" s="333" t="s">
        <v>205</v>
      </c>
      <c r="H23" s="152" t="s">
        <v>244</v>
      </c>
      <c r="O23" s="273"/>
      <c r="Q23" s="504"/>
      <c r="R23" s="508"/>
      <c r="S23" s="571"/>
      <c r="T23" s="571"/>
      <c r="U23" s="571"/>
      <c r="V23" s="571"/>
      <c r="W23" s="571"/>
      <c r="X23" s="571"/>
      <c r="Y23" s="574"/>
      <c r="Z23" s="575"/>
    </row>
    <row r="24" spans="1:26" ht="13.5" customHeight="1" x14ac:dyDescent="0.2">
      <c r="A24" s="345"/>
      <c r="B24" s="528" t="s">
        <v>209</v>
      </c>
      <c r="C24" s="528"/>
      <c r="D24" s="528"/>
      <c r="E24" s="528"/>
      <c r="F24" s="528"/>
      <c r="G24" s="344"/>
      <c r="H24" s="347" t="s">
        <v>245</v>
      </c>
      <c r="I24" s="348"/>
      <c r="J24" s="348"/>
      <c r="K24" s="348"/>
      <c r="L24" s="348"/>
      <c r="M24" s="348"/>
      <c r="N24" s="348"/>
      <c r="O24" s="349"/>
      <c r="Q24" s="504"/>
      <c r="R24" s="563">
        <v>3</v>
      </c>
      <c r="S24" s="554" t="s">
        <v>150</v>
      </c>
      <c r="T24" s="557"/>
      <c r="U24" s="557"/>
      <c r="V24" s="557"/>
      <c r="W24" s="557"/>
      <c r="X24" s="558"/>
      <c r="Y24" s="554" t="s">
        <v>155</v>
      </c>
      <c r="Z24" s="555"/>
    </row>
    <row r="25" spans="1:26" ht="13.5" customHeight="1" x14ac:dyDescent="0.2">
      <c r="A25" s="345"/>
      <c r="B25" s="528"/>
      <c r="C25" s="528"/>
      <c r="D25" s="528"/>
      <c r="E25" s="528"/>
      <c r="F25" s="528"/>
      <c r="G25" s="344"/>
      <c r="H25" s="609" t="s">
        <v>246</v>
      </c>
      <c r="I25" s="610"/>
      <c r="J25" s="610"/>
      <c r="K25" s="610"/>
      <c r="L25" s="610"/>
      <c r="M25" s="610"/>
      <c r="N25" s="610"/>
      <c r="O25" s="611"/>
      <c r="Q25" s="504"/>
      <c r="R25" s="564"/>
      <c r="S25" s="556"/>
      <c r="T25" s="528"/>
      <c r="U25" s="528"/>
      <c r="V25" s="528"/>
      <c r="W25" s="528"/>
      <c r="X25" s="559"/>
      <c r="Y25" s="556"/>
      <c r="Z25" s="529"/>
    </row>
    <row r="26" spans="1:26" ht="13.5" customHeight="1" x14ac:dyDescent="0.2">
      <c r="A26" s="332" t="s">
        <v>11</v>
      </c>
      <c r="B26" s="333" t="s">
        <v>213</v>
      </c>
      <c r="H26" s="609"/>
      <c r="I26" s="610"/>
      <c r="J26" s="610"/>
      <c r="K26" s="610"/>
      <c r="L26" s="610"/>
      <c r="M26" s="610"/>
      <c r="N26" s="610"/>
      <c r="O26" s="611"/>
      <c r="Q26" s="504"/>
      <c r="R26" s="565"/>
      <c r="S26" s="560"/>
      <c r="T26" s="561"/>
      <c r="U26" s="561"/>
      <c r="V26" s="561"/>
      <c r="W26" s="561"/>
      <c r="X26" s="562"/>
      <c r="Y26" s="556"/>
      <c r="Z26" s="529"/>
    </row>
    <row r="27" spans="1:26" ht="13.5" customHeight="1" x14ac:dyDescent="0.2">
      <c r="A27" s="332" t="s">
        <v>12</v>
      </c>
      <c r="B27" s="333" t="s">
        <v>217</v>
      </c>
      <c r="H27" s="609"/>
      <c r="I27" s="610"/>
      <c r="J27" s="610"/>
      <c r="K27" s="610"/>
      <c r="L27" s="610"/>
      <c r="M27" s="610"/>
      <c r="N27" s="610"/>
      <c r="O27" s="611"/>
      <c r="Q27" s="504"/>
      <c r="R27" s="508">
        <v>4</v>
      </c>
      <c r="S27" s="571" t="s">
        <v>151</v>
      </c>
      <c r="T27" s="577"/>
      <c r="U27" s="577"/>
      <c r="V27" s="577"/>
      <c r="W27" s="577"/>
      <c r="X27" s="577"/>
      <c r="Y27" s="572" t="s">
        <v>152</v>
      </c>
      <c r="Z27" s="573"/>
    </row>
    <row r="28" spans="1:26" ht="13.5" customHeight="1" x14ac:dyDescent="0.2">
      <c r="A28" s="332" t="s">
        <v>13</v>
      </c>
      <c r="B28" s="333" t="s">
        <v>171</v>
      </c>
      <c r="H28" s="609"/>
      <c r="I28" s="610"/>
      <c r="J28" s="610"/>
      <c r="K28" s="610"/>
      <c r="L28" s="610"/>
      <c r="M28" s="610"/>
      <c r="N28" s="610"/>
      <c r="O28" s="611"/>
      <c r="Q28" s="504"/>
      <c r="R28" s="508"/>
      <c r="S28" s="577"/>
      <c r="T28" s="577"/>
      <c r="U28" s="577"/>
      <c r="V28" s="577"/>
      <c r="W28" s="577"/>
      <c r="X28" s="577"/>
      <c r="Y28" s="550"/>
      <c r="Z28" s="551"/>
    </row>
    <row r="29" spans="1:26" ht="13.5" customHeight="1" x14ac:dyDescent="0.2">
      <c r="A29" s="332" t="s">
        <v>111</v>
      </c>
      <c r="B29" s="333" t="s">
        <v>223</v>
      </c>
      <c r="H29" s="609"/>
      <c r="I29" s="610"/>
      <c r="J29" s="610"/>
      <c r="K29" s="610"/>
      <c r="L29" s="610"/>
      <c r="M29" s="610"/>
      <c r="N29" s="610"/>
      <c r="O29" s="611"/>
      <c r="Q29" s="504"/>
      <c r="R29" s="508"/>
      <c r="S29" s="577"/>
      <c r="T29" s="577"/>
      <c r="U29" s="577"/>
      <c r="V29" s="577"/>
      <c r="W29" s="577"/>
      <c r="X29" s="577"/>
      <c r="Y29" s="550"/>
      <c r="Z29" s="551"/>
    </row>
    <row r="30" spans="1:26" ht="13.5" customHeight="1" thickBot="1" x14ac:dyDescent="0.3">
      <c r="A30" s="275"/>
      <c r="B30" s="276"/>
      <c r="C30" s="276"/>
      <c r="D30" s="276"/>
      <c r="E30" s="276"/>
      <c r="F30" s="276"/>
      <c r="G30" s="346"/>
      <c r="H30" s="612"/>
      <c r="I30" s="613"/>
      <c r="J30" s="613"/>
      <c r="K30" s="613"/>
      <c r="L30" s="613"/>
      <c r="M30" s="613"/>
      <c r="N30" s="613"/>
      <c r="O30" s="614"/>
      <c r="Q30" s="506"/>
      <c r="R30" s="576"/>
      <c r="S30" s="578"/>
      <c r="T30" s="578"/>
      <c r="U30" s="578"/>
      <c r="V30" s="578"/>
      <c r="W30" s="578"/>
      <c r="X30" s="578"/>
      <c r="Y30" s="552"/>
      <c r="Z30" s="553"/>
    </row>
    <row r="31" spans="1:26" s="88" customFormat="1" ht="9" customHeight="1" x14ac:dyDescent="0.25">
      <c r="A31" s="264"/>
      <c r="B31" s="264"/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264"/>
      <c r="O31" s="264"/>
      <c r="Q31" s="264"/>
      <c r="R31" s="264"/>
      <c r="S31" s="264"/>
      <c r="T31" s="264"/>
      <c r="U31" s="264"/>
      <c r="V31" s="264"/>
      <c r="W31" s="264"/>
      <c r="X31" s="264"/>
      <c r="Y31" s="264"/>
      <c r="Z31" s="264"/>
    </row>
    <row r="32" spans="1:26" s="18" customFormat="1" ht="13.5" customHeight="1" x14ac:dyDescent="0.25">
      <c r="A32" s="88"/>
      <c r="B32" s="88" t="s">
        <v>53</v>
      </c>
      <c r="C32" s="89"/>
      <c r="D32" s="88"/>
      <c r="E32" s="88"/>
      <c r="F32" s="88"/>
      <c r="G32" s="88"/>
      <c r="H32" s="88"/>
      <c r="I32" s="88"/>
      <c r="J32" s="88" t="s">
        <v>54</v>
      </c>
      <c r="K32" s="88"/>
      <c r="L32" s="88"/>
      <c r="M32" s="88"/>
      <c r="N32" s="88"/>
      <c r="O32" s="88"/>
      <c r="Q32" s="88"/>
      <c r="R32" s="88"/>
      <c r="S32" s="88"/>
      <c r="T32" s="88"/>
      <c r="U32" s="88"/>
      <c r="V32" s="88"/>
      <c r="W32" s="88" t="s">
        <v>55</v>
      </c>
      <c r="X32" s="88"/>
      <c r="Y32" s="88"/>
      <c r="Z32" s="88"/>
    </row>
    <row r="33" spans="1:26" s="18" customFormat="1" ht="18" customHeight="1" x14ac:dyDescent="0.2">
      <c r="C33" s="19"/>
    </row>
    <row r="34" spans="1:26" s="18" customFormat="1" ht="9.75" customHeight="1" x14ac:dyDescent="0.2">
      <c r="C34" s="19"/>
    </row>
    <row r="35" spans="1:26" s="18" customFormat="1" ht="18" customHeight="1" x14ac:dyDescent="0.2">
      <c r="B35" s="90"/>
      <c r="C35" s="19"/>
      <c r="J35" s="90"/>
      <c r="K35" s="90"/>
      <c r="L35" s="90"/>
      <c r="M35" s="90"/>
      <c r="N35" s="90"/>
      <c r="O35" s="90"/>
      <c r="W35" s="90"/>
      <c r="X35" s="90"/>
      <c r="Y35" s="90"/>
      <c r="Z35" s="90"/>
    </row>
    <row r="36" spans="1:26" s="18" customFormat="1" ht="15.75" customHeight="1" x14ac:dyDescent="0.2">
      <c r="B36" s="18" t="s">
        <v>56</v>
      </c>
      <c r="C36" s="19"/>
      <c r="J36" s="18" t="s">
        <v>56</v>
      </c>
      <c r="W36" s="18" t="s">
        <v>57</v>
      </c>
    </row>
    <row r="37" spans="1:26" ht="14.25" x14ac:dyDescent="0.2">
      <c r="A37" s="18"/>
      <c r="B37" s="18" t="s">
        <v>58</v>
      </c>
      <c r="C37" s="19"/>
      <c r="D37" s="18"/>
      <c r="E37" s="18"/>
      <c r="F37" s="18"/>
      <c r="G37" s="18"/>
      <c r="H37" s="18"/>
      <c r="I37" s="18"/>
      <c r="J37" s="18" t="s">
        <v>59</v>
      </c>
      <c r="K37" s="18"/>
      <c r="L37" s="18"/>
      <c r="M37" s="18"/>
      <c r="N37" s="18"/>
      <c r="O37" s="18"/>
      <c r="Q37" s="18"/>
      <c r="R37" s="18"/>
      <c r="S37" s="18"/>
      <c r="T37" s="18"/>
      <c r="U37" s="18"/>
      <c r="V37" s="18"/>
      <c r="W37" s="18" t="s">
        <v>58</v>
      </c>
      <c r="X37" s="18"/>
      <c r="Y37" s="18"/>
      <c r="Z37" s="18"/>
    </row>
    <row r="38" spans="1:26" ht="4.5" customHeight="1" thickBot="1" x14ac:dyDescent="0.25"/>
    <row r="39" spans="1:26" ht="25.5" customHeight="1" thickBot="1" x14ac:dyDescent="0.25">
      <c r="A39" s="381">
        <v>11</v>
      </c>
      <c r="B39" s="413">
        <f>'1 DAN'!B39</f>
        <v>0</v>
      </c>
      <c r="C39" s="334"/>
      <c r="D39" s="335"/>
      <c r="E39" s="335"/>
      <c r="F39" s="335"/>
      <c r="G39" s="335"/>
      <c r="H39" s="336"/>
      <c r="I39" s="337"/>
      <c r="J39" s="334"/>
      <c r="K39" s="335"/>
      <c r="L39" s="335"/>
      <c r="M39" s="336"/>
      <c r="N39" s="337"/>
      <c r="O39" s="338"/>
    </row>
    <row r="40" spans="1:26" ht="25.5" customHeight="1" thickBot="1" x14ac:dyDescent="0.25">
      <c r="A40" s="384">
        <f>A39+1</f>
        <v>12</v>
      </c>
      <c r="B40" s="414">
        <f>'1 DAN'!B40</f>
        <v>0</v>
      </c>
      <c r="C40" s="282"/>
      <c r="D40" s="283"/>
      <c r="E40" s="283"/>
      <c r="F40" s="283"/>
      <c r="G40" s="283"/>
      <c r="H40" s="284"/>
      <c r="I40" s="329"/>
      <c r="J40" s="282"/>
      <c r="K40" s="283"/>
      <c r="L40" s="283"/>
      <c r="M40" s="284"/>
      <c r="N40" s="329"/>
      <c r="O40" s="285"/>
      <c r="Q40" s="268"/>
      <c r="R40" s="615" t="s">
        <v>156</v>
      </c>
      <c r="S40" s="616"/>
      <c r="T40" s="616"/>
      <c r="U40" s="616"/>
      <c r="V40" s="616"/>
      <c r="W40" s="616"/>
      <c r="X40" s="616"/>
      <c r="Y40" s="616"/>
      <c r="Z40" s="617"/>
    </row>
    <row r="41" spans="1:26" ht="25.5" customHeight="1" thickTop="1" x14ac:dyDescent="0.2">
      <c r="A41" s="381">
        <f t="shared" ref="A41:A48" si="1">A40+1</f>
        <v>13</v>
      </c>
      <c r="B41" s="413">
        <f>'1 DAN'!B41</f>
        <v>0</v>
      </c>
      <c r="C41" s="286"/>
      <c r="D41" s="287"/>
      <c r="E41" s="287"/>
      <c r="F41" s="287"/>
      <c r="G41" s="287"/>
      <c r="H41" s="265"/>
      <c r="I41" s="328"/>
      <c r="J41" s="286"/>
      <c r="K41" s="287"/>
      <c r="L41" s="287"/>
      <c r="M41" s="265"/>
      <c r="N41" s="328"/>
      <c r="O41" s="288"/>
      <c r="Q41" s="503" t="s">
        <v>4</v>
      </c>
      <c r="R41" s="524" t="s">
        <v>262</v>
      </c>
      <c r="S41" s="525"/>
      <c r="T41" s="525"/>
      <c r="U41" s="525"/>
      <c r="V41" s="525"/>
      <c r="W41" s="525"/>
      <c r="X41" s="525"/>
      <c r="Y41" s="525"/>
      <c r="Z41" s="526"/>
    </row>
    <row r="42" spans="1:26" ht="25.5" customHeight="1" thickBot="1" x14ac:dyDescent="0.25">
      <c r="A42" s="384">
        <f t="shared" si="1"/>
        <v>14</v>
      </c>
      <c r="B42" s="414">
        <f>'1 DAN'!B42</f>
        <v>0</v>
      </c>
      <c r="C42" s="339"/>
      <c r="D42" s="340"/>
      <c r="E42" s="340"/>
      <c r="F42" s="340"/>
      <c r="G42" s="340"/>
      <c r="H42" s="341"/>
      <c r="I42" s="342"/>
      <c r="J42" s="339"/>
      <c r="K42" s="340"/>
      <c r="L42" s="340"/>
      <c r="M42" s="341"/>
      <c r="N42" s="342"/>
      <c r="O42" s="343"/>
      <c r="Q42" s="504"/>
      <c r="R42" s="527"/>
      <c r="S42" s="528"/>
      <c r="T42" s="528"/>
      <c r="U42" s="528"/>
      <c r="V42" s="528"/>
      <c r="W42" s="528"/>
      <c r="X42" s="528"/>
      <c r="Y42" s="528"/>
      <c r="Z42" s="529"/>
    </row>
    <row r="43" spans="1:26" ht="25.5" customHeight="1" x14ac:dyDescent="0.2">
      <c r="A43" s="381">
        <f t="shared" si="1"/>
        <v>15</v>
      </c>
      <c r="B43" s="413">
        <f>'1 DAN'!B43</f>
        <v>0</v>
      </c>
      <c r="C43" s="334"/>
      <c r="D43" s="335"/>
      <c r="E43" s="335"/>
      <c r="F43" s="335"/>
      <c r="G43" s="335"/>
      <c r="H43" s="336"/>
      <c r="I43" s="337"/>
      <c r="J43" s="334"/>
      <c r="K43" s="335"/>
      <c r="L43" s="335"/>
      <c r="M43" s="336"/>
      <c r="N43" s="337"/>
      <c r="O43" s="338"/>
      <c r="Q43" s="504"/>
      <c r="R43" s="527"/>
      <c r="S43" s="528"/>
      <c r="T43" s="528"/>
      <c r="U43" s="528"/>
      <c r="V43" s="528"/>
      <c r="W43" s="528"/>
      <c r="X43" s="528"/>
      <c r="Y43" s="528"/>
      <c r="Z43" s="529"/>
    </row>
    <row r="44" spans="1:26" ht="25.5" customHeight="1" thickBot="1" x14ac:dyDescent="0.25">
      <c r="A44" s="384">
        <f t="shared" si="1"/>
        <v>16</v>
      </c>
      <c r="B44" s="414">
        <f>'1 DAN'!B44</f>
        <v>0</v>
      </c>
      <c r="C44" s="282"/>
      <c r="D44" s="283"/>
      <c r="E44" s="283"/>
      <c r="F44" s="283"/>
      <c r="G44" s="283"/>
      <c r="H44" s="284"/>
      <c r="I44" s="329"/>
      <c r="J44" s="282"/>
      <c r="K44" s="283"/>
      <c r="L44" s="283"/>
      <c r="M44" s="284"/>
      <c r="N44" s="329"/>
      <c r="O44" s="285"/>
      <c r="Q44" s="504"/>
      <c r="R44" s="527"/>
      <c r="S44" s="528"/>
      <c r="T44" s="528"/>
      <c r="U44" s="528"/>
      <c r="V44" s="528"/>
      <c r="W44" s="528"/>
      <c r="X44" s="528"/>
      <c r="Y44" s="528"/>
      <c r="Z44" s="529"/>
    </row>
    <row r="45" spans="1:26" ht="25.5" customHeight="1" thickBot="1" x14ac:dyDescent="0.25">
      <c r="A45" s="381">
        <f t="shared" si="1"/>
        <v>17</v>
      </c>
      <c r="B45" s="413">
        <f>'1 DAN'!B45</f>
        <v>0</v>
      </c>
      <c r="C45" s="286"/>
      <c r="D45" s="287"/>
      <c r="E45" s="287"/>
      <c r="F45" s="287"/>
      <c r="G45" s="287"/>
      <c r="H45" s="265"/>
      <c r="I45" s="328"/>
      <c r="J45" s="286"/>
      <c r="K45" s="287"/>
      <c r="L45" s="287"/>
      <c r="M45" s="265"/>
      <c r="N45" s="328"/>
      <c r="O45" s="288"/>
      <c r="Q45" s="506"/>
      <c r="R45" s="530"/>
      <c r="S45" s="531"/>
      <c r="T45" s="531"/>
      <c r="U45" s="531"/>
      <c r="V45" s="531"/>
      <c r="W45" s="531"/>
      <c r="X45" s="531"/>
      <c r="Y45" s="531"/>
      <c r="Z45" s="532"/>
    </row>
    <row r="46" spans="1:26" ht="25.5" customHeight="1" thickBot="1" x14ac:dyDescent="0.25">
      <c r="A46" s="384">
        <f t="shared" si="1"/>
        <v>18</v>
      </c>
      <c r="B46" s="414">
        <f>'1 DAN'!B46</f>
        <v>0</v>
      </c>
      <c r="C46" s="339"/>
      <c r="D46" s="340"/>
      <c r="E46" s="340"/>
      <c r="F46" s="340"/>
      <c r="G46" s="340"/>
      <c r="H46" s="341"/>
      <c r="I46" s="342"/>
      <c r="J46" s="339"/>
      <c r="K46" s="340"/>
      <c r="L46" s="340"/>
      <c r="M46" s="341"/>
      <c r="N46" s="342"/>
      <c r="O46" s="343"/>
      <c r="Q46" s="505" t="s">
        <v>5</v>
      </c>
      <c r="R46" s="507">
        <v>1</v>
      </c>
      <c r="S46" s="566" t="s">
        <v>148</v>
      </c>
      <c r="T46" s="566"/>
      <c r="U46" s="566"/>
      <c r="V46" s="566"/>
      <c r="W46" s="566"/>
      <c r="X46" s="566"/>
      <c r="Y46" s="568" t="s">
        <v>153</v>
      </c>
      <c r="Z46" s="569"/>
    </row>
    <row r="47" spans="1:26" ht="25.5" customHeight="1" x14ac:dyDescent="0.2">
      <c r="A47" s="381">
        <f t="shared" si="1"/>
        <v>19</v>
      </c>
      <c r="B47" s="413">
        <f>'1 DAN'!B47</f>
        <v>0</v>
      </c>
      <c r="C47" s="334"/>
      <c r="D47" s="335"/>
      <c r="E47" s="335"/>
      <c r="F47" s="335"/>
      <c r="G47" s="335"/>
      <c r="H47" s="336"/>
      <c r="I47" s="337"/>
      <c r="J47" s="334"/>
      <c r="K47" s="335"/>
      <c r="L47" s="335"/>
      <c r="M47" s="336"/>
      <c r="N47" s="337"/>
      <c r="O47" s="338"/>
      <c r="Q47" s="504"/>
      <c r="R47" s="508"/>
      <c r="S47" s="567"/>
      <c r="T47" s="567"/>
      <c r="U47" s="567"/>
      <c r="V47" s="567"/>
      <c r="W47" s="567"/>
      <c r="X47" s="567"/>
      <c r="Y47" s="556"/>
      <c r="Z47" s="529"/>
    </row>
    <row r="48" spans="1:26" ht="25.5" customHeight="1" thickBot="1" x14ac:dyDescent="0.25">
      <c r="A48" s="384">
        <f t="shared" si="1"/>
        <v>20</v>
      </c>
      <c r="B48" s="414">
        <f>'1 DAN'!B48</f>
        <v>0</v>
      </c>
      <c r="C48" s="387"/>
      <c r="D48" s="388"/>
      <c r="E48" s="388"/>
      <c r="F48" s="388"/>
      <c r="G48" s="388"/>
      <c r="H48" s="389"/>
      <c r="I48" s="390"/>
      <c r="J48" s="387"/>
      <c r="K48" s="388"/>
      <c r="L48" s="388"/>
      <c r="M48" s="389"/>
      <c r="N48" s="390"/>
      <c r="O48" s="277"/>
      <c r="Q48" s="504"/>
      <c r="R48" s="508"/>
      <c r="S48" s="567"/>
      <c r="T48" s="567"/>
      <c r="U48" s="567"/>
      <c r="V48" s="567"/>
      <c r="W48" s="567"/>
      <c r="X48" s="567"/>
      <c r="Y48" s="556"/>
      <c r="Z48" s="529"/>
    </row>
    <row r="49" spans="1:26" ht="13.5" customHeight="1" thickBot="1" x14ac:dyDescent="0.25">
      <c r="A49" s="385"/>
      <c r="B49" s="386"/>
      <c r="Q49" s="504"/>
      <c r="R49" s="508"/>
      <c r="S49" s="567"/>
      <c r="T49" s="567"/>
      <c r="U49" s="567"/>
      <c r="V49" s="567"/>
      <c r="W49" s="567"/>
      <c r="X49" s="567"/>
      <c r="Y49" s="560"/>
      <c r="Z49" s="570"/>
    </row>
    <row r="50" spans="1:26" ht="25.5" customHeight="1" x14ac:dyDescent="0.2">
      <c r="A50" s="269" t="s">
        <v>237</v>
      </c>
      <c r="B50" s="270"/>
      <c r="C50" s="270"/>
      <c r="D50" s="270"/>
      <c r="E50" s="270"/>
      <c r="F50" s="270"/>
      <c r="G50" s="270"/>
      <c r="H50" s="278" t="s">
        <v>238</v>
      </c>
      <c r="I50" s="270"/>
      <c r="J50" s="270"/>
      <c r="K50" s="270"/>
      <c r="L50" s="270"/>
      <c r="M50" s="270"/>
      <c r="N50" s="270"/>
      <c r="O50" s="271"/>
      <c r="Q50" s="504"/>
      <c r="R50" s="508">
        <v>2</v>
      </c>
      <c r="S50" s="571" t="s">
        <v>149</v>
      </c>
      <c r="T50" s="571"/>
      <c r="U50" s="571"/>
      <c r="V50" s="571"/>
      <c r="W50" s="571"/>
      <c r="X50" s="571"/>
      <c r="Y50" s="572" t="s">
        <v>154</v>
      </c>
      <c r="Z50" s="573"/>
    </row>
    <row r="51" spans="1:26" ht="15" customHeight="1" x14ac:dyDescent="0.2">
      <c r="A51" s="332" t="s">
        <v>8</v>
      </c>
      <c r="B51" s="333" t="s">
        <v>198</v>
      </c>
      <c r="H51" s="263" t="s">
        <v>243</v>
      </c>
      <c r="O51" s="273"/>
      <c r="Q51" s="504"/>
      <c r="R51" s="508"/>
      <c r="S51" s="571"/>
      <c r="T51" s="571"/>
      <c r="U51" s="571"/>
      <c r="V51" s="571"/>
      <c r="W51" s="571"/>
      <c r="X51" s="571"/>
      <c r="Y51" s="550"/>
      <c r="Z51" s="551"/>
    </row>
    <row r="52" spans="1:26" ht="13.5" customHeight="1" x14ac:dyDescent="0.2">
      <c r="A52" s="345"/>
      <c r="B52" s="333" t="s">
        <v>201</v>
      </c>
      <c r="H52" s="152" t="s">
        <v>247</v>
      </c>
      <c r="O52" s="273"/>
      <c r="Q52" s="504"/>
      <c r="R52" s="508"/>
      <c r="S52" s="571"/>
      <c r="T52" s="571"/>
      <c r="U52" s="571"/>
      <c r="V52" s="571"/>
      <c r="W52" s="571"/>
      <c r="X52" s="571"/>
      <c r="Y52" s="550"/>
      <c r="Z52" s="551"/>
    </row>
    <row r="53" spans="1:26" ht="13.5" customHeight="1" x14ac:dyDescent="0.2">
      <c r="A53" s="332" t="s">
        <v>9</v>
      </c>
      <c r="B53" s="333" t="s">
        <v>205</v>
      </c>
      <c r="H53" s="152" t="s">
        <v>244</v>
      </c>
      <c r="O53" s="273"/>
      <c r="Q53" s="504"/>
      <c r="R53" s="508"/>
      <c r="S53" s="571"/>
      <c r="T53" s="571"/>
      <c r="U53" s="571"/>
      <c r="V53" s="571"/>
      <c r="W53" s="571"/>
      <c r="X53" s="571"/>
      <c r="Y53" s="574"/>
      <c r="Z53" s="575"/>
    </row>
    <row r="54" spans="1:26" ht="13.5" customHeight="1" x14ac:dyDescent="0.2">
      <c r="A54" s="345"/>
      <c r="B54" s="528" t="s">
        <v>209</v>
      </c>
      <c r="C54" s="528"/>
      <c r="D54" s="528"/>
      <c r="E54" s="528"/>
      <c r="F54" s="528"/>
      <c r="G54" s="344"/>
      <c r="H54" s="347" t="s">
        <v>245</v>
      </c>
      <c r="I54" s="348"/>
      <c r="J54" s="348"/>
      <c r="K54" s="348"/>
      <c r="L54" s="348"/>
      <c r="M54" s="348"/>
      <c r="N54" s="348"/>
      <c r="O54" s="349"/>
      <c r="Q54" s="504"/>
      <c r="R54" s="563">
        <v>3</v>
      </c>
      <c r="S54" s="554" t="s">
        <v>150</v>
      </c>
      <c r="T54" s="557"/>
      <c r="U54" s="557"/>
      <c r="V54" s="557"/>
      <c r="W54" s="557"/>
      <c r="X54" s="558"/>
      <c r="Y54" s="554" t="s">
        <v>155</v>
      </c>
      <c r="Z54" s="555"/>
    </row>
    <row r="55" spans="1:26" ht="13.5" customHeight="1" x14ac:dyDescent="0.2">
      <c r="A55" s="345"/>
      <c r="B55" s="528"/>
      <c r="C55" s="528"/>
      <c r="D55" s="528"/>
      <c r="E55" s="528"/>
      <c r="F55" s="528"/>
      <c r="G55" s="344"/>
      <c r="H55" s="609" t="s">
        <v>246</v>
      </c>
      <c r="I55" s="610"/>
      <c r="J55" s="610"/>
      <c r="K55" s="610"/>
      <c r="L55" s="610"/>
      <c r="M55" s="610"/>
      <c r="N55" s="610"/>
      <c r="O55" s="611"/>
      <c r="Q55" s="504"/>
      <c r="R55" s="564"/>
      <c r="S55" s="556"/>
      <c r="T55" s="528"/>
      <c r="U55" s="528"/>
      <c r="V55" s="528"/>
      <c r="W55" s="528"/>
      <c r="X55" s="559"/>
      <c r="Y55" s="556"/>
      <c r="Z55" s="529"/>
    </row>
    <row r="56" spans="1:26" ht="13.5" customHeight="1" x14ac:dyDescent="0.2">
      <c r="A56" s="332" t="s">
        <v>11</v>
      </c>
      <c r="B56" s="333" t="s">
        <v>213</v>
      </c>
      <c r="H56" s="609"/>
      <c r="I56" s="610"/>
      <c r="J56" s="610"/>
      <c r="K56" s="610"/>
      <c r="L56" s="610"/>
      <c r="M56" s="610"/>
      <c r="N56" s="610"/>
      <c r="O56" s="611"/>
      <c r="Q56" s="504"/>
      <c r="R56" s="565"/>
      <c r="S56" s="560"/>
      <c r="T56" s="561"/>
      <c r="U56" s="561"/>
      <c r="V56" s="561"/>
      <c r="W56" s="561"/>
      <c r="X56" s="562"/>
      <c r="Y56" s="556"/>
      <c r="Z56" s="529"/>
    </row>
    <row r="57" spans="1:26" ht="13.5" customHeight="1" x14ac:dyDescent="0.2">
      <c r="A57" s="332" t="s">
        <v>12</v>
      </c>
      <c r="B57" s="333" t="s">
        <v>217</v>
      </c>
      <c r="H57" s="609"/>
      <c r="I57" s="610"/>
      <c r="J57" s="610"/>
      <c r="K57" s="610"/>
      <c r="L57" s="610"/>
      <c r="M57" s="610"/>
      <c r="N57" s="610"/>
      <c r="O57" s="611"/>
      <c r="Q57" s="504"/>
      <c r="R57" s="508">
        <v>4</v>
      </c>
      <c r="S57" s="571" t="s">
        <v>151</v>
      </c>
      <c r="T57" s="577"/>
      <c r="U57" s="577"/>
      <c r="V57" s="577"/>
      <c r="W57" s="577"/>
      <c r="X57" s="577"/>
      <c r="Y57" s="572" t="s">
        <v>152</v>
      </c>
      <c r="Z57" s="573"/>
    </row>
    <row r="58" spans="1:26" ht="13.5" customHeight="1" x14ac:dyDescent="0.2">
      <c r="A58" s="332" t="s">
        <v>13</v>
      </c>
      <c r="B58" s="333" t="s">
        <v>171</v>
      </c>
      <c r="H58" s="609"/>
      <c r="I58" s="610"/>
      <c r="J58" s="610"/>
      <c r="K58" s="610"/>
      <c r="L58" s="610"/>
      <c r="M58" s="610"/>
      <c r="N58" s="610"/>
      <c r="O58" s="611"/>
      <c r="Q58" s="504"/>
      <c r="R58" s="508"/>
      <c r="S58" s="577"/>
      <c r="T58" s="577"/>
      <c r="U58" s="577"/>
      <c r="V58" s="577"/>
      <c r="W58" s="577"/>
      <c r="X58" s="577"/>
      <c r="Y58" s="550"/>
      <c r="Z58" s="551"/>
    </row>
    <row r="59" spans="1:26" ht="13.5" customHeight="1" x14ac:dyDescent="0.2">
      <c r="A59" s="332" t="s">
        <v>111</v>
      </c>
      <c r="B59" s="333" t="s">
        <v>223</v>
      </c>
      <c r="H59" s="609"/>
      <c r="I59" s="610"/>
      <c r="J59" s="610"/>
      <c r="K59" s="610"/>
      <c r="L59" s="610"/>
      <c r="M59" s="610"/>
      <c r="N59" s="610"/>
      <c r="O59" s="611"/>
      <c r="Q59" s="504"/>
      <c r="R59" s="508"/>
      <c r="S59" s="577"/>
      <c r="T59" s="577"/>
      <c r="U59" s="577"/>
      <c r="V59" s="577"/>
      <c r="W59" s="577"/>
      <c r="X59" s="577"/>
      <c r="Y59" s="550"/>
      <c r="Z59" s="551"/>
    </row>
    <row r="60" spans="1:26" ht="13.5" customHeight="1" thickBot="1" x14ac:dyDescent="0.3">
      <c r="A60" s="275"/>
      <c r="B60" s="276"/>
      <c r="C60" s="276"/>
      <c r="D60" s="276"/>
      <c r="E60" s="276"/>
      <c r="F60" s="276"/>
      <c r="G60" s="346"/>
      <c r="H60" s="612"/>
      <c r="I60" s="613"/>
      <c r="J60" s="613"/>
      <c r="K60" s="613"/>
      <c r="L60" s="613"/>
      <c r="M60" s="613"/>
      <c r="N60" s="613"/>
      <c r="O60" s="614"/>
      <c r="Q60" s="506"/>
      <c r="R60" s="576"/>
      <c r="S60" s="578"/>
      <c r="T60" s="578"/>
      <c r="U60" s="578"/>
      <c r="V60" s="578"/>
      <c r="W60" s="578"/>
      <c r="X60" s="578"/>
      <c r="Y60" s="552"/>
      <c r="Z60" s="553"/>
    </row>
    <row r="61" spans="1:26" s="88" customFormat="1" ht="9" customHeight="1" x14ac:dyDescent="0.25">
      <c r="A61" s="264"/>
      <c r="B61" s="264"/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  <c r="N61" s="264"/>
      <c r="O61" s="264"/>
      <c r="Q61" s="264"/>
      <c r="R61" s="264"/>
      <c r="S61" s="264"/>
      <c r="T61" s="264"/>
      <c r="U61" s="264"/>
      <c r="V61" s="264"/>
      <c r="W61" s="264"/>
      <c r="X61" s="264"/>
      <c r="Y61" s="264"/>
      <c r="Z61" s="264"/>
    </row>
    <row r="62" spans="1:26" s="18" customFormat="1" ht="13.5" customHeight="1" x14ac:dyDescent="0.25">
      <c r="A62" s="88"/>
      <c r="B62" s="88" t="s">
        <v>53</v>
      </c>
      <c r="C62" s="89"/>
      <c r="D62" s="88"/>
      <c r="E62" s="88"/>
      <c r="F62" s="88"/>
      <c r="G62" s="88"/>
      <c r="H62" s="88"/>
      <c r="I62" s="88"/>
      <c r="J62" s="88" t="s">
        <v>54</v>
      </c>
      <c r="K62" s="88"/>
      <c r="L62" s="88"/>
      <c r="M62" s="88"/>
      <c r="N62" s="88"/>
      <c r="O62" s="88"/>
      <c r="Q62" s="88"/>
      <c r="R62" s="88"/>
      <c r="S62" s="88"/>
      <c r="T62" s="88"/>
      <c r="U62" s="88"/>
      <c r="V62" s="88"/>
      <c r="W62" s="88" t="s">
        <v>55</v>
      </c>
      <c r="X62" s="88"/>
      <c r="Y62" s="88"/>
      <c r="Z62" s="88"/>
    </row>
    <row r="63" spans="1:26" s="18" customFormat="1" ht="18" customHeight="1" x14ac:dyDescent="0.2">
      <c r="C63" s="19"/>
    </row>
    <row r="64" spans="1:26" s="18" customFormat="1" ht="9.75" customHeight="1" x14ac:dyDescent="0.2">
      <c r="C64" s="19"/>
    </row>
    <row r="65" spans="1:26" s="18" customFormat="1" ht="18" customHeight="1" x14ac:dyDescent="0.2">
      <c r="B65" s="90"/>
      <c r="C65" s="19"/>
      <c r="J65" s="90"/>
      <c r="K65" s="90"/>
      <c r="L65" s="90"/>
      <c r="M65" s="90"/>
      <c r="N65" s="90"/>
      <c r="O65" s="90"/>
      <c r="W65" s="90"/>
      <c r="X65" s="90"/>
      <c r="Y65" s="90"/>
      <c r="Z65" s="90"/>
    </row>
    <row r="66" spans="1:26" s="18" customFormat="1" ht="15.75" customHeight="1" x14ac:dyDescent="0.2">
      <c r="B66" s="18" t="s">
        <v>56</v>
      </c>
      <c r="C66" s="19"/>
      <c r="J66" s="18" t="s">
        <v>56</v>
      </c>
      <c r="W66" s="18" t="s">
        <v>57</v>
      </c>
    </row>
    <row r="67" spans="1:26" ht="14.25" x14ac:dyDescent="0.2">
      <c r="A67" s="18"/>
      <c r="B67" s="18" t="s">
        <v>58</v>
      </c>
      <c r="C67" s="19"/>
      <c r="D67" s="18"/>
      <c r="E67" s="18"/>
      <c r="F67" s="18"/>
      <c r="G67" s="18"/>
      <c r="H67" s="18"/>
      <c r="I67" s="18"/>
      <c r="J67" s="18" t="s">
        <v>59</v>
      </c>
      <c r="K67" s="18"/>
      <c r="L67" s="18"/>
      <c r="M67" s="18"/>
      <c r="N67" s="18"/>
      <c r="O67" s="18"/>
      <c r="Q67" s="18"/>
      <c r="R67" s="18"/>
      <c r="S67" s="18"/>
      <c r="T67" s="18"/>
      <c r="U67" s="18"/>
      <c r="V67" s="18"/>
      <c r="W67" s="18" t="s">
        <v>58</v>
      </c>
      <c r="X67" s="18"/>
      <c r="Y67" s="18"/>
      <c r="Z67" s="18"/>
    </row>
    <row r="68" spans="1:26" ht="4.5" customHeight="1" thickBot="1" x14ac:dyDescent="0.25"/>
    <row r="69" spans="1:26" ht="25.5" customHeight="1" thickBot="1" x14ac:dyDescent="0.25">
      <c r="A69" s="381">
        <v>21</v>
      </c>
      <c r="B69" s="413">
        <f>'1 DAN'!B70</f>
        <v>0</v>
      </c>
      <c r="C69" s="334"/>
      <c r="D69" s="335"/>
      <c r="E69" s="335"/>
      <c r="F69" s="335"/>
      <c r="G69" s="335"/>
      <c r="H69" s="336"/>
      <c r="I69" s="337"/>
      <c r="J69" s="334"/>
      <c r="K69" s="335"/>
      <c r="L69" s="335"/>
      <c r="M69" s="336"/>
      <c r="N69" s="337"/>
      <c r="O69" s="338"/>
    </row>
    <row r="70" spans="1:26" ht="25.5" customHeight="1" thickBot="1" x14ac:dyDescent="0.25">
      <c r="A70" s="384">
        <f>A69+1</f>
        <v>22</v>
      </c>
      <c r="B70" s="414">
        <f>'1 DAN'!B71</f>
        <v>0</v>
      </c>
      <c r="C70" s="282"/>
      <c r="D70" s="283"/>
      <c r="E70" s="283"/>
      <c r="F70" s="283"/>
      <c r="G70" s="283"/>
      <c r="H70" s="284"/>
      <c r="I70" s="329"/>
      <c r="J70" s="282"/>
      <c r="K70" s="283"/>
      <c r="L70" s="283"/>
      <c r="M70" s="284"/>
      <c r="N70" s="329"/>
      <c r="O70" s="285"/>
      <c r="Q70" s="268"/>
      <c r="R70" s="615" t="s">
        <v>156</v>
      </c>
      <c r="S70" s="616"/>
      <c r="T70" s="616"/>
      <c r="U70" s="616"/>
      <c r="V70" s="616"/>
      <c r="W70" s="616"/>
      <c r="X70" s="616"/>
      <c r="Y70" s="616"/>
      <c r="Z70" s="617"/>
    </row>
    <row r="71" spans="1:26" ht="25.5" customHeight="1" thickTop="1" x14ac:dyDescent="0.2">
      <c r="A71" s="381">
        <f t="shared" ref="A71:A78" si="2">A70+1</f>
        <v>23</v>
      </c>
      <c r="B71" s="413">
        <f>'1 DAN'!B72</f>
        <v>0</v>
      </c>
      <c r="C71" s="286"/>
      <c r="D71" s="287"/>
      <c r="E71" s="287"/>
      <c r="F71" s="287"/>
      <c r="G71" s="287"/>
      <c r="H71" s="265"/>
      <c r="I71" s="328"/>
      <c r="J71" s="286"/>
      <c r="K71" s="287"/>
      <c r="L71" s="287"/>
      <c r="M71" s="265"/>
      <c r="N71" s="328"/>
      <c r="O71" s="288"/>
      <c r="Q71" s="503" t="s">
        <v>4</v>
      </c>
      <c r="R71" s="524" t="s">
        <v>262</v>
      </c>
      <c r="S71" s="525"/>
      <c r="T71" s="525"/>
      <c r="U71" s="525"/>
      <c r="V71" s="525"/>
      <c r="W71" s="525"/>
      <c r="X71" s="525"/>
      <c r="Y71" s="525"/>
      <c r="Z71" s="526"/>
    </row>
    <row r="72" spans="1:26" ht="25.5" customHeight="1" thickBot="1" x14ac:dyDescent="0.25">
      <c r="A72" s="384">
        <f t="shared" si="2"/>
        <v>24</v>
      </c>
      <c r="B72" s="414">
        <f>'1 DAN'!B73</f>
        <v>0</v>
      </c>
      <c r="C72" s="339"/>
      <c r="D72" s="340"/>
      <c r="E72" s="340"/>
      <c r="F72" s="340"/>
      <c r="G72" s="340"/>
      <c r="H72" s="341"/>
      <c r="I72" s="342"/>
      <c r="J72" s="339"/>
      <c r="K72" s="340"/>
      <c r="L72" s="340"/>
      <c r="M72" s="341"/>
      <c r="N72" s="342"/>
      <c r="O72" s="343"/>
      <c r="Q72" s="504"/>
      <c r="R72" s="527"/>
      <c r="S72" s="528"/>
      <c r="T72" s="528"/>
      <c r="U72" s="528"/>
      <c r="V72" s="528"/>
      <c r="W72" s="528"/>
      <c r="X72" s="528"/>
      <c r="Y72" s="528"/>
      <c r="Z72" s="529"/>
    </row>
    <row r="73" spans="1:26" ht="25.5" customHeight="1" x14ac:dyDescent="0.2">
      <c r="A73" s="381">
        <f t="shared" si="2"/>
        <v>25</v>
      </c>
      <c r="B73" s="413">
        <f>'1 DAN'!B74</f>
        <v>0</v>
      </c>
      <c r="C73" s="334"/>
      <c r="D73" s="335"/>
      <c r="E73" s="335"/>
      <c r="F73" s="335"/>
      <c r="G73" s="335"/>
      <c r="H73" s="336"/>
      <c r="I73" s="337"/>
      <c r="J73" s="334"/>
      <c r="K73" s="335"/>
      <c r="L73" s="335"/>
      <c r="M73" s="336"/>
      <c r="N73" s="337"/>
      <c r="O73" s="338"/>
      <c r="Q73" s="504"/>
      <c r="R73" s="527"/>
      <c r="S73" s="528"/>
      <c r="T73" s="528"/>
      <c r="U73" s="528"/>
      <c r="V73" s="528"/>
      <c r="W73" s="528"/>
      <c r="X73" s="528"/>
      <c r="Y73" s="528"/>
      <c r="Z73" s="529"/>
    </row>
    <row r="74" spans="1:26" ht="25.5" customHeight="1" thickBot="1" x14ac:dyDescent="0.25">
      <c r="A74" s="384">
        <f t="shared" si="2"/>
        <v>26</v>
      </c>
      <c r="B74" s="414">
        <f>'1 DAN'!B75</f>
        <v>0</v>
      </c>
      <c r="C74" s="282"/>
      <c r="D74" s="283"/>
      <c r="E74" s="283"/>
      <c r="F74" s="283"/>
      <c r="G74" s="283"/>
      <c r="H74" s="284"/>
      <c r="I74" s="329"/>
      <c r="J74" s="282"/>
      <c r="K74" s="283"/>
      <c r="L74" s="283"/>
      <c r="M74" s="284"/>
      <c r="N74" s="329"/>
      <c r="O74" s="285"/>
      <c r="Q74" s="504"/>
      <c r="R74" s="527"/>
      <c r="S74" s="528"/>
      <c r="T74" s="528"/>
      <c r="U74" s="528"/>
      <c r="V74" s="528"/>
      <c r="W74" s="528"/>
      <c r="X74" s="528"/>
      <c r="Y74" s="528"/>
      <c r="Z74" s="529"/>
    </row>
    <row r="75" spans="1:26" ht="25.5" customHeight="1" thickBot="1" x14ac:dyDescent="0.25">
      <c r="A75" s="381">
        <f t="shared" si="2"/>
        <v>27</v>
      </c>
      <c r="B75" s="413">
        <f>'1 DAN'!B76</f>
        <v>0</v>
      </c>
      <c r="C75" s="286"/>
      <c r="D75" s="287"/>
      <c r="E75" s="287"/>
      <c r="F75" s="287"/>
      <c r="G75" s="287"/>
      <c r="H75" s="265"/>
      <c r="I75" s="328"/>
      <c r="J75" s="286"/>
      <c r="K75" s="287"/>
      <c r="L75" s="287"/>
      <c r="M75" s="265"/>
      <c r="N75" s="328"/>
      <c r="O75" s="288"/>
      <c r="Q75" s="506"/>
      <c r="R75" s="530"/>
      <c r="S75" s="531"/>
      <c r="T75" s="531"/>
      <c r="U75" s="531"/>
      <c r="V75" s="531"/>
      <c r="W75" s="531"/>
      <c r="X75" s="531"/>
      <c r="Y75" s="531"/>
      <c r="Z75" s="532"/>
    </row>
    <row r="76" spans="1:26" ht="25.5" customHeight="1" thickBot="1" x14ac:dyDescent="0.25">
      <c r="A76" s="384">
        <f t="shared" si="2"/>
        <v>28</v>
      </c>
      <c r="B76" s="414">
        <f>'1 DAN'!B77</f>
        <v>0</v>
      </c>
      <c r="C76" s="339"/>
      <c r="D76" s="340"/>
      <c r="E76" s="340"/>
      <c r="F76" s="340"/>
      <c r="G76" s="340"/>
      <c r="H76" s="341"/>
      <c r="I76" s="342"/>
      <c r="J76" s="339"/>
      <c r="K76" s="340"/>
      <c r="L76" s="340"/>
      <c r="M76" s="341"/>
      <c r="N76" s="342"/>
      <c r="O76" s="343"/>
      <c r="Q76" s="505" t="s">
        <v>5</v>
      </c>
      <c r="R76" s="507">
        <v>1</v>
      </c>
      <c r="S76" s="566" t="s">
        <v>148</v>
      </c>
      <c r="T76" s="566"/>
      <c r="U76" s="566"/>
      <c r="V76" s="566"/>
      <c r="W76" s="566"/>
      <c r="X76" s="566"/>
      <c r="Y76" s="568" t="s">
        <v>153</v>
      </c>
      <c r="Z76" s="569"/>
    </row>
    <row r="77" spans="1:26" ht="25.5" customHeight="1" x14ac:dyDescent="0.2">
      <c r="A77" s="381">
        <f t="shared" si="2"/>
        <v>29</v>
      </c>
      <c r="B77" s="413">
        <f>'1 DAN'!B78</f>
        <v>0</v>
      </c>
      <c r="C77" s="334"/>
      <c r="D77" s="335"/>
      <c r="E77" s="335"/>
      <c r="F77" s="335"/>
      <c r="G77" s="335"/>
      <c r="H77" s="336"/>
      <c r="I77" s="337"/>
      <c r="J77" s="334"/>
      <c r="K77" s="335"/>
      <c r="L77" s="335"/>
      <c r="M77" s="336"/>
      <c r="N77" s="337"/>
      <c r="O77" s="338"/>
      <c r="Q77" s="504"/>
      <c r="R77" s="508"/>
      <c r="S77" s="567"/>
      <c r="T77" s="567"/>
      <c r="U77" s="567"/>
      <c r="V77" s="567"/>
      <c r="W77" s="567"/>
      <c r="X77" s="567"/>
      <c r="Y77" s="556"/>
      <c r="Z77" s="529"/>
    </row>
    <row r="78" spans="1:26" ht="25.5" customHeight="1" thickBot="1" x14ac:dyDescent="0.25">
      <c r="A78" s="384">
        <f t="shared" si="2"/>
        <v>30</v>
      </c>
      <c r="B78" s="414">
        <f>'1 DAN'!B79</f>
        <v>0</v>
      </c>
      <c r="C78" s="387"/>
      <c r="D78" s="388"/>
      <c r="E78" s="388"/>
      <c r="F78" s="388"/>
      <c r="G78" s="388"/>
      <c r="H78" s="389"/>
      <c r="I78" s="390"/>
      <c r="J78" s="387"/>
      <c r="K78" s="388"/>
      <c r="L78" s="388"/>
      <c r="M78" s="389"/>
      <c r="N78" s="390"/>
      <c r="O78" s="277"/>
      <c r="Q78" s="504"/>
      <c r="R78" s="508"/>
      <c r="S78" s="567"/>
      <c r="T78" s="567"/>
      <c r="U78" s="567"/>
      <c r="V78" s="567"/>
      <c r="W78" s="567"/>
      <c r="X78" s="567"/>
      <c r="Y78" s="556"/>
      <c r="Z78" s="529"/>
    </row>
    <row r="79" spans="1:26" ht="13.5" customHeight="1" thickBot="1" x14ac:dyDescent="0.25">
      <c r="A79" s="385"/>
      <c r="B79" s="386"/>
      <c r="Q79" s="504"/>
      <c r="R79" s="508"/>
      <c r="S79" s="567"/>
      <c r="T79" s="567"/>
      <c r="U79" s="567"/>
      <c r="V79" s="567"/>
      <c r="W79" s="567"/>
      <c r="X79" s="567"/>
      <c r="Y79" s="560"/>
      <c r="Z79" s="570"/>
    </row>
    <row r="80" spans="1:26" ht="25.5" customHeight="1" x14ac:dyDescent="0.2">
      <c r="A80" s="269" t="s">
        <v>237</v>
      </c>
      <c r="B80" s="270"/>
      <c r="C80" s="270"/>
      <c r="D80" s="270"/>
      <c r="E80" s="270"/>
      <c r="F80" s="270"/>
      <c r="G80" s="270"/>
      <c r="H80" s="278" t="s">
        <v>238</v>
      </c>
      <c r="I80" s="270"/>
      <c r="J80" s="270"/>
      <c r="K80" s="270"/>
      <c r="L80" s="270"/>
      <c r="M80" s="270"/>
      <c r="N80" s="270"/>
      <c r="O80" s="271"/>
      <c r="Q80" s="504"/>
      <c r="R80" s="508">
        <v>2</v>
      </c>
      <c r="S80" s="571" t="s">
        <v>149</v>
      </c>
      <c r="T80" s="571"/>
      <c r="U80" s="571"/>
      <c r="V80" s="571"/>
      <c r="W80" s="571"/>
      <c r="X80" s="571"/>
      <c r="Y80" s="572" t="s">
        <v>154</v>
      </c>
      <c r="Z80" s="573"/>
    </row>
    <row r="81" spans="1:26" ht="15" customHeight="1" x14ac:dyDescent="0.2">
      <c r="A81" s="332" t="s">
        <v>8</v>
      </c>
      <c r="B81" s="333" t="s">
        <v>198</v>
      </c>
      <c r="H81" s="263" t="s">
        <v>243</v>
      </c>
      <c r="O81" s="273"/>
      <c r="Q81" s="504"/>
      <c r="R81" s="508"/>
      <c r="S81" s="571"/>
      <c r="T81" s="571"/>
      <c r="U81" s="571"/>
      <c r="V81" s="571"/>
      <c r="W81" s="571"/>
      <c r="X81" s="571"/>
      <c r="Y81" s="550"/>
      <c r="Z81" s="551"/>
    </row>
    <row r="82" spans="1:26" ht="13.5" customHeight="1" x14ac:dyDescent="0.2">
      <c r="A82" s="345"/>
      <c r="B82" s="333" t="s">
        <v>201</v>
      </c>
      <c r="H82" s="152" t="s">
        <v>247</v>
      </c>
      <c r="O82" s="273"/>
      <c r="Q82" s="504"/>
      <c r="R82" s="508"/>
      <c r="S82" s="571"/>
      <c r="T82" s="571"/>
      <c r="U82" s="571"/>
      <c r="V82" s="571"/>
      <c r="W82" s="571"/>
      <c r="X82" s="571"/>
      <c r="Y82" s="550"/>
      <c r="Z82" s="551"/>
    </row>
    <row r="83" spans="1:26" ht="13.5" customHeight="1" x14ac:dyDescent="0.2">
      <c r="A83" s="332" t="s">
        <v>9</v>
      </c>
      <c r="B83" s="333" t="s">
        <v>205</v>
      </c>
      <c r="H83" s="152" t="s">
        <v>244</v>
      </c>
      <c r="O83" s="273"/>
      <c r="Q83" s="504"/>
      <c r="R83" s="508"/>
      <c r="S83" s="571"/>
      <c r="T83" s="571"/>
      <c r="U83" s="571"/>
      <c r="V83" s="571"/>
      <c r="W83" s="571"/>
      <c r="X83" s="571"/>
      <c r="Y83" s="574"/>
      <c r="Z83" s="575"/>
    </row>
    <row r="84" spans="1:26" ht="13.5" customHeight="1" x14ac:dyDescent="0.2">
      <c r="A84" s="345"/>
      <c r="B84" s="528" t="s">
        <v>209</v>
      </c>
      <c r="C84" s="528"/>
      <c r="D84" s="528"/>
      <c r="E84" s="528"/>
      <c r="F84" s="528"/>
      <c r="G84" s="344"/>
      <c r="H84" s="347" t="s">
        <v>245</v>
      </c>
      <c r="I84" s="348"/>
      <c r="J84" s="348"/>
      <c r="K84" s="348"/>
      <c r="L84" s="348"/>
      <c r="M84" s="348"/>
      <c r="N84" s="348"/>
      <c r="O84" s="349"/>
      <c r="Q84" s="504"/>
      <c r="R84" s="563">
        <v>3</v>
      </c>
      <c r="S84" s="554" t="s">
        <v>150</v>
      </c>
      <c r="T84" s="557"/>
      <c r="U84" s="557"/>
      <c r="V84" s="557"/>
      <c r="W84" s="557"/>
      <c r="X84" s="558"/>
      <c r="Y84" s="554" t="s">
        <v>155</v>
      </c>
      <c r="Z84" s="555"/>
    </row>
    <row r="85" spans="1:26" ht="13.5" customHeight="1" x14ac:dyDescent="0.2">
      <c r="A85" s="345"/>
      <c r="B85" s="528"/>
      <c r="C85" s="528"/>
      <c r="D85" s="528"/>
      <c r="E85" s="528"/>
      <c r="F85" s="528"/>
      <c r="G85" s="344"/>
      <c r="H85" s="609" t="s">
        <v>246</v>
      </c>
      <c r="I85" s="610"/>
      <c r="J85" s="610"/>
      <c r="K85" s="610"/>
      <c r="L85" s="610"/>
      <c r="M85" s="610"/>
      <c r="N85" s="610"/>
      <c r="O85" s="611"/>
      <c r="Q85" s="504"/>
      <c r="R85" s="564"/>
      <c r="S85" s="556"/>
      <c r="T85" s="528"/>
      <c r="U85" s="528"/>
      <c r="V85" s="528"/>
      <c r="W85" s="528"/>
      <c r="X85" s="559"/>
      <c r="Y85" s="556"/>
      <c r="Z85" s="529"/>
    </row>
    <row r="86" spans="1:26" ht="13.5" customHeight="1" x14ac:dyDescent="0.2">
      <c r="A86" s="332" t="s">
        <v>11</v>
      </c>
      <c r="B86" s="333" t="s">
        <v>213</v>
      </c>
      <c r="H86" s="609"/>
      <c r="I86" s="610"/>
      <c r="J86" s="610"/>
      <c r="K86" s="610"/>
      <c r="L86" s="610"/>
      <c r="M86" s="610"/>
      <c r="N86" s="610"/>
      <c r="O86" s="611"/>
      <c r="Q86" s="504"/>
      <c r="R86" s="565"/>
      <c r="S86" s="560"/>
      <c r="T86" s="561"/>
      <c r="U86" s="561"/>
      <c r="V86" s="561"/>
      <c r="W86" s="561"/>
      <c r="X86" s="562"/>
      <c r="Y86" s="556"/>
      <c r="Z86" s="529"/>
    </row>
    <row r="87" spans="1:26" ht="13.5" customHeight="1" x14ac:dyDescent="0.2">
      <c r="A87" s="332" t="s">
        <v>12</v>
      </c>
      <c r="B87" s="333" t="s">
        <v>217</v>
      </c>
      <c r="H87" s="609"/>
      <c r="I87" s="610"/>
      <c r="J87" s="610"/>
      <c r="K87" s="610"/>
      <c r="L87" s="610"/>
      <c r="M87" s="610"/>
      <c r="N87" s="610"/>
      <c r="O87" s="611"/>
      <c r="Q87" s="504"/>
      <c r="R87" s="508">
        <v>4</v>
      </c>
      <c r="S87" s="571" t="s">
        <v>151</v>
      </c>
      <c r="T87" s="577"/>
      <c r="U87" s="577"/>
      <c r="V87" s="577"/>
      <c r="W87" s="577"/>
      <c r="X87" s="577"/>
      <c r="Y87" s="572" t="s">
        <v>152</v>
      </c>
      <c r="Z87" s="573"/>
    </row>
    <row r="88" spans="1:26" ht="13.5" customHeight="1" x14ac:dyDescent="0.2">
      <c r="A88" s="332" t="s">
        <v>13</v>
      </c>
      <c r="B88" s="333" t="s">
        <v>171</v>
      </c>
      <c r="H88" s="609"/>
      <c r="I88" s="610"/>
      <c r="J88" s="610"/>
      <c r="K88" s="610"/>
      <c r="L88" s="610"/>
      <c r="M88" s="610"/>
      <c r="N88" s="610"/>
      <c r="O88" s="611"/>
      <c r="Q88" s="504"/>
      <c r="R88" s="508"/>
      <c r="S88" s="577"/>
      <c r="T88" s="577"/>
      <c r="U88" s="577"/>
      <c r="V88" s="577"/>
      <c r="W88" s="577"/>
      <c r="X88" s="577"/>
      <c r="Y88" s="550"/>
      <c r="Z88" s="551"/>
    </row>
    <row r="89" spans="1:26" ht="13.5" customHeight="1" x14ac:dyDescent="0.2">
      <c r="A89" s="332" t="s">
        <v>111</v>
      </c>
      <c r="B89" s="333" t="s">
        <v>223</v>
      </c>
      <c r="H89" s="609"/>
      <c r="I89" s="610"/>
      <c r="J89" s="610"/>
      <c r="K89" s="610"/>
      <c r="L89" s="610"/>
      <c r="M89" s="610"/>
      <c r="N89" s="610"/>
      <c r="O89" s="611"/>
      <c r="Q89" s="504"/>
      <c r="R89" s="508"/>
      <c r="S89" s="577"/>
      <c r="T89" s="577"/>
      <c r="U89" s="577"/>
      <c r="V89" s="577"/>
      <c r="W89" s="577"/>
      <c r="X89" s="577"/>
      <c r="Y89" s="550"/>
      <c r="Z89" s="551"/>
    </row>
    <row r="90" spans="1:26" ht="13.5" customHeight="1" thickBot="1" x14ac:dyDescent="0.3">
      <c r="A90" s="275"/>
      <c r="B90" s="276"/>
      <c r="C90" s="276"/>
      <c r="D90" s="276"/>
      <c r="E90" s="276"/>
      <c r="F90" s="276"/>
      <c r="G90" s="346"/>
      <c r="H90" s="612"/>
      <c r="I90" s="613"/>
      <c r="J90" s="613"/>
      <c r="K90" s="613"/>
      <c r="L90" s="613"/>
      <c r="M90" s="613"/>
      <c r="N90" s="613"/>
      <c r="O90" s="614"/>
      <c r="Q90" s="506"/>
      <c r="R90" s="576"/>
      <c r="S90" s="578"/>
      <c r="T90" s="578"/>
      <c r="U90" s="578"/>
      <c r="V90" s="578"/>
      <c r="W90" s="578"/>
      <c r="X90" s="578"/>
      <c r="Y90" s="552"/>
      <c r="Z90" s="553"/>
    </row>
    <row r="91" spans="1:26" s="88" customFormat="1" ht="9" customHeight="1" x14ac:dyDescent="0.25">
      <c r="A91" s="264"/>
      <c r="B91" s="264"/>
      <c r="C91" s="264"/>
      <c r="D91" s="264"/>
      <c r="E91" s="264"/>
      <c r="F91" s="264"/>
      <c r="G91" s="264"/>
      <c r="H91" s="264"/>
      <c r="I91" s="264"/>
      <c r="J91" s="264"/>
      <c r="K91" s="264"/>
      <c r="L91" s="264"/>
      <c r="M91" s="264"/>
      <c r="N91" s="264"/>
      <c r="O91" s="264"/>
      <c r="Q91" s="264"/>
      <c r="R91" s="264"/>
      <c r="S91" s="264"/>
      <c r="T91" s="264"/>
      <c r="U91" s="264"/>
      <c r="V91" s="264"/>
      <c r="W91" s="264"/>
      <c r="X91" s="264"/>
      <c r="Y91" s="264"/>
      <c r="Z91" s="264"/>
    </row>
    <row r="92" spans="1:26" s="18" customFormat="1" ht="13.5" customHeight="1" x14ac:dyDescent="0.25">
      <c r="A92" s="88"/>
      <c r="B92" s="88" t="s">
        <v>53</v>
      </c>
      <c r="C92" s="89"/>
      <c r="D92" s="88"/>
      <c r="E92" s="88"/>
      <c r="F92" s="88"/>
      <c r="G92" s="88"/>
      <c r="H92" s="88"/>
      <c r="I92" s="88"/>
      <c r="J92" s="88" t="s">
        <v>54</v>
      </c>
      <c r="K92" s="88"/>
      <c r="L92" s="88"/>
      <c r="M92" s="88"/>
      <c r="N92" s="88"/>
      <c r="O92" s="88"/>
      <c r="Q92" s="88"/>
      <c r="R92" s="88"/>
      <c r="S92" s="88"/>
      <c r="T92" s="88"/>
      <c r="U92" s="88"/>
      <c r="V92" s="88"/>
      <c r="W92" s="88" t="s">
        <v>55</v>
      </c>
      <c r="X92" s="88"/>
      <c r="Y92" s="88"/>
      <c r="Z92" s="88"/>
    </row>
    <row r="93" spans="1:26" s="18" customFormat="1" ht="18" customHeight="1" x14ac:dyDescent="0.2">
      <c r="C93" s="19"/>
    </row>
    <row r="94" spans="1:26" s="18" customFormat="1" ht="9.75" customHeight="1" x14ac:dyDescent="0.2">
      <c r="C94" s="19"/>
    </row>
    <row r="95" spans="1:26" s="18" customFormat="1" ht="18" customHeight="1" x14ac:dyDescent="0.2">
      <c r="B95" s="90"/>
      <c r="C95" s="19"/>
      <c r="J95" s="90"/>
      <c r="K95" s="90"/>
      <c r="L95" s="90"/>
      <c r="M95" s="90"/>
      <c r="N95" s="90"/>
      <c r="O95" s="90"/>
      <c r="W95" s="90"/>
      <c r="X95" s="90"/>
      <c r="Y95" s="90"/>
      <c r="Z95" s="90"/>
    </row>
    <row r="96" spans="1:26" s="18" customFormat="1" ht="15.75" customHeight="1" x14ac:dyDescent="0.2">
      <c r="B96" s="18" t="s">
        <v>56</v>
      </c>
      <c r="C96" s="19"/>
      <c r="J96" s="18" t="s">
        <v>56</v>
      </c>
      <c r="W96" s="18" t="s">
        <v>57</v>
      </c>
    </row>
    <row r="97" spans="1:26" ht="14.25" x14ac:dyDescent="0.2">
      <c r="A97" s="18"/>
      <c r="B97" s="18" t="s">
        <v>58</v>
      </c>
      <c r="C97" s="19"/>
      <c r="D97" s="18"/>
      <c r="E97" s="18"/>
      <c r="F97" s="18"/>
      <c r="G97" s="18"/>
      <c r="H97" s="18"/>
      <c r="I97" s="18"/>
      <c r="J97" s="18" t="s">
        <v>59</v>
      </c>
      <c r="K97" s="18"/>
      <c r="L97" s="18"/>
      <c r="M97" s="18"/>
      <c r="N97" s="18"/>
      <c r="O97" s="18"/>
      <c r="Q97" s="18"/>
      <c r="R97" s="18"/>
      <c r="S97" s="18"/>
      <c r="T97" s="18"/>
      <c r="U97" s="18"/>
      <c r="V97" s="18"/>
      <c r="W97" s="18" t="s">
        <v>58</v>
      </c>
      <c r="X97" s="18"/>
      <c r="Y97" s="18"/>
      <c r="Z97" s="18"/>
    </row>
    <row r="98" spans="1:26" ht="4.5" customHeight="1" thickBot="1" x14ac:dyDescent="0.25"/>
    <row r="99" spans="1:26" ht="25.5" customHeight="1" thickBot="1" x14ac:dyDescent="0.25">
      <c r="A99" s="381">
        <v>31</v>
      </c>
      <c r="B99" s="413">
        <f>'1 DAN'!B101</f>
        <v>0</v>
      </c>
      <c r="C99" s="334"/>
      <c r="D99" s="335"/>
      <c r="E99" s="335"/>
      <c r="F99" s="335"/>
      <c r="G99" s="335"/>
      <c r="H99" s="336"/>
      <c r="I99" s="337"/>
      <c r="J99" s="334"/>
      <c r="K99" s="335"/>
      <c r="L99" s="335"/>
      <c r="M99" s="336"/>
      <c r="N99" s="337"/>
      <c r="O99" s="338"/>
    </row>
    <row r="100" spans="1:26" ht="25.5" customHeight="1" thickBot="1" x14ac:dyDescent="0.25">
      <c r="A100" s="384">
        <f>A99+1</f>
        <v>32</v>
      </c>
      <c r="B100" s="414">
        <f>'1 DAN'!B102</f>
        <v>0</v>
      </c>
      <c r="C100" s="282"/>
      <c r="D100" s="283"/>
      <c r="E100" s="283"/>
      <c r="F100" s="283"/>
      <c r="G100" s="283"/>
      <c r="H100" s="284"/>
      <c r="I100" s="329"/>
      <c r="J100" s="282"/>
      <c r="K100" s="283"/>
      <c r="L100" s="283"/>
      <c r="M100" s="284"/>
      <c r="N100" s="329"/>
      <c r="O100" s="285"/>
      <c r="Q100" s="268"/>
      <c r="R100" s="615" t="s">
        <v>156</v>
      </c>
      <c r="S100" s="616"/>
      <c r="T100" s="616"/>
      <c r="U100" s="616"/>
      <c r="V100" s="616"/>
      <c r="W100" s="616"/>
      <c r="X100" s="616"/>
      <c r="Y100" s="616"/>
      <c r="Z100" s="617"/>
    </row>
    <row r="101" spans="1:26" ht="25.5" customHeight="1" thickTop="1" x14ac:dyDescent="0.2">
      <c r="A101" s="381">
        <f t="shared" ref="A101:A108" si="3">A100+1</f>
        <v>33</v>
      </c>
      <c r="B101" s="413">
        <f>'1 DAN'!B103</f>
        <v>0</v>
      </c>
      <c r="C101" s="286"/>
      <c r="D101" s="287"/>
      <c r="E101" s="287"/>
      <c r="F101" s="287"/>
      <c r="G101" s="287"/>
      <c r="H101" s="265"/>
      <c r="I101" s="328"/>
      <c r="J101" s="286"/>
      <c r="K101" s="287"/>
      <c r="L101" s="287"/>
      <c r="M101" s="265"/>
      <c r="N101" s="328"/>
      <c r="O101" s="288"/>
      <c r="Q101" s="503" t="s">
        <v>4</v>
      </c>
      <c r="R101" s="524" t="s">
        <v>262</v>
      </c>
      <c r="S101" s="525"/>
      <c r="T101" s="525"/>
      <c r="U101" s="525"/>
      <c r="V101" s="525"/>
      <c r="W101" s="525"/>
      <c r="X101" s="525"/>
      <c r="Y101" s="525"/>
      <c r="Z101" s="526"/>
    </row>
    <row r="102" spans="1:26" ht="25.5" customHeight="1" thickBot="1" x14ac:dyDescent="0.25">
      <c r="A102" s="384">
        <f t="shared" si="3"/>
        <v>34</v>
      </c>
      <c r="B102" s="414">
        <f>'1 DAN'!B104</f>
        <v>0</v>
      </c>
      <c r="C102" s="339"/>
      <c r="D102" s="340"/>
      <c r="E102" s="340"/>
      <c r="F102" s="340"/>
      <c r="G102" s="340"/>
      <c r="H102" s="341"/>
      <c r="I102" s="342"/>
      <c r="J102" s="339"/>
      <c r="K102" s="340"/>
      <c r="L102" s="340"/>
      <c r="M102" s="341"/>
      <c r="N102" s="342"/>
      <c r="O102" s="343"/>
      <c r="Q102" s="504"/>
      <c r="R102" s="527"/>
      <c r="S102" s="528"/>
      <c r="T102" s="528"/>
      <c r="U102" s="528"/>
      <c r="V102" s="528"/>
      <c r="W102" s="528"/>
      <c r="X102" s="528"/>
      <c r="Y102" s="528"/>
      <c r="Z102" s="529"/>
    </row>
    <row r="103" spans="1:26" ht="25.5" customHeight="1" x14ac:dyDescent="0.2">
      <c r="A103" s="381">
        <f t="shared" si="3"/>
        <v>35</v>
      </c>
      <c r="B103" s="413">
        <f>'1 DAN'!B105</f>
        <v>0</v>
      </c>
      <c r="C103" s="334"/>
      <c r="D103" s="335"/>
      <c r="E103" s="335"/>
      <c r="F103" s="335"/>
      <c r="G103" s="335"/>
      <c r="H103" s="336"/>
      <c r="I103" s="337"/>
      <c r="J103" s="334"/>
      <c r="K103" s="335"/>
      <c r="L103" s="335"/>
      <c r="M103" s="336"/>
      <c r="N103" s="337"/>
      <c r="O103" s="338"/>
      <c r="Q103" s="504"/>
      <c r="R103" s="527"/>
      <c r="S103" s="528"/>
      <c r="T103" s="528"/>
      <c r="U103" s="528"/>
      <c r="V103" s="528"/>
      <c r="W103" s="528"/>
      <c r="X103" s="528"/>
      <c r="Y103" s="528"/>
      <c r="Z103" s="529"/>
    </row>
    <row r="104" spans="1:26" ht="25.5" customHeight="1" thickBot="1" x14ac:dyDescent="0.25">
      <c r="A104" s="384">
        <f t="shared" si="3"/>
        <v>36</v>
      </c>
      <c r="B104" s="414">
        <f>'1 DAN'!B106</f>
        <v>0</v>
      </c>
      <c r="C104" s="282"/>
      <c r="D104" s="283"/>
      <c r="E104" s="283"/>
      <c r="F104" s="283"/>
      <c r="G104" s="283"/>
      <c r="H104" s="284"/>
      <c r="I104" s="329"/>
      <c r="J104" s="282"/>
      <c r="K104" s="283"/>
      <c r="L104" s="283"/>
      <c r="M104" s="284"/>
      <c r="N104" s="329"/>
      <c r="O104" s="285"/>
      <c r="Q104" s="504"/>
      <c r="R104" s="527"/>
      <c r="S104" s="528"/>
      <c r="T104" s="528"/>
      <c r="U104" s="528"/>
      <c r="V104" s="528"/>
      <c r="W104" s="528"/>
      <c r="X104" s="528"/>
      <c r="Y104" s="528"/>
      <c r="Z104" s="529"/>
    </row>
    <row r="105" spans="1:26" ht="25.5" customHeight="1" thickBot="1" x14ac:dyDescent="0.25">
      <c r="A105" s="381">
        <f t="shared" si="3"/>
        <v>37</v>
      </c>
      <c r="B105" s="413">
        <f>'1 DAN'!B107</f>
        <v>0</v>
      </c>
      <c r="C105" s="286"/>
      <c r="D105" s="287"/>
      <c r="E105" s="287"/>
      <c r="F105" s="287"/>
      <c r="G105" s="287"/>
      <c r="H105" s="265"/>
      <c r="I105" s="328"/>
      <c r="J105" s="286"/>
      <c r="K105" s="287"/>
      <c r="L105" s="287"/>
      <c r="M105" s="265"/>
      <c r="N105" s="328"/>
      <c r="O105" s="288"/>
      <c r="Q105" s="506"/>
      <c r="R105" s="530"/>
      <c r="S105" s="531"/>
      <c r="T105" s="531"/>
      <c r="U105" s="531"/>
      <c r="V105" s="531"/>
      <c r="W105" s="531"/>
      <c r="X105" s="531"/>
      <c r="Y105" s="531"/>
      <c r="Z105" s="532"/>
    </row>
    <row r="106" spans="1:26" ht="25.5" customHeight="1" thickBot="1" x14ac:dyDescent="0.25">
      <c r="A106" s="384">
        <f t="shared" si="3"/>
        <v>38</v>
      </c>
      <c r="B106" s="414">
        <f>'1 DAN'!B108</f>
        <v>0</v>
      </c>
      <c r="C106" s="339"/>
      <c r="D106" s="340"/>
      <c r="E106" s="340"/>
      <c r="F106" s="340"/>
      <c r="G106" s="340"/>
      <c r="H106" s="341"/>
      <c r="I106" s="342"/>
      <c r="J106" s="339"/>
      <c r="K106" s="340"/>
      <c r="L106" s="340"/>
      <c r="M106" s="341"/>
      <c r="N106" s="342"/>
      <c r="O106" s="343"/>
      <c r="Q106" s="505" t="s">
        <v>5</v>
      </c>
      <c r="R106" s="507">
        <v>1</v>
      </c>
      <c r="S106" s="566" t="s">
        <v>148</v>
      </c>
      <c r="T106" s="566"/>
      <c r="U106" s="566"/>
      <c r="V106" s="566"/>
      <c r="W106" s="566"/>
      <c r="X106" s="566"/>
      <c r="Y106" s="568" t="s">
        <v>153</v>
      </c>
      <c r="Z106" s="569"/>
    </row>
    <row r="107" spans="1:26" ht="25.5" customHeight="1" x14ac:dyDescent="0.2">
      <c r="A107" s="381">
        <f t="shared" si="3"/>
        <v>39</v>
      </c>
      <c r="B107" s="413">
        <f>'1 DAN'!B109</f>
        <v>0</v>
      </c>
      <c r="C107" s="334"/>
      <c r="D107" s="335"/>
      <c r="E107" s="335"/>
      <c r="F107" s="335"/>
      <c r="G107" s="335"/>
      <c r="H107" s="336"/>
      <c r="I107" s="337"/>
      <c r="J107" s="334"/>
      <c r="K107" s="335"/>
      <c r="L107" s="335"/>
      <c r="M107" s="336"/>
      <c r="N107" s="337"/>
      <c r="O107" s="338"/>
      <c r="Q107" s="504"/>
      <c r="R107" s="508"/>
      <c r="S107" s="567"/>
      <c r="T107" s="567"/>
      <c r="U107" s="567"/>
      <c r="V107" s="567"/>
      <c r="W107" s="567"/>
      <c r="X107" s="567"/>
      <c r="Y107" s="556"/>
      <c r="Z107" s="529"/>
    </row>
    <row r="108" spans="1:26" ht="25.5" customHeight="1" thickBot="1" x14ac:dyDescent="0.25">
      <c r="A108" s="384">
        <f t="shared" si="3"/>
        <v>40</v>
      </c>
      <c r="B108" s="414">
        <f>'1 DAN'!B110</f>
        <v>0</v>
      </c>
      <c r="C108" s="387"/>
      <c r="D108" s="388"/>
      <c r="E108" s="388"/>
      <c r="F108" s="388"/>
      <c r="G108" s="388"/>
      <c r="H108" s="389"/>
      <c r="I108" s="390"/>
      <c r="J108" s="387"/>
      <c r="K108" s="388"/>
      <c r="L108" s="388"/>
      <c r="M108" s="389"/>
      <c r="N108" s="390"/>
      <c r="O108" s="277"/>
      <c r="Q108" s="504"/>
      <c r="R108" s="508"/>
      <c r="S108" s="567"/>
      <c r="T108" s="567"/>
      <c r="U108" s="567"/>
      <c r="V108" s="567"/>
      <c r="W108" s="567"/>
      <c r="X108" s="567"/>
      <c r="Y108" s="556"/>
      <c r="Z108" s="529"/>
    </row>
    <row r="109" spans="1:26" ht="13.5" customHeight="1" thickBot="1" x14ac:dyDescent="0.25">
      <c r="A109" s="385"/>
      <c r="B109" s="386"/>
      <c r="Q109" s="504"/>
      <c r="R109" s="508"/>
      <c r="S109" s="567"/>
      <c r="T109" s="567"/>
      <c r="U109" s="567"/>
      <c r="V109" s="567"/>
      <c r="W109" s="567"/>
      <c r="X109" s="567"/>
      <c r="Y109" s="560"/>
      <c r="Z109" s="570"/>
    </row>
    <row r="110" spans="1:26" ht="25.5" customHeight="1" x14ac:dyDescent="0.2">
      <c r="A110" s="269" t="s">
        <v>237</v>
      </c>
      <c r="B110" s="270"/>
      <c r="C110" s="270"/>
      <c r="D110" s="270"/>
      <c r="E110" s="270"/>
      <c r="F110" s="270"/>
      <c r="G110" s="270"/>
      <c r="H110" s="278" t="s">
        <v>238</v>
      </c>
      <c r="I110" s="270"/>
      <c r="J110" s="270"/>
      <c r="K110" s="270"/>
      <c r="L110" s="270"/>
      <c r="M110" s="270"/>
      <c r="N110" s="270"/>
      <c r="O110" s="271"/>
      <c r="Q110" s="504"/>
      <c r="R110" s="508">
        <v>2</v>
      </c>
      <c r="S110" s="571" t="s">
        <v>149</v>
      </c>
      <c r="T110" s="571"/>
      <c r="U110" s="571"/>
      <c r="V110" s="571"/>
      <c r="W110" s="571"/>
      <c r="X110" s="571"/>
      <c r="Y110" s="572" t="s">
        <v>154</v>
      </c>
      <c r="Z110" s="573"/>
    </row>
    <row r="111" spans="1:26" ht="15" customHeight="1" x14ac:dyDescent="0.2">
      <c r="A111" s="332" t="s">
        <v>8</v>
      </c>
      <c r="B111" s="333" t="s">
        <v>198</v>
      </c>
      <c r="H111" s="263" t="s">
        <v>243</v>
      </c>
      <c r="O111" s="273"/>
      <c r="Q111" s="504"/>
      <c r="R111" s="508"/>
      <c r="S111" s="571"/>
      <c r="T111" s="571"/>
      <c r="U111" s="571"/>
      <c r="V111" s="571"/>
      <c r="W111" s="571"/>
      <c r="X111" s="571"/>
      <c r="Y111" s="550"/>
      <c r="Z111" s="551"/>
    </row>
    <row r="112" spans="1:26" ht="13.5" customHeight="1" x14ac:dyDescent="0.2">
      <c r="A112" s="345"/>
      <c r="B112" s="333" t="s">
        <v>201</v>
      </c>
      <c r="H112" s="152" t="s">
        <v>247</v>
      </c>
      <c r="O112" s="273"/>
      <c r="Q112" s="504"/>
      <c r="R112" s="508"/>
      <c r="S112" s="571"/>
      <c r="T112" s="571"/>
      <c r="U112" s="571"/>
      <c r="V112" s="571"/>
      <c r="W112" s="571"/>
      <c r="X112" s="571"/>
      <c r="Y112" s="550"/>
      <c r="Z112" s="551"/>
    </row>
    <row r="113" spans="1:26" ht="13.5" customHeight="1" x14ac:dyDescent="0.2">
      <c r="A113" s="332" t="s">
        <v>9</v>
      </c>
      <c r="B113" s="333" t="s">
        <v>205</v>
      </c>
      <c r="H113" s="152" t="s">
        <v>244</v>
      </c>
      <c r="O113" s="273"/>
      <c r="Q113" s="504"/>
      <c r="R113" s="508"/>
      <c r="S113" s="571"/>
      <c r="T113" s="571"/>
      <c r="U113" s="571"/>
      <c r="V113" s="571"/>
      <c r="W113" s="571"/>
      <c r="X113" s="571"/>
      <c r="Y113" s="574"/>
      <c r="Z113" s="575"/>
    </row>
    <row r="114" spans="1:26" ht="13.5" customHeight="1" x14ac:dyDescent="0.2">
      <c r="A114" s="345"/>
      <c r="B114" s="528" t="s">
        <v>209</v>
      </c>
      <c r="C114" s="528"/>
      <c r="D114" s="528"/>
      <c r="E114" s="528"/>
      <c r="F114" s="528"/>
      <c r="G114" s="344"/>
      <c r="H114" s="347" t="s">
        <v>245</v>
      </c>
      <c r="I114" s="348"/>
      <c r="J114" s="348"/>
      <c r="K114" s="348"/>
      <c r="L114" s="348"/>
      <c r="M114" s="348"/>
      <c r="N114" s="348"/>
      <c r="O114" s="349"/>
      <c r="Q114" s="504"/>
      <c r="R114" s="563">
        <v>3</v>
      </c>
      <c r="S114" s="554" t="s">
        <v>150</v>
      </c>
      <c r="T114" s="557"/>
      <c r="U114" s="557"/>
      <c r="V114" s="557"/>
      <c r="W114" s="557"/>
      <c r="X114" s="558"/>
      <c r="Y114" s="554" t="s">
        <v>155</v>
      </c>
      <c r="Z114" s="555"/>
    </row>
    <row r="115" spans="1:26" ht="13.5" customHeight="1" x14ac:dyDescent="0.2">
      <c r="A115" s="345"/>
      <c r="B115" s="528"/>
      <c r="C115" s="528"/>
      <c r="D115" s="528"/>
      <c r="E115" s="528"/>
      <c r="F115" s="528"/>
      <c r="G115" s="344"/>
      <c r="H115" s="609" t="s">
        <v>246</v>
      </c>
      <c r="I115" s="610"/>
      <c r="J115" s="610"/>
      <c r="K115" s="610"/>
      <c r="L115" s="610"/>
      <c r="M115" s="610"/>
      <c r="N115" s="610"/>
      <c r="O115" s="611"/>
      <c r="Q115" s="504"/>
      <c r="R115" s="564"/>
      <c r="S115" s="556"/>
      <c r="T115" s="528"/>
      <c r="U115" s="528"/>
      <c r="V115" s="528"/>
      <c r="W115" s="528"/>
      <c r="X115" s="559"/>
      <c r="Y115" s="556"/>
      <c r="Z115" s="529"/>
    </row>
    <row r="116" spans="1:26" ht="13.5" customHeight="1" x14ac:dyDescent="0.2">
      <c r="A116" s="332" t="s">
        <v>11</v>
      </c>
      <c r="B116" s="333" t="s">
        <v>213</v>
      </c>
      <c r="H116" s="609"/>
      <c r="I116" s="610"/>
      <c r="J116" s="610"/>
      <c r="K116" s="610"/>
      <c r="L116" s="610"/>
      <c r="M116" s="610"/>
      <c r="N116" s="610"/>
      <c r="O116" s="611"/>
      <c r="Q116" s="504"/>
      <c r="R116" s="565"/>
      <c r="S116" s="560"/>
      <c r="T116" s="561"/>
      <c r="U116" s="561"/>
      <c r="V116" s="561"/>
      <c r="W116" s="561"/>
      <c r="X116" s="562"/>
      <c r="Y116" s="556"/>
      <c r="Z116" s="529"/>
    </row>
    <row r="117" spans="1:26" ht="13.5" customHeight="1" x14ac:dyDescent="0.2">
      <c r="A117" s="332" t="s">
        <v>12</v>
      </c>
      <c r="B117" s="333" t="s">
        <v>217</v>
      </c>
      <c r="H117" s="609"/>
      <c r="I117" s="610"/>
      <c r="J117" s="610"/>
      <c r="K117" s="610"/>
      <c r="L117" s="610"/>
      <c r="M117" s="610"/>
      <c r="N117" s="610"/>
      <c r="O117" s="611"/>
      <c r="Q117" s="504"/>
      <c r="R117" s="508">
        <v>4</v>
      </c>
      <c r="S117" s="571" t="s">
        <v>151</v>
      </c>
      <c r="T117" s="577"/>
      <c r="U117" s="577"/>
      <c r="V117" s="577"/>
      <c r="W117" s="577"/>
      <c r="X117" s="577"/>
      <c r="Y117" s="572" t="s">
        <v>152</v>
      </c>
      <c r="Z117" s="573"/>
    </row>
    <row r="118" spans="1:26" ht="13.5" customHeight="1" x14ac:dyDescent="0.2">
      <c r="A118" s="332" t="s">
        <v>13</v>
      </c>
      <c r="B118" s="333" t="s">
        <v>171</v>
      </c>
      <c r="H118" s="609"/>
      <c r="I118" s="610"/>
      <c r="J118" s="610"/>
      <c r="K118" s="610"/>
      <c r="L118" s="610"/>
      <c r="M118" s="610"/>
      <c r="N118" s="610"/>
      <c r="O118" s="611"/>
      <c r="Q118" s="504"/>
      <c r="R118" s="508"/>
      <c r="S118" s="577"/>
      <c r="T118" s="577"/>
      <c r="U118" s="577"/>
      <c r="V118" s="577"/>
      <c r="W118" s="577"/>
      <c r="X118" s="577"/>
      <c r="Y118" s="550"/>
      <c r="Z118" s="551"/>
    </row>
    <row r="119" spans="1:26" ht="13.5" customHeight="1" x14ac:dyDescent="0.2">
      <c r="A119" s="332" t="s">
        <v>111</v>
      </c>
      <c r="B119" s="333" t="s">
        <v>223</v>
      </c>
      <c r="H119" s="609"/>
      <c r="I119" s="610"/>
      <c r="J119" s="610"/>
      <c r="K119" s="610"/>
      <c r="L119" s="610"/>
      <c r="M119" s="610"/>
      <c r="N119" s="610"/>
      <c r="O119" s="611"/>
      <c r="Q119" s="504"/>
      <c r="R119" s="508"/>
      <c r="S119" s="577"/>
      <c r="T119" s="577"/>
      <c r="U119" s="577"/>
      <c r="V119" s="577"/>
      <c r="W119" s="577"/>
      <c r="X119" s="577"/>
      <c r="Y119" s="550"/>
      <c r="Z119" s="551"/>
    </row>
    <row r="120" spans="1:26" ht="13.5" customHeight="1" thickBot="1" x14ac:dyDescent="0.3">
      <c r="A120" s="275"/>
      <c r="B120" s="276"/>
      <c r="C120" s="276"/>
      <c r="D120" s="276"/>
      <c r="E120" s="276"/>
      <c r="F120" s="276"/>
      <c r="G120" s="346"/>
      <c r="H120" s="612"/>
      <c r="I120" s="613"/>
      <c r="J120" s="613"/>
      <c r="K120" s="613"/>
      <c r="L120" s="613"/>
      <c r="M120" s="613"/>
      <c r="N120" s="613"/>
      <c r="O120" s="614"/>
      <c r="Q120" s="506"/>
      <c r="R120" s="576"/>
      <c r="S120" s="578"/>
      <c r="T120" s="578"/>
      <c r="U120" s="578"/>
      <c r="V120" s="578"/>
      <c r="W120" s="578"/>
      <c r="X120" s="578"/>
      <c r="Y120" s="552"/>
      <c r="Z120" s="553"/>
    </row>
    <row r="121" spans="1:26" s="88" customFormat="1" ht="9" customHeight="1" x14ac:dyDescent="0.25">
      <c r="A121" s="264"/>
      <c r="B121" s="264"/>
      <c r="C121" s="264"/>
      <c r="D121" s="264"/>
      <c r="E121" s="264"/>
      <c r="F121" s="264"/>
      <c r="G121" s="264"/>
      <c r="H121" s="264"/>
      <c r="I121" s="264"/>
      <c r="J121" s="264"/>
      <c r="K121" s="264"/>
      <c r="L121" s="264"/>
      <c r="M121" s="264"/>
      <c r="N121" s="264"/>
      <c r="O121" s="264"/>
      <c r="Q121" s="264"/>
      <c r="R121" s="264"/>
      <c r="S121" s="264"/>
      <c r="T121" s="264"/>
      <c r="U121" s="264"/>
      <c r="V121" s="264"/>
      <c r="W121" s="264"/>
      <c r="X121" s="264"/>
      <c r="Y121" s="264"/>
      <c r="Z121" s="264"/>
    </row>
    <row r="122" spans="1:26" s="18" customFormat="1" ht="13.5" customHeight="1" x14ac:dyDescent="0.25">
      <c r="A122" s="88"/>
      <c r="B122" s="88" t="s">
        <v>53</v>
      </c>
      <c r="C122" s="89"/>
      <c r="D122" s="88"/>
      <c r="E122" s="88"/>
      <c r="F122" s="88"/>
      <c r="G122" s="88"/>
      <c r="H122" s="88"/>
      <c r="I122" s="88"/>
      <c r="J122" s="88" t="s">
        <v>54</v>
      </c>
      <c r="K122" s="88"/>
      <c r="L122" s="88"/>
      <c r="M122" s="88"/>
      <c r="N122" s="88"/>
      <c r="O122" s="88"/>
      <c r="Q122" s="88"/>
      <c r="R122" s="88"/>
      <c r="S122" s="88"/>
      <c r="T122" s="88"/>
      <c r="U122" s="88"/>
      <c r="V122" s="88"/>
      <c r="W122" s="88" t="s">
        <v>55</v>
      </c>
      <c r="X122" s="88"/>
      <c r="Y122" s="88"/>
      <c r="Z122" s="88"/>
    </row>
    <row r="123" spans="1:26" s="18" customFormat="1" ht="18" customHeight="1" x14ac:dyDescent="0.2">
      <c r="C123" s="19"/>
    </row>
    <row r="124" spans="1:26" s="18" customFormat="1" ht="9.75" customHeight="1" x14ac:dyDescent="0.2">
      <c r="C124" s="19"/>
    </row>
    <row r="125" spans="1:26" s="18" customFormat="1" ht="18" customHeight="1" x14ac:dyDescent="0.2">
      <c r="B125" s="90"/>
      <c r="C125" s="19"/>
      <c r="J125" s="90"/>
      <c r="K125" s="90"/>
      <c r="L125" s="90"/>
      <c r="M125" s="90"/>
      <c r="N125" s="90"/>
      <c r="O125" s="90"/>
      <c r="W125" s="90"/>
      <c r="X125" s="90"/>
      <c r="Y125" s="90"/>
      <c r="Z125" s="90"/>
    </row>
    <row r="126" spans="1:26" s="18" customFormat="1" ht="15.75" customHeight="1" x14ac:dyDescent="0.2">
      <c r="B126" s="18" t="s">
        <v>56</v>
      </c>
      <c r="C126" s="19"/>
      <c r="J126" s="18" t="s">
        <v>56</v>
      </c>
      <c r="W126" s="18" t="s">
        <v>57</v>
      </c>
    </row>
    <row r="127" spans="1:26" ht="14.25" x14ac:dyDescent="0.2">
      <c r="A127" s="18"/>
      <c r="B127" s="18" t="s">
        <v>58</v>
      </c>
      <c r="C127" s="19"/>
      <c r="D127" s="18"/>
      <c r="E127" s="18"/>
      <c r="F127" s="18"/>
      <c r="G127" s="18"/>
      <c r="H127" s="18"/>
      <c r="I127" s="18"/>
      <c r="J127" s="18" t="s">
        <v>59</v>
      </c>
      <c r="K127" s="18"/>
      <c r="L127" s="18"/>
      <c r="M127" s="18"/>
      <c r="N127" s="18"/>
      <c r="O127" s="18"/>
      <c r="Q127" s="18"/>
      <c r="R127" s="18"/>
      <c r="S127" s="18"/>
      <c r="T127" s="18"/>
      <c r="U127" s="18"/>
      <c r="V127" s="18"/>
      <c r="W127" s="18" t="s">
        <v>58</v>
      </c>
      <c r="X127" s="18"/>
      <c r="Y127" s="18"/>
      <c r="Z127" s="18"/>
    </row>
    <row r="128" spans="1:26" ht="4.5" customHeight="1" thickBot="1" x14ac:dyDescent="0.25"/>
    <row r="129" spans="1:26" ht="25.5" customHeight="1" thickBot="1" x14ac:dyDescent="0.25">
      <c r="A129" s="381">
        <v>41</v>
      </c>
      <c r="B129" s="413">
        <f>'1 DAN'!B132</f>
        <v>0</v>
      </c>
      <c r="C129" s="334"/>
      <c r="D129" s="335"/>
      <c r="E129" s="335"/>
      <c r="F129" s="335"/>
      <c r="G129" s="335"/>
      <c r="H129" s="336"/>
      <c r="I129" s="337"/>
      <c r="J129" s="334"/>
      <c r="K129" s="335"/>
      <c r="L129" s="335"/>
      <c r="M129" s="336"/>
      <c r="N129" s="337"/>
      <c r="O129" s="338"/>
    </row>
    <row r="130" spans="1:26" ht="25.5" customHeight="1" thickBot="1" x14ac:dyDescent="0.25">
      <c r="A130" s="384">
        <f>A129+1</f>
        <v>42</v>
      </c>
      <c r="B130" s="414">
        <f>'1 DAN'!B133</f>
        <v>0</v>
      </c>
      <c r="C130" s="282"/>
      <c r="D130" s="283"/>
      <c r="E130" s="283"/>
      <c r="F130" s="283"/>
      <c r="G130" s="283"/>
      <c r="H130" s="284"/>
      <c r="I130" s="329"/>
      <c r="J130" s="282"/>
      <c r="K130" s="283"/>
      <c r="L130" s="283"/>
      <c r="M130" s="284"/>
      <c r="N130" s="329"/>
      <c r="O130" s="285"/>
      <c r="Q130" s="268"/>
      <c r="R130" s="615" t="s">
        <v>156</v>
      </c>
      <c r="S130" s="616"/>
      <c r="T130" s="616"/>
      <c r="U130" s="616"/>
      <c r="V130" s="616"/>
      <c r="W130" s="616"/>
      <c r="X130" s="616"/>
      <c r="Y130" s="616"/>
      <c r="Z130" s="617"/>
    </row>
    <row r="131" spans="1:26" ht="25.5" customHeight="1" thickTop="1" x14ac:dyDescent="0.2">
      <c r="A131" s="381">
        <f t="shared" ref="A131:A138" si="4">A130+1</f>
        <v>43</v>
      </c>
      <c r="B131" s="413">
        <f>'1 DAN'!B134</f>
        <v>0</v>
      </c>
      <c r="C131" s="286"/>
      <c r="D131" s="287"/>
      <c r="E131" s="287"/>
      <c r="F131" s="287"/>
      <c r="G131" s="287"/>
      <c r="H131" s="265"/>
      <c r="I131" s="328"/>
      <c r="J131" s="286"/>
      <c r="K131" s="287"/>
      <c r="L131" s="287"/>
      <c r="M131" s="265"/>
      <c r="N131" s="328"/>
      <c r="O131" s="288"/>
      <c r="Q131" s="503" t="s">
        <v>4</v>
      </c>
      <c r="R131" s="524" t="s">
        <v>262</v>
      </c>
      <c r="S131" s="525"/>
      <c r="T131" s="525"/>
      <c r="U131" s="525"/>
      <c r="V131" s="525"/>
      <c r="W131" s="525"/>
      <c r="X131" s="525"/>
      <c r="Y131" s="525"/>
      <c r="Z131" s="526"/>
    </row>
    <row r="132" spans="1:26" ht="25.5" customHeight="1" thickBot="1" x14ac:dyDescent="0.25">
      <c r="A132" s="384">
        <f t="shared" si="4"/>
        <v>44</v>
      </c>
      <c r="B132" s="414">
        <f>'1 DAN'!B135</f>
        <v>0</v>
      </c>
      <c r="C132" s="339"/>
      <c r="D132" s="340"/>
      <c r="E132" s="340"/>
      <c r="F132" s="340"/>
      <c r="G132" s="340"/>
      <c r="H132" s="341"/>
      <c r="I132" s="342"/>
      <c r="J132" s="339"/>
      <c r="K132" s="340"/>
      <c r="L132" s="340"/>
      <c r="M132" s="341"/>
      <c r="N132" s="342"/>
      <c r="O132" s="343"/>
      <c r="Q132" s="504"/>
      <c r="R132" s="527"/>
      <c r="S132" s="528"/>
      <c r="T132" s="528"/>
      <c r="U132" s="528"/>
      <c r="V132" s="528"/>
      <c r="W132" s="528"/>
      <c r="X132" s="528"/>
      <c r="Y132" s="528"/>
      <c r="Z132" s="529"/>
    </row>
    <row r="133" spans="1:26" ht="25.5" customHeight="1" x14ac:dyDescent="0.2">
      <c r="A133" s="381">
        <f t="shared" si="4"/>
        <v>45</v>
      </c>
      <c r="B133" s="413">
        <f>'1 DAN'!B136</f>
        <v>0</v>
      </c>
      <c r="C133" s="334"/>
      <c r="D133" s="335"/>
      <c r="E133" s="335"/>
      <c r="F133" s="335"/>
      <c r="G133" s="335"/>
      <c r="H133" s="336"/>
      <c r="I133" s="337"/>
      <c r="J133" s="334"/>
      <c r="K133" s="335"/>
      <c r="L133" s="335"/>
      <c r="M133" s="336"/>
      <c r="N133" s="337"/>
      <c r="O133" s="338"/>
      <c r="Q133" s="504"/>
      <c r="R133" s="527"/>
      <c r="S133" s="528"/>
      <c r="T133" s="528"/>
      <c r="U133" s="528"/>
      <c r="V133" s="528"/>
      <c r="W133" s="528"/>
      <c r="X133" s="528"/>
      <c r="Y133" s="528"/>
      <c r="Z133" s="529"/>
    </row>
    <row r="134" spans="1:26" ht="25.5" customHeight="1" thickBot="1" x14ac:dyDescent="0.25">
      <c r="A134" s="384">
        <f t="shared" si="4"/>
        <v>46</v>
      </c>
      <c r="B134" s="414">
        <f>'1 DAN'!B137</f>
        <v>0</v>
      </c>
      <c r="C134" s="282"/>
      <c r="D134" s="283"/>
      <c r="E134" s="283"/>
      <c r="F134" s="283"/>
      <c r="G134" s="283"/>
      <c r="H134" s="284"/>
      <c r="I134" s="329"/>
      <c r="J134" s="282"/>
      <c r="K134" s="283"/>
      <c r="L134" s="283"/>
      <c r="M134" s="284"/>
      <c r="N134" s="329"/>
      <c r="O134" s="285"/>
      <c r="Q134" s="504"/>
      <c r="R134" s="527"/>
      <c r="S134" s="528"/>
      <c r="T134" s="528"/>
      <c r="U134" s="528"/>
      <c r="V134" s="528"/>
      <c r="W134" s="528"/>
      <c r="X134" s="528"/>
      <c r="Y134" s="528"/>
      <c r="Z134" s="529"/>
    </row>
    <row r="135" spans="1:26" ht="25.5" customHeight="1" thickBot="1" x14ac:dyDescent="0.25">
      <c r="A135" s="381">
        <f t="shared" si="4"/>
        <v>47</v>
      </c>
      <c r="B135" s="413">
        <f>'1 DAN'!B138</f>
        <v>0</v>
      </c>
      <c r="C135" s="286"/>
      <c r="D135" s="287"/>
      <c r="E135" s="287"/>
      <c r="F135" s="287"/>
      <c r="G135" s="287"/>
      <c r="H135" s="265"/>
      <c r="I135" s="328"/>
      <c r="J135" s="286"/>
      <c r="K135" s="287"/>
      <c r="L135" s="287"/>
      <c r="M135" s="265"/>
      <c r="N135" s="328"/>
      <c r="O135" s="288"/>
      <c r="Q135" s="506"/>
      <c r="R135" s="530"/>
      <c r="S135" s="531"/>
      <c r="T135" s="531"/>
      <c r="U135" s="531"/>
      <c r="V135" s="531"/>
      <c r="W135" s="531"/>
      <c r="X135" s="531"/>
      <c r="Y135" s="531"/>
      <c r="Z135" s="532"/>
    </row>
    <row r="136" spans="1:26" ht="25.5" customHeight="1" thickBot="1" x14ac:dyDescent="0.25">
      <c r="A136" s="384">
        <f t="shared" si="4"/>
        <v>48</v>
      </c>
      <c r="B136" s="414">
        <f>'1 DAN'!B139</f>
        <v>0</v>
      </c>
      <c r="C136" s="339"/>
      <c r="D136" s="340"/>
      <c r="E136" s="340"/>
      <c r="F136" s="340"/>
      <c r="G136" s="340"/>
      <c r="H136" s="341"/>
      <c r="I136" s="342"/>
      <c r="J136" s="339"/>
      <c r="K136" s="340"/>
      <c r="L136" s="340"/>
      <c r="M136" s="341"/>
      <c r="N136" s="342"/>
      <c r="O136" s="343"/>
      <c r="Q136" s="505" t="s">
        <v>5</v>
      </c>
      <c r="R136" s="507">
        <v>1</v>
      </c>
      <c r="S136" s="566" t="s">
        <v>148</v>
      </c>
      <c r="T136" s="566"/>
      <c r="U136" s="566"/>
      <c r="V136" s="566"/>
      <c r="W136" s="566"/>
      <c r="X136" s="566"/>
      <c r="Y136" s="568" t="s">
        <v>153</v>
      </c>
      <c r="Z136" s="569"/>
    </row>
    <row r="137" spans="1:26" ht="25.5" customHeight="1" x14ac:dyDescent="0.2">
      <c r="A137" s="381">
        <f t="shared" si="4"/>
        <v>49</v>
      </c>
      <c r="B137" s="413">
        <f>'1 DAN'!B140</f>
        <v>0</v>
      </c>
      <c r="C137" s="334"/>
      <c r="D137" s="335"/>
      <c r="E137" s="335"/>
      <c r="F137" s="335"/>
      <c r="G137" s="335"/>
      <c r="H137" s="336"/>
      <c r="I137" s="337"/>
      <c r="J137" s="334"/>
      <c r="K137" s="335"/>
      <c r="L137" s="335"/>
      <c r="M137" s="336"/>
      <c r="N137" s="337"/>
      <c r="O137" s="338"/>
      <c r="Q137" s="504"/>
      <c r="R137" s="508"/>
      <c r="S137" s="567"/>
      <c r="T137" s="567"/>
      <c r="U137" s="567"/>
      <c r="V137" s="567"/>
      <c r="W137" s="567"/>
      <c r="X137" s="567"/>
      <c r="Y137" s="556"/>
      <c r="Z137" s="529"/>
    </row>
    <row r="138" spans="1:26" ht="25.5" customHeight="1" thickBot="1" x14ac:dyDescent="0.25">
      <c r="A138" s="384">
        <f t="shared" si="4"/>
        <v>50</v>
      </c>
      <c r="B138" s="414">
        <f>'1 DAN'!B141</f>
        <v>0</v>
      </c>
      <c r="C138" s="387"/>
      <c r="D138" s="388"/>
      <c r="E138" s="388"/>
      <c r="F138" s="388"/>
      <c r="G138" s="388"/>
      <c r="H138" s="389"/>
      <c r="I138" s="390"/>
      <c r="J138" s="387"/>
      <c r="K138" s="388"/>
      <c r="L138" s="388"/>
      <c r="M138" s="389"/>
      <c r="N138" s="390"/>
      <c r="O138" s="277"/>
      <c r="Q138" s="504"/>
      <c r="R138" s="508"/>
      <c r="S138" s="567"/>
      <c r="T138" s="567"/>
      <c r="U138" s="567"/>
      <c r="V138" s="567"/>
      <c r="W138" s="567"/>
      <c r="X138" s="567"/>
      <c r="Y138" s="556"/>
      <c r="Z138" s="529"/>
    </row>
    <row r="139" spans="1:26" ht="13.5" customHeight="1" thickBot="1" x14ac:dyDescent="0.25">
      <c r="A139" s="385"/>
      <c r="B139" s="386"/>
      <c r="Q139" s="504"/>
      <c r="R139" s="508"/>
      <c r="S139" s="567"/>
      <c r="T139" s="567"/>
      <c r="U139" s="567"/>
      <c r="V139" s="567"/>
      <c r="W139" s="567"/>
      <c r="X139" s="567"/>
      <c r="Y139" s="560"/>
      <c r="Z139" s="570"/>
    </row>
    <row r="140" spans="1:26" ht="25.5" customHeight="1" x14ac:dyDescent="0.2">
      <c r="A140" s="269" t="s">
        <v>237</v>
      </c>
      <c r="B140" s="270"/>
      <c r="C140" s="270"/>
      <c r="D140" s="270"/>
      <c r="E140" s="270"/>
      <c r="F140" s="270"/>
      <c r="G140" s="270"/>
      <c r="H140" s="278" t="s">
        <v>238</v>
      </c>
      <c r="I140" s="270"/>
      <c r="J140" s="270"/>
      <c r="K140" s="270"/>
      <c r="L140" s="270"/>
      <c r="M140" s="270"/>
      <c r="N140" s="270"/>
      <c r="O140" s="271"/>
      <c r="Q140" s="504"/>
      <c r="R140" s="508">
        <v>2</v>
      </c>
      <c r="S140" s="571" t="s">
        <v>149</v>
      </c>
      <c r="T140" s="571"/>
      <c r="U140" s="571"/>
      <c r="V140" s="571"/>
      <c r="W140" s="571"/>
      <c r="X140" s="571"/>
      <c r="Y140" s="572" t="s">
        <v>154</v>
      </c>
      <c r="Z140" s="573"/>
    </row>
    <row r="141" spans="1:26" ht="15" customHeight="1" x14ac:dyDescent="0.2">
      <c r="A141" s="332" t="s">
        <v>8</v>
      </c>
      <c r="B141" s="333" t="s">
        <v>198</v>
      </c>
      <c r="H141" s="263" t="s">
        <v>243</v>
      </c>
      <c r="O141" s="273"/>
      <c r="Q141" s="504"/>
      <c r="R141" s="508"/>
      <c r="S141" s="571"/>
      <c r="T141" s="571"/>
      <c r="U141" s="571"/>
      <c r="V141" s="571"/>
      <c r="W141" s="571"/>
      <c r="X141" s="571"/>
      <c r="Y141" s="550"/>
      <c r="Z141" s="551"/>
    </row>
    <row r="142" spans="1:26" ht="13.5" customHeight="1" x14ac:dyDescent="0.2">
      <c r="A142" s="345"/>
      <c r="B142" s="333" t="s">
        <v>201</v>
      </c>
      <c r="H142" s="152" t="s">
        <v>247</v>
      </c>
      <c r="O142" s="273"/>
      <c r="Q142" s="504"/>
      <c r="R142" s="508"/>
      <c r="S142" s="571"/>
      <c r="T142" s="571"/>
      <c r="U142" s="571"/>
      <c r="V142" s="571"/>
      <c r="W142" s="571"/>
      <c r="X142" s="571"/>
      <c r="Y142" s="550"/>
      <c r="Z142" s="551"/>
    </row>
    <row r="143" spans="1:26" ht="13.5" customHeight="1" x14ac:dyDescent="0.2">
      <c r="A143" s="332" t="s">
        <v>9</v>
      </c>
      <c r="B143" s="333" t="s">
        <v>205</v>
      </c>
      <c r="H143" s="152" t="s">
        <v>244</v>
      </c>
      <c r="O143" s="273"/>
      <c r="Q143" s="504"/>
      <c r="R143" s="508"/>
      <c r="S143" s="571"/>
      <c r="T143" s="571"/>
      <c r="U143" s="571"/>
      <c r="V143" s="571"/>
      <c r="W143" s="571"/>
      <c r="X143" s="571"/>
      <c r="Y143" s="574"/>
      <c r="Z143" s="575"/>
    </row>
    <row r="144" spans="1:26" ht="13.5" customHeight="1" x14ac:dyDescent="0.2">
      <c r="A144" s="345"/>
      <c r="B144" s="528" t="s">
        <v>209</v>
      </c>
      <c r="C144" s="528"/>
      <c r="D144" s="528"/>
      <c r="E144" s="528"/>
      <c r="F144" s="528"/>
      <c r="G144" s="344"/>
      <c r="H144" s="347" t="s">
        <v>245</v>
      </c>
      <c r="I144" s="348"/>
      <c r="J144" s="348"/>
      <c r="K144" s="348"/>
      <c r="L144" s="348"/>
      <c r="M144" s="348"/>
      <c r="N144" s="348"/>
      <c r="O144" s="349"/>
      <c r="Q144" s="504"/>
      <c r="R144" s="563">
        <v>3</v>
      </c>
      <c r="S144" s="554" t="s">
        <v>150</v>
      </c>
      <c r="T144" s="557"/>
      <c r="U144" s="557"/>
      <c r="V144" s="557"/>
      <c r="W144" s="557"/>
      <c r="X144" s="558"/>
      <c r="Y144" s="554" t="s">
        <v>155</v>
      </c>
      <c r="Z144" s="555"/>
    </row>
    <row r="145" spans="1:26" ht="13.5" customHeight="1" x14ac:dyDescent="0.2">
      <c r="A145" s="345"/>
      <c r="B145" s="528"/>
      <c r="C145" s="528"/>
      <c r="D145" s="528"/>
      <c r="E145" s="528"/>
      <c r="F145" s="528"/>
      <c r="G145" s="344"/>
      <c r="H145" s="609" t="s">
        <v>246</v>
      </c>
      <c r="I145" s="610"/>
      <c r="J145" s="610"/>
      <c r="K145" s="610"/>
      <c r="L145" s="610"/>
      <c r="M145" s="610"/>
      <c r="N145" s="610"/>
      <c r="O145" s="611"/>
      <c r="Q145" s="504"/>
      <c r="R145" s="564"/>
      <c r="S145" s="556"/>
      <c r="T145" s="528"/>
      <c r="U145" s="528"/>
      <c r="V145" s="528"/>
      <c r="W145" s="528"/>
      <c r="X145" s="559"/>
      <c r="Y145" s="556"/>
      <c r="Z145" s="529"/>
    </row>
    <row r="146" spans="1:26" ht="13.5" customHeight="1" x14ac:dyDescent="0.2">
      <c r="A146" s="332" t="s">
        <v>11</v>
      </c>
      <c r="B146" s="333" t="s">
        <v>213</v>
      </c>
      <c r="H146" s="609"/>
      <c r="I146" s="610"/>
      <c r="J146" s="610"/>
      <c r="K146" s="610"/>
      <c r="L146" s="610"/>
      <c r="M146" s="610"/>
      <c r="N146" s="610"/>
      <c r="O146" s="611"/>
      <c r="Q146" s="504"/>
      <c r="R146" s="565"/>
      <c r="S146" s="560"/>
      <c r="T146" s="561"/>
      <c r="U146" s="561"/>
      <c r="V146" s="561"/>
      <c r="W146" s="561"/>
      <c r="X146" s="562"/>
      <c r="Y146" s="556"/>
      <c r="Z146" s="529"/>
    </row>
    <row r="147" spans="1:26" ht="13.5" customHeight="1" x14ac:dyDescent="0.2">
      <c r="A147" s="332" t="s">
        <v>12</v>
      </c>
      <c r="B147" s="333" t="s">
        <v>217</v>
      </c>
      <c r="H147" s="609"/>
      <c r="I147" s="610"/>
      <c r="J147" s="610"/>
      <c r="K147" s="610"/>
      <c r="L147" s="610"/>
      <c r="M147" s="610"/>
      <c r="N147" s="610"/>
      <c r="O147" s="611"/>
      <c r="Q147" s="504"/>
      <c r="R147" s="508">
        <v>4</v>
      </c>
      <c r="S147" s="571" t="s">
        <v>151</v>
      </c>
      <c r="T147" s="577"/>
      <c r="U147" s="577"/>
      <c r="V147" s="577"/>
      <c r="W147" s="577"/>
      <c r="X147" s="577"/>
      <c r="Y147" s="572" t="s">
        <v>152</v>
      </c>
      <c r="Z147" s="573"/>
    </row>
    <row r="148" spans="1:26" ht="13.5" customHeight="1" x14ac:dyDescent="0.2">
      <c r="A148" s="332" t="s">
        <v>13</v>
      </c>
      <c r="B148" s="333" t="s">
        <v>171</v>
      </c>
      <c r="H148" s="609"/>
      <c r="I148" s="610"/>
      <c r="J148" s="610"/>
      <c r="K148" s="610"/>
      <c r="L148" s="610"/>
      <c r="M148" s="610"/>
      <c r="N148" s="610"/>
      <c r="O148" s="611"/>
      <c r="Q148" s="504"/>
      <c r="R148" s="508"/>
      <c r="S148" s="577"/>
      <c r="T148" s="577"/>
      <c r="U148" s="577"/>
      <c r="V148" s="577"/>
      <c r="W148" s="577"/>
      <c r="X148" s="577"/>
      <c r="Y148" s="550"/>
      <c r="Z148" s="551"/>
    </row>
    <row r="149" spans="1:26" ht="13.5" customHeight="1" x14ac:dyDescent="0.2">
      <c r="A149" s="332" t="s">
        <v>111</v>
      </c>
      <c r="B149" s="333" t="s">
        <v>223</v>
      </c>
      <c r="H149" s="609"/>
      <c r="I149" s="610"/>
      <c r="J149" s="610"/>
      <c r="K149" s="610"/>
      <c r="L149" s="610"/>
      <c r="M149" s="610"/>
      <c r="N149" s="610"/>
      <c r="O149" s="611"/>
      <c r="Q149" s="504"/>
      <c r="R149" s="508"/>
      <c r="S149" s="577"/>
      <c r="T149" s="577"/>
      <c r="U149" s="577"/>
      <c r="V149" s="577"/>
      <c r="W149" s="577"/>
      <c r="X149" s="577"/>
      <c r="Y149" s="550"/>
      <c r="Z149" s="551"/>
    </row>
    <row r="150" spans="1:26" ht="13.5" customHeight="1" thickBot="1" x14ac:dyDescent="0.3">
      <c r="A150" s="275"/>
      <c r="B150" s="276"/>
      <c r="C150" s="276"/>
      <c r="D150" s="276"/>
      <c r="E150" s="276"/>
      <c r="F150" s="276"/>
      <c r="G150" s="346"/>
      <c r="H150" s="612"/>
      <c r="I150" s="613"/>
      <c r="J150" s="613"/>
      <c r="K150" s="613"/>
      <c r="L150" s="613"/>
      <c r="M150" s="613"/>
      <c r="N150" s="613"/>
      <c r="O150" s="614"/>
      <c r="Q150" s="506"/>
      <c r="R150" s="576"/>
      <c r="S150" s="578"/>
      <c r="T150" s="578"/>
      <c r="U150" s="578"/>
      <c r="V150" s="578"/>
      <c r="W150" s="578"/>
      <c r="X150" s="578"/>
      <c r="Y150" s="552"/>
      <c r="Z150" s="553"/>
    </row>
    <row r="151" spans="1:26" s="88" customFormat="1" ht="9" customHeight="1" x14ac:dyDescent="0.25">
      <c r="A151" s="264"/>
      <c r="B151" s="264"/>
      <c r="C151" s="264"/>
      <c r="D151" s="264"/>
      <c r="E151" s="264"/>
      <c r="F151" s="264"/>
      <c r="G151" s="264"/>
      <c r="H151" s="264"/>
      <c r="I151" s="264"/>
      <c r="J151" s="264"/>
      <c r="K151" s="264"/>
      <c r="L151" s="264"/>
      <c r="M151" s="264"/>
      <c r="N151" s="264"/>
      <c r="O151" s="264"/>
      <c r="Q151" s="264"/>
      <c r="R151" s="264"/>
      <c r="S151" s="264"/>
      <c r="T151" s="264"/>
      <c r="U151" s="264"/>
      <c r="V151" s="264"/>
      <c r="W151" s="264"/>
      <c r="X151" s="264"/>
      <c r="Y151" s="264"/>
      <c r="Z151" s="264"/>
    </row>
    <row r="152" spans="1:26" s="18" customFormat="1" ht="13.5" customHeight="1" x14ac:dyDescent="0.25">
      <c r="A152" s="88"/>
      <c r="B152" s="88" t="s">
        <v>53</v>
      </c>
      <c r="C152" s="89"/>
      <c r="D152" s="88"/>
      <c r="E152" s="88"/>
      <c r="F152" s="88"/>
      <c r="G152" s="88"/>
      <c r="H152" s="88"/>
      <c r="I152" s="88"/>
      <c r="J152" s="88" t="s">
        <v>54</v>
      </c>
      <c r="K152" s="88"/>
      <c r="L152" s="88"/>
      <c r="M152" s="88"/>
      <c r="N152" s="88"/>
      <c r="O152" s="88"/>
      <c r="Q152" s="88"/>
      <c r="R152" s="88"/>
      <c r="S152" s="88"/>
      <c r="T152" s="88"/>
      <c r="U152" s="88"/>
      <c r="V152" s="88"/>
      <c r="W152" s="88" t="s">
        <v>55</v>
      </c>
      <c r="X152" s="88"/>
      <c r="Y152" s="88"/>
      <c r="Z152" s="88"/>
    </row>
    <row r="153" spans="1:26" s="18" customFormat="1" ht="18" customHeight="1" x14ac:dyDescent="0.2">
      <c r="C153" s="19"/>
    </row>
    <row r="154" spans="1:26" s="18" customFormat="1" ht="9.75" customHeight="1" x14ac:dyDescent="0.2">
      <c r="C154" s="19"/>
    </row>
    <row r="155" spans="1:26" s="18" customFormat="1" ht="18" customHeight="1" x14ac:dyDescent="0.2">
      <c r="B155" s="90"/>
      <c r="C155" s="19"/>
      <c r="J155" s="90"/>
      <c r="K155" s="90"/>
      <c r="L155" s="90"/>
      <c r="M155" s="90"/>
      <c r="N155" s="90"/>
      <c r="O155" s="90"/>
      <c r="W155" s="90"/>
      <c r="X155" s="90"/>
      <c r="Y155" s="90"/>
      <c r="Z155" s="90"/>
    </row>
    <row r="156" spans="1:26" s="18" customFormat="1" ht="15.75" customHeight="1" x14ac:dyDescent="0.2">
      <c r="B156" s="18" t="s">
        <v>56</v>
      </c>
      <c r="C156" s="19"/>
      <c r="J156" s="18" t="s">
        <v>56</v>
      </c>
      <c r="W156" s="18" t="s">
        <v>57</v>
      </c>
    </row>
    <row r="157" spans="1:26" ht="14.25" x14ac:dyDescent="0.2">
      <c r="A157" s="18"/>
      <c r="B157" s="18" t="s">
        <v>58</v>
      </c>
      <c r="C157" s="19"/>
      <c r="D157" s="18"/>
      <c r="E157" s="18"/>
      <c r="F157" s="18"/>
      <c r="G157" s="18"/>
      <c r="H157" s="18"/>
      <c r="I157" s="18"/>
      <c r="J157" s="18" t="s">
        <v>59</v>
      </c>
      <c r="K157" s="18"/>
      <c r="L157" s="18"/>
      <c r="M157" s="18"/>
      <c r="N157" s="18"/>
      <c r="O157" s="18"/>
      <c r="Q157" s="18"/>
      <c r="R157" s="18"/>
      <c r="S157" s="18"/>
      <c r="T157" s="18"/>
      <c r="U157" s="18"/>
      <c r="V157" s="18"/>
      <c r="W157" s="18" t="s">
        <v>58</v>
      </c>
      <c r="X157" s="18"/>
      <c r="Y157" s="18"/>
      <c r="Z157" s="18"/>
    </row>
    <row r="159" spans="1:26" s="394" customFormat="1" ht="21" customHeight="1" x14ac:dyDescent="0.2">
      <c r="A159" s="7" t="s">
        <v>264</v>
      </c>
      <c r="C159" s="395"/>
    </row>
  </sheetData>
  <mergeCells count="107">
    <mergeCell ref="B144:F145"/>
    <mergeCell ref="R144:R146"/>
    <mergeCell ref="S144:X146"/>
    <mergeCell ref="Y144:Z146"/>
    <mergeCell ref="H145:O150"/>
    <mergeCell ref="R147:R150"/>
    <mergeCell ref="S147:X150"/>
    <mergeCell ref="Y147:Z150"/>
    <mergeCell ref="R130:Z130"/>
    <mergeCell ref="Q131:Q135"/>
    <mergeCell ref="R131:Z135"/>
    <mergeCell ref="Q136:Q150"/>
    <mergeCell ref="R136:R139"/>
    <mergeCell ref="S136:X139"/>
    <mergeCell ref="Y136:Z139"/>
    <mergeCell ref="R140:R143"/>
    <mergeCell ref="S140:X143"/>
    <mergeCell ref="Y140:Z143"/>
    <mergeCell ref="B114:F115"/>
    <mergeCell ref="R114:R116"/>
    <mergeCell ref="S114:X116"/>
    <mergeCell ref="Y114:Z116"/>
    <mergeCell ref="H115:O120"/>
    <mergeCell ref="R117:R120"/>
    <mergeCell ref="S117:X120"/>
    <mergeCell ref="Y117:Z120"/>
    <mergeCell ref="R100:Z100"/>
    <mergeCell ref="Q101:Q105"/>
    <mergeCell ref="R101:Z105"/>
    <mergeCell ref="Q106:Q120"/>
    <mergeCell ref="R106:R109"/>
    <mergeCell ref="S106:X109"/>
    <mergeCell ref="Y106:Z109"/>
    <mergeCell ref="R110:R113"/>
    <mergeCell ref="S110:X113"/>
    <mergeCell ref="Y110:Z113"/>
    <mergeCell ref="B84:F85"/>
    <mergeCell ref="R84:R86"/>
    <mergeCell ref="S84:X86"/>
    <mergeCell ref="Y84:Z86"/>
    <mergeCell ref="H85:O90"/>
    <mergeCell ref="R87:R90"/>
    <mergeCell ref="S87:X90"/>
    <mergeCell ref="Y87:Z90"/>
    <mergeCell ref="R70:Z70"/>
    <mergeCell ref="Q71:Q75"/>
    <mergeCell ref="R71:Z75"/>
    <mergeCell ref="Q76:Q90"/>
    <mergeCell ref="R76:R79"/>
    <mergeCell ref="S76:X79"/>
    <mergeCell ref="Y76:Z79"/>
    <mergeCell ref="R80:R83"/>
    <mergeCell ref="S80:X83"/>
    <mergeCell ref="Y80:Z83"/>
    <mergeCell ref="S50:X53"/>
    <mergeCell ref="Y50:Z53"/>
    <mergeCell ref="B54:F55"/>
    <mergeCell ref="R54:R56"/>
    <mergeCell ref="S54:X56"/>
    <mergeCell ref="Y54:Z56"/>
    <mergeCell ref="H55:O60"/>
    <mergeCell ref="R57:R60"/>
    <mergeCell ref="S57:X60"/>
    <mergeCell ref="Y57:Z60"/>
    <mergeCell ref="B24:F25"/>
    <mergeCell ref="H25:O30"/>
    <mergeCell ref="R40:Z40"/>
    <mergeCell ref="C8:H8"/>
    <mergeCell ref="J8:M8"/>
    <mergeCell ref="Q41:Q45"/>
    <mergeCell ref="R41:Z45"/>
    <mergeCell ref="Q46:Q60"/>
    <mergeCell ref="R46:R49"/>
    <mergeCell ref="S46:X49"/>
    <mergeCell ref="Y46:Z49"/>
    <mergeCell ref="R50:R53"/>
    <mergeCell ref="Y20:Z23"/>
    <mergeCell ref="R24:R26"/>
    <mergeCell ref="S24:X26"/>
    <mergeCell ref="Y24:Z26"/>
    <mergeCell ref="R27:R30"/>
    <mergeCell ref="S27:X30"/>
    <mergeCell ref="Y27:Z30"/>
    <mergeCell ref="R10:Z10"/>
    <mergeCell ref="Q11:Q15"/>
    <mergeCell ref="R11:Z15"/>
    <mergeCell ref="Q16:Q30"/>
    <mergeCell ref="R16:R19"/>
    <mergeCell ref="S16:X19"/>
    <mergeCell ref="Y16:Z19"/>
    <mergeCell ref="R20:R23"/>
    <mergeCell ref="S20:X23"/>
    <mergeCell ref="I5:I7"/>
    <mergeCell ref="J5:J6"/>
    <mergeCell ref="K5:K6"/>
    <mergeCell ref="L5:L6"/>
    <mergeCell ref="M5:M6"/>
    <mergeCell ref="N5:N7"/>
    <mergeCell ref="A1:Z1"/>
    <mergeCell ref="A2:Z2"/>
    <mergeCell ref="A4:A8"/>
    <mergeCell ref="B4:B8"/>
    <mergeCell ref="C4:I4"/>
    <mergeCell ref="J4:N4"/>
    <mergeCell ref="O4:O7"/>
    <mergeCell ref="Q4:Z4"/>
    <mergeCell ref="C5:H6"/>
  </mergeCells>
  <pageMargins left="0.39" right="0.28000000000000003" top="0.17" bottom="0.13" header="0.17" footer="0.14000000000000001"/>
  <pageSetup paperSize="5" scale="78" orientation="landscape" horizontalDpi="4294967293" verticalDpi="360" r:id="rId1"/>
  <rowBreaks count="4" manualBreakCount="4">
    <brk id="38" max="25" man="1"/>
    <brk id="68" max="25" man="1"/>
    <brk id="98" max="25" man="1"/>
    <brk id="128" max="25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940C8-C141-4560-9A16-BA500E64DCEA}">
  <sheetPr>
    <tabColor rgb="FFFF0000"/>
  </sheetPr>
  <dimension ref="A1:N463"/>
  <sheetViews>
    <sheetView showGridLines="0" view="pageBreakPreview" topLeftCell="A2" zoomScaleNormal="100" zoomScaleSheetLayoutView="100" workbookViewId="0">
      <selection activeCell="O418" sqref="O418"/>
    </sheetView>
  </sheetViews>
  <sheetFormatPr defaultRowHeight="12.75" x14ac:dyDescent="0.2"/>
  <cols>
    <col min="1" max="1" width="4.7109375" customWidth="1"/>
    <col min="2" max="2" width="27.7109375" customWidth="1"/>
    <col min="3" max="3" width="18.7109375" customWidth="1"/>
    <col min="4" max="4" width="20" customWidth="1"/>
    <col min="5" max="5" width="8.85546875" customWidth="1"/>
    <col min="6" max="6" width="8" customWidth="1"/>
    <col min="7" max="7" width="10.42578125" customWidth="1"/>
    <col min="8" max="8" width="10" customWidth="1"/>
    <col min="9" max="9" width="15.140625" customWidth="1"/>
    <col min="10" max="10" width="9.140625" customWidth="1"/>
    <col min="11" max="11" width="14" customWidth="1"/>
    <col min="12" max="12" width="3.42578125" customWidth="1"/>
    <col min="13" max="13" width="11.42578125" style="17" customWidth="1"/>
    <col min="14" max="14" width="10" customWidth="1"/>
  </cols>
  <sheetData>
    <row r="1" spans="1:14" ht="69.75" customHeight="1" x14ac:dyDescent="0.2"/>
    <row r="2" spans="1:14" ht="15.75" x14ac:dyDescent="0.25">
      <c r="A2" s="437" t="s">
        <v>265</v>
      </c>
      <c r="B2" s="437"/>
      <c r="C2" s="437"/>
      <c r="D2" s="437"/>
      <c r="E2" s="437"/>
      <c r="F2" s="437"/>
      <c r="G2" s="437"/>
      <c r="H2" s="437"/>
      <c r="I2" s="437"/>
      <c r="J2" s="437"/>
      <c r="K2" s="437"/>
    </row>
    <row r="3" spans="1:14" ht="15.75" x14ac:dyDescent="0.25">
      <c r="A3" s="437" t="s">
        <v>266</v>
      </c>
      <c r="B3" s="437"/>
      <c r="C3" s="437"/>
      <c r="D3" s="437"/>
      <c r="E3" s="437"/>
      <c r="F3" s="437"/>
      <c r="G3" s="437"/>
      <c r="H3" s="437"/>
      <c r="I3" s="437"/>
      <c r="J3" s="437"/>
      <c r="K3" s="437"/>
    </row>
    <row r="4" spans="1:14" ht="10.5" customHeight="1" x14ac:dyDescent="0.2">
      <c r="C4" s="71"/>
      <c r="G4" s="1"/>
    </row>
    <row r="5" spans="1:14" ht="15" x14ac:dyDescent="0.25">
      <c r="A5" s="88" t="s">
        <v>267</v>
      </c>
      <c r="B5" s="88"/>
      <c r="C5" s="88"/>
      <c r="D5" s="88"/>
      <c r="E5" s="88"/>
      <c r="F5" s="88"/>
      <c r="G5" s="88"/>
      <c r="H5" s="88"/>
      <c r="I5" s="88"/>
      <c r="J5" s="88"/>
      <c r="K5" s="89"/>
    </row>
    <row r="6" spans="1:14" ht="6" customHeight="1" x14ac:dyDescent="0.2">
      <c r="C6" s="71"/>
      <c r="G6" s="1"/>
    </row>
    <row r="7" spans="1:14" s="1" customFormat="1" ht="30" customHeight="1" x14ac:dyDescent="0.2">
      <c r="A7" s="623" t="s">
        <v>268</v>
      </c>
      <c r="B7" s="623" t="s">
        <v>269</v>
      </c>
      <c r="C7" s="623" t="s">
        <v>270</v>
      </c>
      <c r="D7" s="623" t="s">
        <v>271</v>
      </c>
      <c r="E7" s="623" t="s">
        <v>181</v>
      </c>
      <c r="F7" s="625" t="s">
        <v>272</v>
      </c>
      <c r="G7" s="627" t="s">
        <v>273</v>
      </c>
      <c r="H7" s="628"/>
      <c r="I7" s="415" t="s">
        <v>274</v>
      </c>
      <c r="J7" s="623" t="s">
        <v>275</v>
      </c>
      <c r="K7" s="623" t="s">
        <v>285</v>
      </c>
      <c r="M7" s="629" t="s">
        <v>299</v>
      </c>
      <c r="N7" s="621" t="s">
        <v>300</v>
      </c>
    </row>
    <row r="8" spans="1:14" s="1" customFormat="1" ht="28.5" customHeight="1" x14ac:dyDescent="0.2">
      <c r="A8" s="624"/>
      <c r="B8" s="624"/>
      <c r="C8" s="624"/>
      <c r="D8" s="624"/>
      <c r="E8" s="624"/>
      <c r="F8" s="626"/>
      <c r="G8" s="416" t="s">
        <v>276</v>
      </c>
      <c r="H8" s="430"/>
      <c r="I8" s="416" t="s">
        <v>278</v>
      </c>
      <c r="J8" s="624"/>
      <c r="K8" s="624"/>
      <c r="M8" s="629"/>
      <c r="N8" s="621"/>
    </row>
    <row r="9" spans="1:14" s="224" customFormat="1" ht="21" customHeight="1" x14ac:dyDescent="0.2">
      <c r="A9" s="417">
        <v>1</v>
      </c>
      <c r="B9" s="418"/>
      <c r="C9" s="419"/>
      <c r="D9" s="418"/>
      <c r="E9" s="420"/>
      <c r="F9" s="421"/>
      <c r="G9" s="432">
        <v>70</v>
      </c>
      <c r="H9" s="431"/>
      <c r="I9" s="432">
        <v>210</v>
      </c>
      <c r="J9" s="433">
        <f>SUM(G9:I9)</f>
        <v>280</v>
      </c>
      <c r="K9" s="630" t="str">
        <f>IF(J9&gt;=M9,"L","TL")</f>
        <v>L</v>
      </c>
      <c r="M9" s="631">
        <f>400*70%</f>
        <v>280</v>
      </c>
      <c r="N9" s="435">
        <f>J9/400*100%</f>
        <v>0.7</v>
      </c>
    </row>
    <row r="10" spans="1:14" s="224" customFormat="1" ht="21" customHeight="1" x14ac:dyDescent="0.2">
      <c r="A10" s="417">
        <f>A9+1</f>
        <v>2</v>
      </c>
      <c r="B10" s="418"/>
      <c r="C10" s="419"/>
      <c r="D10" s="418"/>
      <c r="E10" s="420"/>
      <c r="F10" s="421"/>
      <c r="G10" s="422"/>
      <c r="H10" s="431"/>
      <c r="I10" s="422"/>
      <c r="J10" s="433">
        <f t="shared" ref="J10:J48" si="0">SUM(G10:I10)</f>
        <v>0</v>
      </c>
      <c r="K10" s="630" t="str">
        <f t="shared" ref="K10:K48" si="1">IF(J10&gt;=M10,"L","TL")</f>
        <v>TL</v>
      </c>
      <c r="M10" s="436">
        <f t="shared" ref="M10:M48" si="2">400*70%</f>
        <v>280</v>
      </c>
      <c r="N10" s="435">
        <f t="shared" ref="N10:N13" si="3">J10/400*100%</f>
        <v>0</v>
      </c>
    </row>
    <row r="11" spans="1:14" s="224" customFormat="1" ht="21" customHeight="1" x14ac:dyDescent="0.2">
      <c r="A11" s="417">
        <f t="shared" ref="A11:A26" si="4">A10+1</f>
        <v>3</v>
      </c>
      <c r="B11" s="423"/>
      <c r="C11" s="424"/>
      <c r="D11" s="423"/>
      <c r="E11" s="425"/>
      <c r="F11" s="426"/>
      <c r="G11" s="422"/>
      <c r="H11" s="431"/>
      <c r="I11" s="422"/>
      <c r="J11" s="433">
        <f t="shared" si="0"/>
        <v>0</v>
      </c>
      <c r="K11" s="630" t="str">
        <f t="shared" si="1"/>
        <v>TL</v>
      </c>
      <c r="M11" s="436">
        <f t="shared" si="2"/>
        <v>280</v>
      </c>
      <c r="N11" s="435">
        <f t="shared" si="3"/>
        <v>0</v>
      </c>
    </row>
    <row r="12" spans="1:14" s="224" customFormat="1" ht="21" customHeight="1" x14ac:dyDescent="0.2">
      <c r="A12" s="417">
        <f t="shared" si="4"/>
        <v>4</v>
      </c>
      <c r="B12" s="423"/>
      <c r="C12" s="424"/>
      <c r="D12" s="423"/>
      <c r="E12" s="425"/>
      <c r="F12" s="426"/>
      <c r="G12" s="422"/>
      <c r="H12" s="431"/>
      <c r="I12" s="422"/>
      <c r="J12" s="433">
        <f t="shared" si="0"/>
        <v>0</v>
      </c>
      <c r="K12" s="630" t="str">
        <f t="shared" si="1"/>
        <v>TL</v>
      </c>
      <c r="M12" s="436">
        <f t="shared" si="2"/>
        <v>280</v>
      </c>
      <c r="N12" s="435">
        <f t="shared" si="3"/>
        <v>0</v>
      </c>
    </row>
    <row r="13" spans="1:14" s="224" customFormat="1" ht="21" customHeight="1" x14ac:dyDescent="0.2">
      <c r="A13" s="417">
        <f t="shared" si="4"/>
        <v>5</v>
      </c>
      <c r="B13" s="423"/>
      <c r="C13" s="424"/>
      <c r="D13" s="423"/>
      <c r="E13" s="425"/>
      <c r="F13" s="426"/>
      <c r="G13" s="422"/>
      <c r="H13" s="431"/>
      <c r="I13" s="422"/>
      <c r="J13" s="433">
        <f t="shared" si="0"/>
        <v>0</v>
      </c>
      <c r="K13" s="630" t="str">
        <f t="shared" si="1"/>
        <v>TL</v>
      </c>
      <c r="M13" s="436">
        <f t="shared" si="2"/>
        <v>280</v>
      </c>
      <c r="N13" s="435">
        <f t="shared" si="3"/>
        <v>0</v>
      </c>
    </row>
    <row r="14" spans="1:14" s="224" customFormat="1" ht="21" customHeight="1" x14ac:dyDescent="0.2">
      <c r="A14" s="417">
        <f t="shared" si="4"/>
        <v>6</v>
      </c>
      <c r="B14" s="423"/>
      <c r="C14" s="424"/>
      <c r="D14" s="423"/>
      <c r="E14" s="425"/>
      <c r="F14" s="426"/>
      <c r="G14" s="422"/>
      <c r="H14" s="431"/>
      <c r="I14" s="422"/>
      <c r="J14" s="433">
        <f t="shared" si="0"/>
        <v>0</v>
      </c>
      <c r="K14" s="630" t="str">
        <f t="shared" si="1"/>
        <v>TL</v>
      </c>
      <c r="M14" s="436">
        <f t="shared" si="2"/>
        <v>280</v>
      </c>
      <c r="N14" s="435">
        <f t="shared" ref="N14:N48" si="5">J14/400*100%</f>
        <v>0</v>
      </c>
    </row>
    <row r="15" spans="1:14" s="224" customFormat="1" ht="21" customHeight="1" x14ac:dyDescent="0.2">
      <c r="A15" s="417">
        <f t="shared" si="4"/>
        <v>7</v>
      </c>
      <c r="B15" s="423"/>
      <c r="C15" s="424"/>
      <c r="D15" s="423"/>
      <c r="E15" s="425"/>
      <c r="F15" s="426"/>
      <c r="G15" s="422"/>
      <c r="H15" s="431"/>
      <c r="I15" s="422"/>
      <c r="J15" s="433">
        <f t="shared" si="0"/>
        <v>0</v>
      </c>
      <c r="K15" s="630" t="str">
        <f t="shared" si="1"/>
        <v>TL</v>
      </c>
      <c r="M15" s="436">
        <f t="shared" si="2"/>
        <v>280</v>
      </c>
      <c r="N15" s="435">
        <f t="shared" si="5"/>
        <v>0</v>
      </c>
    </row>
    <row r="16" spans="1:14" s="224" customFormat="1" ht="21" customHeight="1" x14ac:dyDescent="0.2">
      <c r="A16" s="417">
        <f t="shared" si="4"/>
        <v>8</v>
      </c>
      <c r="B16" s="423"/>
      <c r="C16" s="424"/>
      <c r="D16" s="423"/>
      <c r="E16" s="425"/>
      <c r="F16" s="426"/>
      <c r="G16" s="422"/>
      <c r="H16" s="431"/>
      <c r="I16" s="422"/>
      <c r="J16" s="433">
        <f t="shared" si="0"/>
        <v>0</v>
      </c>
      <c r="K16" s="630" t="str">
        <f t="shared" si="1"/>
        <v>TL</v>
      </c>
      <c r="M16" s="436">
        <f t="shared" si="2"/>
        <v>280</v>
      </c>
      <c r="N16" s="435">
        <f t="shared" si="5"/>
        <v>0</v>
      </c>
    </row>
    <row r="17" spans="1:14" s="224" customFormat="1" ht="21" customHeight="1" x14ac:dyDescent="0.2">
      <c r="A17" s="417">
        <f t="shared" si="4"/>
        <v>9</v>
      </c>
      <c r="B17" s="423"/>
      <c r="C17" s="424"/>
      <c r="D17" s="423"/>
      <c r="E17" s="425"/>
      <c r="F17" s="426"/>
      <c r="G17" s="422"/>
      <c r="H17" s="431"/>
      <c r="I17" s="422"/>
      <c r="J17" s="433">
        <f t="shared" si="0"/>
        <v>0</v>
      </c>
      <c r="K17" s="630" t="str">
        <f t="shared" si="1"/>
        <v>TL</v>
      </c>
      <c r="M17" s="436">
        <f t="shared" si="2"/>
        <v>280</v>
      </c>
      <c r="N17" s="435">
        <f t="shared" si="5"/>
        <v>0</v>
      </c>
    </row>
    <row r="18" spans="1:14" s="224" customFormat="1" ht="21" customHeight="1" x14ac:dyDescent="0.2">
      <c r="A18" s="417">
        <f t="shared" si="4"/>
        <v>10</v>
      </c>
      <c r="B18" s="423"/>
      <c r="C18" s="424"/>
      <c r="D18" s="423"/>
      <c r="E18" s="425"/>
      <c r="F18" s="426"/>
      <c r="G18" s="422"/>
      <c r="H18" s="431"/>
      <c r="I18" s="422"/>
      <c r="J18" s="433">
        <f t="shared" si="0"/>
        <v>0</v>
      </c>
      <c r="K18" s="630" t="str">
        <f t="shared" si="1"/>
        <v>TL</v>
      </c>
      <c r="M18" s="436">
        <f t="shared" si="2"/>
        <v>280</v>
      </c>
      <c r="N18" s="435">
        <f t="shared" si="5"/>
        <v>0</v>
      </c>
    </row>
    <row r="19" spans="1:14" s="224" customFormat="1" ht="21" customHeight="1" x14ac:dyDescent="0.2">
      <c r="A19" s="417">
        <f t="shared" si="4"/>
        <v>11</v>
      </c>
      <c r="B19" s="423"/>
      <c r="C19" s="424"/>
      <c r="D19" s="423"/>
      <c r="E19" s="425"/>
      <c r="F19" s="426"/>
      <c r="G19" s="422"/>
      <c r="H19" s="431"/>
      <c r="I19" s="422"/>
      <c r="J19" s="433">
        <f t="shared" si="0"/>
        <v>0</v>
      </c>
      <c r="K19" s="630" t="str">
        <f t="shared" si="1"/>
        <v>TL</v>
      </c>
      <c r="M19" s="436">
        <f t="shared" si="2"/>
        <v>280</v>
      </c>
      <c r="N19" s="435">
        <f t="shared" si="5"/>
        <v>0</v>
      </c>
    </row>
    <row r="20" spans="1:14" s="224" customFormat="1" ht="21" customHeight="1" x14ac:dyDescent="0.2">
      <c r="A20" s="417">
        <f t="shared" si="4"/>
        <v>12</v>
      </c>
      <c r="B20" s="423"/>
      <c r="C20" s="424"/>
      <c r="D20" s="423"/>
      <c r="E20" s="425"/>
      <c r="F20" s="426"/>
      <c r="G20" s="422"/>
      <c r="H20" s="431"/>
      <c r="I20" s="422"/>
      <c r="J20" s="433">
        <f t="shared" si="0"/>
        <v>0</v>
      </c>
      <c r="K20" s="630" t="str">
        <f t="shared" si="1"/>
        <v>TL</v>
      </c>
      <c r="M20" s="436">
        <f t="shared" si="2"/>
        <v>280</v>
      </c>
      <c r="N20" s="435">
        <f t="shared" si="5"/>
        <v>0</v>
      </c>
    </row>
    <row r="21" spans="1:14" s="224" customFormat="1" ht="21" customHeight="1" x14ac:dyDescent="0.2">
      <c r="A21" s="417">
        <f t="shared" si="4"/>
        <v>13</v>
      </c>
      <c r="B21" s="423"/>
      <c r="C21" s="424"/>
      <c r="D21" s="423"/>
      <c r="E21" s="425"/>
      <c r="F21" s="426"/>
      <c r="G21" s="422"/>
      <c r="H21" s="431"/>
      <c r="I21" s="422"/>
      <c r="J21" s="433">
        <f t="shared" si="0"/>
        <v>0</v>
      </c>
      <c r="K21" s="630" t="str">
        <f t="shared" si="1"/>
        <v>TL</v>
      </c>
      <c r="M21" s="436">
        <f t="shared" si="2"/>
        <v>280</v>
      </c>
      <c r="N21" s="435">
        <f t="shared" si="5"/>
        <v>0</v>
      </c>
    </row>
    <row r="22" spans="1:14" s="224" customFormat="1" ht="21" customHeight="1" x14ac:dyDescent="0.2">
      <c r="A22" s="417">
        <f t="shared" si="4"/>
        <v>14</v>
      </c>
      <c r="B22" s="423"/>
      <c r="C22" s="424"/>
      <c r="D22" s="423"/>
      <c r="E22" s="425"/>
      <c r="F22" s="426"/>
      <c r="G22" s="422"/>
      <c r="H22" s="431"/>
      <c r="I22" s="422"/>
      <c r="J22" s="433">
        <f t="shared" si="0"/>
        <v>0</v>
      </c>
      <c r="K22" s="630" t="str">
        <f t="shared" si="1"/>
        <v>TL</v>
      </c>
      <c r="M22" s="436">
        <f t="shared" si="2"/>
        <v>280</v>
      </c>
      <c r="N22" s="435">
        <f t="shared" si="5"/>
        <v>0</v>
      </c>
    </row>
    <row r="23" spans="1:14" s="224" customFormat="1" ht="21" customHeight="1" x14ac:dyDescent="0.2">
      <c r="A23" s="417">
        <f t="shared" si="4"/>
        <v>15</v>
      </c>
      <c r="B23" s="423"/>
      <c r="C23" s="424"/>
      <c r="D23" s="423"/>
      <c r="E23" s="425"/>
      <c r="F23" s="426"/>
      <c r="G23" s="422"/>
      <c r="H23" s="431"/>
      <c r="I23" s="422"/>
      <c r="J23" s="433">
        <f t="shared" si="0"/>
        <v>0</v>
      </c>
      <c r="K23" s="630" t="str">
        <f t="shared" si="1"/>
        <v>TL</v>
      </c>
      <c r="M23" s="436">
        <f t="shared" si="2"/>
        <v>280</v>
      </c>
      <c r="N23" s="435">
        <f t="shared" si="5"/>
        <v>0</v>
      </c>
    </row>
    <row r="24" spans="1:14" s="224" customFormat="1" ht="21" customHeight="1" x14ac:dyDescent="0.2">
      <c r="A24" s="417">
        <f t="shared" si="4"/>
        <v>16</v>
      </c>
      <c r="B24" s="423"/>
      <c r="C24" s="424"/>
      <c r="D24" s="423"/>
      <c r="E24" s="425"/>
      <c r="F24" s="426"/>
      <c r="G24" s="422"/>
      <c r="H24" s="431"/>
      <c r="I24" s="422"/>
      <c r="J24" s="433">
        <f t="shared" si="0"/>
        <v>0</v>
      </c>
      <c r="K24" s="630" t="str">
        <f t="shared" si="1"/>
        <v>TL</v>
      </c>
      <c r="M24" s="436">
        <f t="shared" si="2"/>
        <v>280</v>
      </c>
      <c r="N24" s="435">
        <f t="shared" si="5"/>
        <v>0</v>
      </c>
    </row>
    <row r="25" spans="1:14" s="224" customFormat="1" ht="21" customHeight="1" x14ac:dyDescent="0.2">
      <c r="A25" s="417">
        <f t="shared" si="4"/>
        <v>17</v>
      </c>
      <c r="B25" s="423"/>
      <c r="C25" s="424"/>
      <c r="D25" s="423"/>
      <c r="E25" s="425"/>
      <c r="F25" s="426"/>
      <c r="G25" s="422"/>
      <c r="H25" s="431"/>
      <c r="I25" s="422"/>
      <c r="J25" s="433">
        <f t="shared" si="0"/>
        <v>0</v>
      </c>
      <c r="K25" s="630" t="str">
        <f t="shared" si="1"/>
        <v>TL</v>
      </c>
      <c r="M25" s="436">
        <f t="shared" si="2"/>
        <v>280</v>
      </c>
      <c r="N25" s="435">
        <f t="shared" si="5"/>
        <v>0</v>
      </c>
    </row>
    <row r="26" spans="1:14" s="224" customFormat="1" ht="21" customHeight="1" x14ac:dyDescent="0.2">
      <c r="A26" s="417">
        <f t="shared" si="4"/>
        <v>18</v>
      </c>
      <c r="B26" s="423"/>
      <c r="C26" s="424"/>
      <c r="D26" s="423"/>
      <c r="E26" s="425"/>
      <c r="F26" s="426"/>
      <c r="G26" s="422"/>
      <c r="H26" s="431"/>
      <c r="I26" s="422"/>
      <c r="J26" s="433">
        <f t="shared" si="0"/>
        <v>0</v>
      </c>
      <c r="K26" s="630" t="str">
        <f t="shared" si="1"/>
        <v>TL</v>
      </c>
      <c r="M26" s="436">
        <f t="shared" si="2"/>
        <v>280</v>
      </c>
      <c r="N26" s="435">
        <f t="shared" si="5"/>
        <v>0</v>
      </c>
    </row>
    <row r="27" spans="1:14" s="224" customFormat="1" ht="21" customHeight="1" x14ac:dyDescent="0.2">
      <c r="A27" s="417">
        <f>A26+1</f>
        <v>19</v>
      </c>
      <c r="B27" s="423"/>
      <c r="C27" s="424"/>
      <c r="D27" s="423"/>
      <c r="E27" s="425"/>
      <c r="F27" s="426"/>
      <c r="G27" s="422"/>
      <c r="H27" s="431"/>
      <c r="I27" s="422"/>
      <c r="J27" s="433">
        <f t="shared" si="0"/>
        <v>0</v>
      </c>
      <c r="K27" s="630" t="str">
        <f t="shared" si="1"/>
        <v>TL</v>
      </c>
      <c r="M27" s="436">
        <f t="shared" si="2"/>
        <v>280</v>
      </c>
      <c r="N27" s="435">
        <f t="shared" si="5"/>
        <v>0</v>
      </c>
    </row>
    <row r="28" spans="1:14" s="224" customFormat="1" ht="21" customHeight="1" x14ac:dyDescent="0.2">
      <c r="A28" s="417">
        <f t="shared" ref="A28:A48" si="6">A27+1</f>
        <v>20</v>
      </c>
      <c r="B28" s="423"/>
      <c r="C28" s="424"/>
      <c r="D28" s="423"/>
      <c r="E28" s="425"/>
      <c r="F28" s="426"/>
      <c r="G28" s="422"/>
      <c r="H28" s="431"/>
      <c r="I28" s="422"/>
      <c r="J28" s="433">
        <f t="shared" si="0"/>
        <v>0</v>
      </c>
      <c r="K28" s="630" t="str">
        <f t="shared" si="1"/>
        <v>TL</v>
      </c>
      <c r="M28" s="436">
        <f t="shared" si="2"/>
        <v>280</v>
      </c>
      <c r="N28" s="435">
        <f t="shared" si="5"/>
        <v>0</v>
      </c>
    </row>
    <row r="29" spans="1:14" s="224" customFormat="1" ht="21" customHeight="1" x14ac:dyDescent="0.2">
      <c r="A29" s="417">
        <f t="shared" si="6"/>
        <v>21</v>
      </c>
      <c r="B29" s="423"/>
      <c r="C29" s="424"/>
      <c r="D29" s="423"/>
      <c r="E29" s="425"/>
      <c r="F29" s="426"/>
      <c r="G29" s="422"/>
      <c r="H29" s="431"/>
      <c r="I29" s="422"/>
      <c r="J29" s="433">
        <f t="shared" si="0"/>
        <v>0</v>
      </c>
      <c r="K29" s="630" t="str">
        <f t="shared" si="1"/>
        <v>TL</v>
      </c>
      <c r="M29" s="436">
        <f t="shared" si="2"/>
        <v>280</v>
      </c>
      <c r="N29" s="435">
        <f t="shared" si="5"/>
        <v>0</v>
      </c>
    </row>
    <row r="30" spans="1:14" s="224" customFormat="1" ht="21" customHeight="1" x14ac:dyDescent="0.2">
      <c r="A30" s="417">
        <f t="shared" si="6"/>
        <v>22</v>
      </c>
      <c r="B30" s="423"/>
      <c r="C30" s="424"/>
      <c r="D30" s="423"/>
      <c r="E30" s="425"/>
      <c r="F30" s="426"/>
      <c r="G30" s="422"/>
      <c r="H30" s="431"/>
      <c r="I30" s="422"/>
      <c r="J30" s="433">
        <f t="shared" si="0"/>
        <v>0</v>
      </c>
      <c r="K30" s="630" t="str">
        <f t="shared" si="1"/>
        <v>TL</v>
      </c>
      <c r="M30" s="436">
        <f t="shared" si="2"/>
        <v>280</v>
      </c>
      <c r="N30" s="435">
        <f t="shared" si="5"/>
        <v>0</v>
      </c>
    </row>
    <row r="31" spans="1:14" s="224" customFormat="1" ht="21" customHeight="1" x14ac:dyDescent="0.2">
      <c r="A31" s="417">
        <f t="shared" si="6"/>
        <v>23</v>
      </c>
      <c r="B31" s="423"/>
      <c r="C31" s="424"/>
      <c r="D31" s="423"/>
      <c r="E31" s="425"/>
      <c r="F31" s="426"/>
      <c r="G31" s="422"/>
      <c r="H31" s="431"/>
      <c r="I31" s="422"/>
      <c r="J31" s="433">
        <f t="shared" si="0"/>
        <v>0</v>
      </c>
      <c r="K31" s="630" t="str">
        <f t="shared" si="1"/>
        <v>TL</v>
      </c>
      <c r="M31" s="436">
        <f t="shared" si="2"/>
        <v>280</v>
      </c>
      <c r="N31" s="435">
        <f t="shared" si="5"/>
        <v>0</v>
      </c>
    </row>
    <row r="32" spans="1:14" s="224" customFormat="1" ht="21" customHeight="1" x14ac:dyDescent="0.2">
      <c r="A32" s="417">
        <f t="shared" si="6"/>
        <v>24</v>
      </c>
      <c r="B32" s="423"/>
      <c r="C32" s="424"/>
      <c r="D32" s="423"/>
      <c r="E32" s="425"/>
      <c r="F32" s="426"/>
      <c r="G32" s="422"/>
      <c r="H32" s="431"/>
      <c r="I32" s="422"/>
      <c r="J32" s="433">
        <f t="shared" si="0"/>
        <v>0</v>
      </c>
      <c r="K32" s="630" t="str">
        <f t="shared" si="1"/>
        <v>TL</v>
      </c>
      <c r="M32" s="436">
        <f t="shared" si="2"/>
        <v>280</v>
      </c>
      <c r="N32" s="435">
        <f t="shared" si="5"/>
        <v>0</v>
      </c>
    </row>
    <row r="33" spans="1:14" s="224" customFormat="1" ht="21" customHeight="1" x14ac:dyDescent="0.2">
      <c r="A33" s="417">
        <f t="shared" si="6"/>
        <v>25</v>
      </c>
      <c r="B33" s="423"/>
      <c r="C33" s="424"/>
      <c r="D33" s="423"/>
      <c r="E33" s="425"/>
      <c r="F33" s="426"/>
      <c r="G33" s="422"/>
      <c r="H33" s="431"/>
      <c r="I33" s="422"/>
      <c r="J33" s="433">
        <f t="shared" si="0"/>
        <v>0</v>
      </c>
      <c r="K33" s="630" t="str">
        <f t="shared" si="1"/>
        <v>TL</v>
      </c>
      <c r="M33" s="436">
        <f t="shared" si="2"/>
        <v>280</v>
      </c>
      <c r="N33" s="435">
        <f t="shared" si="5"/>
        <v>0</v>
      </c>
    </row>
    <row r="34" spans="1:14" s="224" customFormat="1" ht="21" customHeight="1" x14ac:dyDescent="0.2">
      <c r="A34" s="417">
        <f t="shared" si="6"/>
        <v>26</v>
      </c>
      <c r="B34" s="423"/>
      <c r="C34" s="424"/>
      <c r="D34" s="423"/>
      <c r="E34" s="425"/>
      <c r="F34" s="426"/>
      <c r="G34" s="422"/>
      <c r="H34" s="431"/>
      <c r="I34" s="422"/>
      <c r="J34" s="433">
        <f t="shared" si="0"/>
        <v>0</v>
      </c>
      <c r="K34" s="630" t="str">
        <f t="shared" si="1"/>
        <v>TL</v>
      </c>
      <c r="M34" s="436">
        <f t="shared" si="2"/>
        <v>280</v>
      </c>
      <c r="N34" s="435">
        <f t="shared" si="5"/>
        <v>0</v>
      </c>
    </row>
    <row r="35" spans="1:14" s="224" customFormat="1" ht="21" customHeight="1" x14ac:dyDescent="0.2">
      <c r="A35" s="417">
        <f t="shared" si="6"/>
        <v>27</v>
      </c>
      <c r="B35" s="423"/>
      <c r="C35" s="424"/>
      <c r="D35" s="423"/>
      <c r="E35" s="425"/>
      <c r="F35" s="426"/>
      <c r="G35" s="422"/>
      <c r="H35" s="431"/>
      <c r="I35" s="422"/>
      <c r="J35" s="433">
        <f t="shared" si="0"/>
        <v>0</v>
      </c>
      <c r="K35" s="630" t="str">
        <f t="shared" si="1"/>
        <v>TL</v>
      </c>
      <c r="M35" s="436">
        <f t="shared" si="2"/>
        <v>280</v>
      </c>
      <c r="N35" s="435">
        <f t="shared" si="5"/>
        <v>0</v>
      </c>
    </row>
    <row r="36" spans="1:14" s="224" customFormat="1" ht="21" customHeight="1" x14ac:dyDescent="0.2">
      <c r="A36" s="417">
        <f t="shared" si="6"/>
        <v>28</v>
      </c>
      <c r="B36" s="423"/>
      <c r="C36" s="424"/>
      <c r="D36" s="423"/>
      <c r="E36" s="425"/>
      <c r="F36" s="426"/>
      <c r="G36" s="422"/>
      <c r="H36" s="431"/>
      <c r="I36" s="422"/>
      <c r="J36" s="433">
        <f t="shared" si="0"/>
        <v>0</v>
      </c>
      <c r="K36" s="630" t="str">
        <f t="shared" si="1"/>
        <v>TL</v>
      </c>
      <c r="M36" s="436">
        <f t="shared" si="2"/>
        <v>280</v>
      </c>
      <c r="N36" s="435">
        <f t="shared" si="5"/>
        <v>0</v>
      </c>
    </row>
    <row r="37" spans="1:14" s="224" customFormat="1" ht="21" customHeight="1" x14ac:dyDescent="0.2">
      <c r="A37" s="417">
        <f t="shared" si="6"/>
        <v>29</v>
      </c>
      <c r="B37" s="423"/>
      <c r="C37" s="424"/>
      <c r="D37" s="423"/>
      <c r="E37" s="425"/>
      <c r="F37" s="426"/>
      <c r="G37" s="422"/>
      <c r="H37" s="431"/>
      <c r="I37" s="422"/>
      <c r="J37" s="433">
        <f t="shared" si="0"/>
        <v>0</v>
      </c>
      <c r="K37" s="630" t="str">
        <f t="shared" si="1"/>
        <v>TL</v>
      </c>
      <c r="M37" s="436">
        <f t="shared" si="2"/>
        <v>280</v>
      </c>
      <c r="N37" s="435">
        <f t="shared" si="5"/>
        <v>0</v>
      </c>
    </row>
    <row r="38" spans="1:14" s="224" customFormat="1" ht="21" customHeight="1" x14ac:dyDescent="0.2">
      <c r="A38" s="417">
        <f t="shared" si="6"/>
        <v>30</v>
      </c>
      <c r="B38" s="423"/>
      <c r="C38" s="424"/>
      <c r="D38" s="423"/>
      <c r="E38" s="425"/>
      <c r="F38" s="426"/>
      <c r="G38" s="422"/>
      <c r="H38" s="431"/>
      <c r="I38" s="422"/>
      <c r="J38" s="433">
        <f t="shared" si="0"/>
        <v>0</v>
      </c>
      <c r="K38" s="630" t="str">
        <f t="shared" si="1"/>
        <v>TL</v>
      </c>
      <c r="M38" s="436">
        <f t="shared" si="2"/>
        <v>280</v>
      </c>
      <c r="N38" s="435">
        <f t="shared" si="5"/>
        <v>0</v>
      </c>
    </row>
    <row r="39" spans="1:14" s="224" customFormat="1" ht="21" customHeight="1" x14ac:dyDescent="0.2">
      <c r="A39" s="417">
        <f t="shared" si="6"/>
        <v>31</v>
      </c>
      <c r="B39" s="423"/>
      <c r="C39" s="424"/>
      <c r="D39" s="423"/>
      <c r="E39" s="425"/>
      <c r="F39" s="426"/>
      <c r="G39" s="422"/>
      <c r="H39" s="431"/>
      <c r="I39" s="422"/>
      <c r="J39" s="433">
        <f t="shared" si="0"/>
        <v>0</v>
      </c>
      <c r="K39" s="630" t="str">
        <f t="shared" si="1"/>
        <v>TL</v>
      </c>
      <c r="M39" s="436">
        <f t="shared" si="2"/>
        <v>280</v>
      </c>
      <c r="N39" s="435">
        <f t="shared" si="5"/>
        <v>0</v>
      </c>
    </row>
    <row r="40" spans="1:14" s="224" customFormat="1" ht="21" customHeight="1" x14ac:dyDescent="0.2">
      <c r="A40" s="417">
        <f t="shared" si="6"/>
        <v>32</v>
      </c>
      <c r="B40" s="423"/>
      <c r="C40" s="424"/>
      <c r="D40" s="423"/>
      <c r="E40" s="425"/>
      <c r="F40" s="426"/>
      <c r="G40" s="422"/>
      <c r="H40" s="431"/>
      <c r="I40" s="422"/>
      <c r="J40" s="433">
        <f t="shared" si="0"/>
        <v>0</v>
      </c>
      <c r="K40" s="630" t="str">
        <f t="shared" si="1"/>
        <v>TL</v>
      </c>
      <c r="M40" s="436">
        <f t="shared" si="2"/>
        <v>280</v>
      </c>
      <c r="N40" s="435">
        <f t="shared" si="5"/>
        <v>0</v>
      </c>
    </row>
    <row r="41" spans="1:14" s="224" customFormat="1" ht="21" customHeight="1" x14ac:dyDescent="0.2">
      <c r="A41" s="417">
        <f t="shared" si="6"/>
        <v>33</v>
      </c>
      <c r="B41" s="423"/>
      <c r="C41" s="424"/>
      <c r="D41" s="423"/>
      <c r="E41" s="425"/>
      <c r="F41" s="426"/>
      <c r="G41" s="422"/>
      <c r="H41" s="431"/>
      <c r="I41" s="422"/>
      <c r="J41" s="433">
        <f t="shared" si="0"/>
        <v>0</v>
      </c>
      <c r="K41" s="630" t="str">
        <f t="shared" si="1"/>
        <v>TL</v>
      </c>
      <c r="M41" s="436">
        <f t="shared" si="2"/>
        <v>280</v>
      </c>
      <c r="N41" s="435">
        <f t="shared" si="5"/>
        <v>0</v>
      </c>
    </row>
    <row r="42" spans="1:14" s="224" customFormat="1" ht="21" customHeight="1" x14ac:dyDescent="0.2">
      <c r="A42" s="417">
        <f t="shared" si="6"/>
        <v>34</v>
      </c>
      <c r="B42" s="423"/>
      <c r="C42" s="424"/>
      <c r="D42" s="423"/>
      <c r="E42" s="425"/>
      <c r="F42" s="426"/>
      <c r="G42" s="422"/>
      <c r="H42" s="431"/>
      <c r="I42" s="422"/>
      <c r="J42" s="433">
        <f t="shared" si="0"/>
        <v>0</v>
      </c>
      <c r="K42" s="630" t="str">
        <f t="shared" si="1"/>
        <v>TL</v>
      </c>
      <c r="M42" s="436">
        <f t="shared" si="2"/>
        <v>280</v>
      </c>
      <c r="N42" s="435">
        <f t="shared" si="5"/>
        <v>0</v>
      </c>
    </row>
    <row r="43" spans="1:14" s="224" customFormat="1" ht="21" customHeight="1" x14ac:dyDescent="0.2">
      <c r="A43" s="417">
        <f t="shared" si="6"/>
        <v>35</v>
      </c>
      <c r="B43" s="423"/>
      <c r="C43" s="424"/>
      <c r="D43" s="423"/>
      <c r="E43" s="425"/>
      <c r="F43" s="426"/>
      <c r="G43" s="422"/>
      <c r="H43" s="431"/>
      <c r="I43" s="422"/>
      <c r="J43" s="433">
        <f t="shared" si="0"/>
        <v>0</v>
      </c>
      <c r="K43" s="630" t="str">
        <f t="shared" si="1"/>
        <v>TL</v>
      </c>
      <c r="M43" s="436">
        <f t="shared" si="2"/>
        <v>280</v>
      </c>
      <c r="N43" s="435">
        <f t="shared" si="5"/>
        <v>0</v>
      </c>
    </row>
    <row r="44" spans="1:14" s="224" customFormat="1" ht="21" customHeight="1" x14ac:dyDescent="0.2">
      <c r="A44" s="417">
        <f t="shared" si="6"/>
        <v>36</v>
      </c>
      <c r="B44" s="423"/>
      <c r="C44" s="424"/>
      <c r="D44" s="423"/>
      <c r="E44" s="425"/>
      <c r="F44" s="426"/>
      <c r="G44" s="422"/>
      <c r="H44" s="431"/>
      <c r="I44" s="422"/>
      <c r="J44" s="433">
        <f t="shared" si="0"/>
        <v>0</v>
      </c>
      <c r="K44" s="630" t="str">
        <f t="shared" si="1"/>
        <v>TL</v>
      </c>
      <c r="M44" s="436">
        <f t="shared" si="2"/>
        <v>280</v>
      </c>
      <c r="N44" s="435">
        <f t="shared" si="5"/>
        <v>0</v>
      </c>
    </row>
    <row r="45" spans="1:14" s="224" customFormat="1" ht="21" customHeight="1" x14ac:dyDescent="0.2">
      <c r="A45" s="417">
        <f t="shared" si="6"/>
        <v>37</v>
      </c>
      <c r="B45" s="423"/>
      <c r="C45" s="424"/>
      <c r="D45" s="423"/>
      <c r="E45" s="425"/>
      <c r="F45" s="426"/>
      <c r="G45" s="422"/>
      <c r="H45" s="431"/>
      <c r="I45" s="422"/>
      <c r="J45" s="433">
        <f t="shared" si="0"/>
        <v>0</v>
      </c>
      <c r="K45" s="630" t="str">
        <f t="shared" si="1"/>
        <v>TL</v>
      </c>
      <c r="M45" s="436">
        <f t="shared" si="2"/>
        <v>280</v>
      </c>
      <c r="N45" s="435">
        <f t="shared" si="5"/>
        <v>0</v>
      </c>
    </row>
    <row r="46" spans="1:14" s="224" customFormat="1" ht="21" customHeight="1" x14ac:dyDescent="0.2">
      <c r="A46" s="417">
        <f t="shared" si="6"/>
        <v>38</v>
      </c>
      <c r="B46" s="423"/>
      <c r="C46" s="424"/>
      <c r="D46" s="423"/>
      <c r="E46" s="425"/>
      <c r="F46" s="426"/>
      <c r="G46" s="422"/>
      <c r="H46" s="431"/>
      <c r="I46" s="422"/>
      <c r="J46" s="433">
        <f t="shared" si="0"/>
        <v>0</v>
      </c>
      <c r="K46" s="630" t="str">
        <f t="shared" si="1"/>
        <v>TL</v>
      </c>
      <c r="M46" s="436">
        <f t="shared" si="2"/>
        <v>280</v>
      </c>
      <c r="N46" s="435">
        <f t="shared" si="5"/>
        <v>0</v>
      </c>
    </row>
    <row r="47" spans="1:14" s="224" customFormat="1" ht="21" customHeight="1" x14ac:dyDescent="0.2">
      <c r="A47" s="417">
        <f t="shared" si="6"/>
        <v>39</v>
      </c>
      <c r="B47" s="423"/>
      <c r="C47" s="424"/>
      <c r="D47" s="423"/>
      <c r="E47" s="425"/>
      <c r="F47" s="426"/>
      <c r="G47" s="422"/>
      <c r="H47" s="431"/>
      <c r="I47" s="422"/>
      <c r="J47" s="433">
        <f t="shared" si="0"/>
        <v>0</v>
      </c>
      <c r="K47" s="630" t="str">
        <f t="shared" si="1"/>
        <v>TL</v>
      </c>
      <c r="M47" s="436">
        <f t="shared" si="2"/>
        <v>280</v>
      </c>
      <c r="N47" s="435">
        <f t="shared" si="5"/>
        <v>0</v>
      </c>
    </row>
    <row r="48" spans="1:14" s="224" customFormat="1" ht="21" customHeight="1" x14ac:dyDescent="0.2">
      <c r="A48" s="417">
        <f t="shared" si="6"/>
        <v>40</v>
      </c>
      <c r="B48" s="423"/>
      <c r="C48" s="424"/>
      <c r="D48" s="423"/>
      <c r="E48" s="425"/>
      <c r="F48" s="426"/>
      <c r="G48" s="422"/>
      <c r="H48" s="431"/>
      <c r="I48" s="422"/>
      <c r="J48" s="433">
        <f t="shared" si="0"/>
        <v>0</v>
      </c>
      <c r="K48" s="630" t="str">
        <f t="shared" si="1"/>
        <v>TL</v>
      </c>
      <c r="M48" s="436">
        <f t="shared" si="2"/>
        <v>280</v>
      </c>
      <c r="N48" s="435">
        <f t="shared" si="5"/>
        <v>0</v>
      </c>
    </row>
    <row r="49" spans="1:14" ht="15" x14ac:dyDescent="0.2">
      <c r="C49" s="71"/>
      <c r="G49" s="427"/>
      <c r="H49" s="427"/>
      <c r="I49" s="427"/>
      <c r="J49" s="428"/>
      <c r="K49" s="429"/>
    </row>
    <row r="50" spans="1:14" x14ac:dyDescent="0.2">
      <c r="A50" s="238" t="s">
        <v>279</v>
      </c>
      <c r="C50" s="135"/>
      <c r="E50" s="1" t="s">
        <v>280</v>
      </c>
      <c r="F50" s="1"/>
      <c r="I50" s="238" t="s">
        <v>281</v>
      </c>
    </row>
    <row r="51" spans="1:14" ht="19.5" customHeight="1" x14ac:dyDescent="0.2">
      <c r="A51" s="528" t="s">
        <v>286</v>
      </c>
      <c r="B51" s="528"/>
      <c r="C51" s="528"/>
      <c r="D51" s="528"/>
      <c r="E51" s="1"/>
      <c r="F51" s="1"/>
      <c r="I51" s="135"/>
    </row>
    <row r="52" spans="1:14" ht="17.25" customHeight="1" x14ac:dyDescent="0.2">
      <c r="A52" s="622" t="s">
        <v>287</v>
      </c>
      <c r="B52" s="622"/>
      <c r="C52" s="622"/>
      <c r="D52" s="622"/>
      <c r="E52" s="1"/>
      <c r="F52" s="1"/>
    </row>
    <row r="53" spans="1:14" ht="19.5" customHeight="1" x14ac:dyDescent="0.2">
      <c r="A53" s="622" t="s">
        <v>288</v>
      </c>
      <c r="B53" s="622"/>
      <c r="C53" s="622"/>
      <c r="D53" s="622"/>
      <c r="E53" s="238" t="s">
        <v>282</v>
      </c>
      <c r="F53" s="1"/>
      <c r="I53" s="135" t="s">
        <v>289</v>
      </c>
    </row>
    <row r="54" spans="1:14" ht="15.75" customHeight="1" x14ac:dyDescent="0.2">
      <c r="C54" s="71"/>
      <c r="E54" s="17" t="s">
        <v>283</v>
      </c>
      <c r="F54" s="1"/>
      <c r="I54" s="17" t="s">
        <v>283</v>
      </c>
    </row>
    <row r="55" spans="1:14" ht="15.75" customHeight="1" x14ac:dyDescent="0.2">
      <c r="C55" s="71"/>
      <c r="E55" s="17" t="s">
        <v>284</v>
      </c>
      <c r="F55" s="1"/>
      <c r="I55" s="17" t="s">
        <v>284</v>
      </c>
    </row>
    <row r="56" spans="1:14" ht="15" x14ac:dyDescent="0.25">
      <c r="A56" s="88" t="s">
        <v>290</v>
      </c>
      <c r="B56" s="88"/>
      <c r="C56" s="88"/>
      <c r="D56" s="88"/>
      <c r="E56" s="88"/>
      <c r="F56" s="88"/>
      <c r="G56" s="88"/>
      <c r="H56" s="88"/>
      <c r="I56" s="88"/>
      <c r="J56" s="88"/>
      <c r="K56" s="89"/>
    </row>
    <row r="57" spans="1:14" ht="6" customHeight="1" x14ac:dyDescent="0.2">
      <c r="C57" s="71"/>
      <c r="G57" s="1"/>
    </row>
    <row r="58" spans="1:14" s="1" customFormat="1" ht="30" customHeight="1" x14ac:dyDescent="0.2">
      <c r="A58" s="623" t="s">
        <v>268</v>
      </c>
      <c r="B58" s="623" t="s">
        <v>269</v>
      </c>
      <c r="C58" s="623" t="s">
        <v>270</v>
      </c>
      <c r="D58" s="623" t="s">
        <v>271</v>
      </c>
      <c r="E58" s="623" t="s">
        <v>181</v>
      </c>
      <c r="F58" s="625" t="s">
        <v>272</v>
      </c>
      <c r="G58" s="627" t="s">
        <v>273</v>
      </c>
      <c r="H58" s="628"/>
      <c r="I58" s="415" t="s">
        <v>274</v>
      </c>
      <c r="J58" s="623" t="s">
        <v>275</v>
      </c>
      <c r="K58" s="623" t="s">
        <v>285</v>
      </c>
      <c r="M58" s="629" t="s">
        <v>299</v>
      </c>
      <c r="N58" s="621" t="s">
        <v>300</v>
      </c>
    </row>
    <row r="59" spans="1:14" s="1" customFormat="1" ht="28.5" customHeight="1" x14ac:dyDescent="0.2">
      <c r="A59" s="624"/>
      <c r="B59" s="624"/>
      <c r="C59" s="624"/>
      <c r="D59" s="624"/>
      <c r="E59" s="624"/>
      <c r="F59" s="626"/>
      <c r="G59" s="416" t="s">
        <v>276</v>
      </c>
      <c r="H59" s="430"/>
      <c r="I59" s="416" t="s">
        <v>278</v>
      </c>
      <c r="J59" s="624"/>
      <c r="K59" s="624"/>
      <c r="M59" s="629"/>
      <c r="N59" s="621"/>
    </row>
    <row r="60" spans="1:14" s="224" customFormat="1" ht="21" customHeight="1" x14ac:dyDescent="0.2">
      <c r="A60" s="417">
        <v>1</v>
      </c>
      <c r="B60" s="418"/>
      <c r="C60" s="419"/>
      <c r="D60" s="418"/>
      <c r="E60" s="420"/>
      <c r="F60" s="421"/>
      <c r="G60" s="432">
        <v>70</v>
      </c>
      <c r="H60" s="431"/>
      <c r="I60" s="432">
        <v>210</v>
      </c>
      <c r="J60" s="433">
        <f>SUM(G60:I60)</f>
        <v>280</v>
      </c>
      <c r="K60" s="630" t="str">
        <f>IF(J60&gt;=M60,"L","TL")</f>
        <v>L</v>
      </c>
      <c r="M60" s="436">
        <f>400*70%</f>
        <v>280</v>
      </c>
      <c r="N60" s="435">
        <f>J60/400*100%</f>
        <v>0.7</v>
      </c>
    </row>
    <row r="61" spans="1:14" s="224" customFormat="1" ht="21" customHeight="1" x14ac:dyDescent="0.2">
      <c r="A61" s="417">
        <f>A60+1</f>
        <v>2</v>
      </c>
      <c r="B61" s="418"/>
      <c r="C61" s="419"/>
      <c r="D61" s="418"/>
      <c r="E61" s="420"/>
      <c r="F61" s="421"/>
      <c r="G61" s="422"/>
      <c r="H61" s="431"/>
      <c r="I61" s="422"/>
      <c r="J61" s="433">
        <f t="shared" ref="J61:J99" si="7">SUM(G61:I61)</f>
        <v>0</v>
      </c>
      <c r="K61" s="630" t="str">
        <f>IF(J61&gt;=M61,"L","TL")</f>
        <v>TL</v>
      </c>
      <c r="M61" s="436">
        <f t="shared" ref="M61:M99" si="8">400*70%</f>
        <v>280</v>
      </c>
      <c r="N61" s="435">
        <f t="shared" ref="N61:N99" si="9">J61/400*100%</f>
        <v>0</v>
      </c>
    </row>
    <row r="62" spans="1:14" s="224" customFormat="1" ht="21" customHeight="1" x14ac:dyDescent="0.2">
      <c r="A62" s="417">
        <f t="shared" ref="A62:A77" si="10">A61+1</f>
        <v>3</v>
      </c>
      <c r="B62" s="423"/>
      <c r="C62" s="424"/>
      <c r="D62" s="423"/>
      <c r="E62" s="425"/>
      <c r="F62" s="426"/>
      <c r="G62" s="422"/>
      <c r="H62" s="431"/>
      <c r="I62" s="422"/>
      <c r="J62" s="433">
        <f t="shared" si="7"/>
        <v>0</v>
      </c>
      <c r="K62" s="630" t="str">
        <f t="shared" ref="K62:K99" si="11">IF(J62&gt;=M62,"L","TL")</f>
        <v>TL</v>
      </c>
      <c r="M62" s="436">
        <f t="shared" si="8"/>
        <v>280</v>
      </c>
      <c r="N62" s="435">
        <f t="shared" si="9"/>
        <v>0</v>
      </c>
    </row>
    <row r="63" spans="1:14" s="224" customFormat="1" ht="21" customHeight="1" x14ac:dyDescent="0.2">
      <c r="A63" s="417">
        <f t="shared" si="10"/>
        <v>4</v>
      </c>
      <c r="B63" s="423"/>
      <c r="C63" s="424"/>
      <c r="D63" s="423"/>
      <c r="E63" s="425"/>
      <c r="F63" s="426"/>
      <c r="G63" s="422"/>
      <c r="H63" s="431"/>
      <c r="I63" s="422"/>
      <c r="J63" s="433">
        <f t="shared" si="7"/>
        <v>0</v>
      </c>
      <c r="K63" s="630" t="str">
        <f t="shared" si="11"/>
        <v>TL</v>
      </c>
      <c r="M63" s="436">
        <f t="shared" si="8"/>
        <v>280</v>
      </c>
      <c r="N63" s="435">
        <f t="shared" si="9"/>
        <v>0</v>
      </c>
    </row>
    <row r="64" spans="1:14" s="224" customFormat="1" ht="21" customHeight="1" x14ac:dyDescent="0.2">
      <c r="A64" s="417">
        <f t="shared" si="10"/>
        <v>5</v>
      </c>
      <c r="B64" s="423"/>
      <c r="C64" s="424"/>
      <c r="D64" s="423"/>
      <c r="E64" s="425"/>
      <c r="F64" s="426"/>
      <c r="G64" s="422"/>
      <c r="H64" s="431"/>
      <c r="I64" s="422"/>
      <c r="J64" s="433">
        <f t="shared" si="7"/>
        <v>0</v>
      </c>
      <c r="K64" s="630" t="str">
        <f t="shared" si="11"/>
        <v>TL</v>
      </c>
      <c r="M64" s="436">
        <f t="shared" si="8"/>
        <v>280</v>
      </c>
      <c r="N64" s="435">
        <f t="shared" si="9"/>
        <v>0</v>
      </c>
    </row>
    <row r="65" spans="1:14" s="224" customFormat="1" ht="21" customHeight="1" x14ac:dyDescent="0.2">
      <c r="A65" s="417">
        <f t="shared" si="10"/>
        <v>6</v>
      </c>
      <c r="B65" s="423"/>
      <c r="C65" s="424"/>
      <c r="D65" s="423"/>
      <c r="E65" s="425"/>
      <c r="F65" s="426"/>
      <c r="G65" s="422"/>
      <c r="H65" s="431"/>
      <c r="I65" s="422"/>
      <c r="J65" s="433">
        <f t="shared" si="7"/>
        <v>0</v>
      </c>
      <c r="K65" s="630" t="str">
        <f t="shared" si="11"/>
        <v>TL</v>
      </c>
      <c r="M65" s="436">
        <f t="shared" si="8"/>
        <v>280</v>
      </c>
      <c r="N65" s="435">
        <f t="shared" si="9"/>
        <v>0</v>
      </c>
    </row>
    <row r="66" spans="1:14" s="224" customFormat="1" ht="21" customHeight="1" x14ac:dyDescent="0.2">
      <c r="A66" s="417">
        <f t="shared" si="10"/>
        <v>7</v>
      </c>
      <c r="B66" s="423"/>
      <c r="C66" s="424"/>
      <c r="D66" s="423"/>
      <c r="E66" s="425"/>
      <c r="F66" s="426"/>
      <c r="G66" s="422"/>
      <c r="H66" s="431"/>
      <c r="I66" s="422"/>
      <c r="J66" s="433">
        <f t="shared" si="7"/>
        <v>0</v>
      </c>
      <c r="K66" s="630" t="str">
        <f t="shared" si="11"/>
        <v>TL</v>
      </c>
      <c r="M66" s="436">
        <f t="shared" si="8"/>
        <v>280</v>
      </c>
      <c r="N66" s="435">
        <f t="shared" si="9"/>
        <v>0</v>
      </c>
    </row>
    <row r="67" spans="1:14" s="224" customFormat="1" ht="21" customHeight="1" x14ac:dyDescent="0.2">
      <c r="A67" s="417">
        <f t="shared" si="10"/>
        <v>8</v>
      </c>
      <c r="B67" s="423"/>
      <c r="C67" s="424"/>
      <c r="D67" s="423"/>
      <c r="E67" s="425"/>
      <c r="F67" s="426"/>
      <c r="G67" s="422"/>
      <c r="H67" s="431"/>
      <c r="I67" s="422"/>
      <c r="J67" s="433">
        <f t="shared" si="7"/>
        <v>0</v>
      </c>
      <c r="K67" s="630" t="str">
        <f t="shared" si="11"/>
        <v>TL</v>
      </c>
      <c r="M67" s="436">
        <f t="shared" si="8"/>
        <v>280</v>
      </c>
      <c r="N67" s="435">
        <f t="shared" si="9"/>
        <v>0</v>
      </c>
    </row>
    <row r="68" spans="1:14" s="224" customFormat="1" ht="21" customHeight="1" x14ac:dyDescent="0.2">
      <c r="A68" s="417">
        <f t="shared" si="10"/>
        <v>9</v>
      </c>
      <c r="B68" s="423"/>
      <c r="C68" s="424"/>
      <c r="D68" s="423"/>
      <c r="E68" s="425"/>
      <c r="F68" s="426"/>
      <c r="G68" s="422"/>
      <c r="H68" s="431"/>
      <c r="I68" s="422"/>
      <c r="J68" s="433">
        <f t="shared" si="7"/>
        <v>0</v>
      </c>
      <c r="K68" s="630" t="str">
        <f t="shared" si="11"/>
        <v>TL</v>
      </c>
      <c r="M68" s="436">
        <f t="shared" si="8"/>
        <v>280</v>
      </c>
      <c r="N68" s="435">
        <f t="shared" si="9"/>
        <v>0</v>
      </c>
    </row>
    <row r="69" spans="1:14" s="224" customFormat="1" ht="21" customHeight="1" x14ac:dyDescent="0.2">
      <c r="A69" s="417">
        <f t="shared" si="10"/>
        <v>10</v>
      </c>
      <c r="B69" s="423"/>
      <c r="C69" s="424"/>
      <c r="D69" s="423"/>
      <c r="E69" s="425"/>
      <c r="F69" s="426"/>
      <c r="G69" s="422"/>
      <c r="H69" s="431"/>
      <c r="I69" s="422"/>
      <c r="J69" s="433">
        <f t="shared" si="7"/>
        <v>0</v>
      </c>
      <c r="K69" s="630" t="str">
        <f t="shared" si="11"/>
        <v>TL</v>
      </c>
      <c r="M69" s="436">
        <f t="shared" si="8"/>
        <v>280</v>
      </c>
      <c r="N69" s="435">
        <f t="shared" si="9"/>
        <v>0</v>
      </c>
    </row>
    <row r="70" spans="1:14" s="224" customFormat="1" ht="21" customHeight="1" x14ac:dyDescent="0.2">
      <c r="A70" s="417">
        <f t="shared" si="10"/>
        <v>11</v>
      </c>
      <c r="B70" s="423"/>
      <c r="C70" s="424"/>
      <c r="D70" s="423"/>
      <c r="E70" s="425"/>
      <c r="F70" s="426"/>
      <c r="G70" s="422"/>
      <c r="H70" s="431"/>
      <c r="I70" s="422"/>
      <c r="J70" s="433">
        <f t="shared" si="7"/>
        <v>0</v>
      </c>
      <c r="K70" s="630" t="str">
        <f t="shared" si="11"/>
        <v>TL</v>
      </c>
      <c r="M70" s="436">
        <f t="shared" si="8"/>
        <v>280</v>
      </c>
      <c r="N70" s="435">
        <f t="shared" si="9"/>
        <v>0</v>
      </c>
    </row>
    <row r="71" spans="1:14" s="224" customFormat="1" ht="21" customHeight="1" x14ac:dyDescent="0.2">
      <c r="A71" s="417">
        <f t="shared" si="10"/>
        <v>12</v>
      </c>
      <c r="B71" s="423"/>
      <c r="C71" s="424"/>
      <c r="D71" s="423"/>
      <c r="E71" s="425"/>
      <c r="F71" s="426"/>
      <c r="G71" s="422"/>
      <c r="H71" s="431"/>
      <c r="I71" s="422"/>
      <c r="J71" s="433">
        <f t="shared" si="7"/>
        <v>0</v>
      </c>
      <c r="K71" s="630" t="str">
        <f t="shared" si="11"/>
        <v>TL</v>
      </c>
      <c r="M71" s="436">
        <f t="shared" si="8"/>
        <v>280</v>
      </c>
      <c r="N71" s="435">
        <f t="shared" si="9"/>
        <v>0</v>
      </c>
    </row>
    <row r="72" spans="1:14" s="224" customFormat="1" ht="21" customHeight="1" x14ac:dyDescent="0.2">
      <c r="A72" s="417">
        <f t="shared" si="10"/>
        <v>13</v>
      </c>
      <c r="B72" s="423"/>
      <c r="C72" s="424"/>
      <c r="D72" s="423"/>
      <c r="E72" s="425"/>
      <c r="F72" s="426"/>
      <c r="G72" s="422"/>
      <c r="H72" s="431"/>
      <c r="I72" s="422"/>
      <c r="J72" s="433">
        <f t="shared" si="7"/>
        <v>0</v>
      </c>
      <c r="K72" s="630" t="str">
        <f t="shared" si="11"/>
        <v>TL</v>
      </c>
      <c r="M72" s="436">
        <f t="shared" si="8"/>
        <v>280</v>
      </c>
      <c r="N72" s="435">
        <f t="shared" si="9"/>
        <v>0</v>
      </c>
    </row>
    <row r="73" spans="1:14" s="224" customFormat="1" ht="21" customHeight="1" x14ac:dyDescent="0.2">
      <c r="A73" s="417">
        <f t="shared" si="10"/>
        <v>14</v>
      </c>
      <c r="B73" s="423"/>
      <c r="C73" s="424"/>
      <c r="D73" s="423"/>
      <c r="E73" s="425"/>
      <c r="F73" s="426"/>
      <c r="G73" s="422"/>
      <c r="H73" s="431"/>
      <c r="I73" s="422"/>
      <c r="J73" s="433">
        <f t="shared" si="7"/>
        <v>0</v>
      </c>
      <c r="K73" s="630" t="str">
        <f t="shared" si="11"/>
        <v>TL</v>
      </c>
      <c r="M73" s="436">
        <f t="shared" si="8"/>
        <v>280</v>
      </c>
      <c r="N73" s="435">
        <f t="shared" si="9"/>
        <v>0</v>
      </c>
    </row>
    <row r="74" spans="1:14" s="224" customFormat="1" ht="21" customHeight="1" x14ac:dyDescent="0.2">
      <c r="A74" s="417">
        <f t="shared" si="10"/>
        <v>15</v>
      </c>
      <c r="B74" s="423"/>
      <c r="C74" s="424"/>
      <c r="D74" s="423"/>
      <c r="E74" s="425"/>
      <c r="F74" s="426"/>
      <c r="G74" s="422"/>
      <c r="H74" s="431"/>
      <c r="I74" s="422"/>
      <c r="J74" s="433">
        <f t="shared" si="7"/>
        <v>0</v>
      </c>
      <c r="K74" s="630" t="str">
        <f t="shared" si="11"/>
        <v>TL</v>
      </c>
      <c r="M74" s="436">
        <f t="shared" si="8"/>
        <v>280</v>
      </c>
      <c r="N74" s="435">
        <f t="shared" si="9"/>
        <v>0</v>
      </c>
    </row>
    <row r="75" spans="1:14" s="224" customFormat="1" ht="21" customHeight="1" x14ac:dyDescent="0.2">
      <c r="A75" s="417">
        <f t="shared" si="10"/>
        <v>16</v>
      </c>
      <c r="B75" s="423"/>
      <c r="C75" s="424"/>
      <c r="D75" s="423"/>
      <c r="E75" s="425"/>
      <c r="F75" s="426"/>
      <c r="G75" s="422"/>
      <c r="H75" s="431"/>
      <c r="I75" s="422"/>
      <c r="J75" s="433">
        <f t="shared" si="7"/>
        <v>0</v>
      </c>
      <c r="K75" s="630" t="str">
        <f t="shared" si="11"/>
        <v>TL</v>
      </c>
      <c r="M75" s="436">
        <f t="shared" si="8"/>
        <v>280</v>
      </c>
      <c r="N75" s="435">
        <f t="shared" si="9"/>
        <v>0</v>
      </c>
    </row>
    <row r="76" spans="1:14" s="224" customFormat="1" ht="21" customHeight="1" x14ac:dyDescent="0.2">
      <c r="A76" s="417">
        <f t="shared" si="10"/>
        <v>17</v>
      </c>
      <c r="B76" s="423"/>
      <c r="C76" s="424"/>
      <c r="D76" s="423"/>
      <c r="E76" s="425"/>
      <c r="F76" s="426"/>
      <c r="G76" s="422"/>
      <c r="H76" s="431"/>
      <c r="I76" s="422"/>
      <c r="J76" s="433">
        <f t="shared" si="7"/>
        <v>0</v>
      </c>
      <c r="K76" s="630" t="str">
        <f t="shared" si="11"/>
        <v>TL</v>
      </c>
      <c r="M76" s="436">
        <f t="shared" si="8"/>
        <v>280</v>
      </c>
      <c r="N76" s="435">
        <f t="shared" si="9"/>
        <v>0</v>
      </c>
    </row>
    <row r="77" spans="1:14" s="224" customFormat="1" ht="21" customHeight="1" x14ac:dyDescent="0.2">
      <c r="A77" s="417">
        <f t="shared" si="10"/>
        <v>18</v>
      </c>
      <c r="B77" s="423"/>
      <c r="C77" s="424"/>
      <c r="D77" s="423"/>
      <c r="E77" s="425"/>
      <c r="F77" s="426"/>
      <c r="G77" s="422"/>
      <c r="H77" s="431"/>
      <c r="I77" s="422"/>
      <c r="J77" s="433">
        <f t="shared" si="7"/>
        <v>0</v>
      </c>
      <c r="K77" s="630" t="str">
        <f t="shared" si="11"/>
        <v>TL</v>
      </c>
      <c r="M77" s="436">
        <f t="shared" si="8"/>
        <v>280</v>
      </c>
      <c r="N77" s="435">
        <f t="shared" si="9"/>
        <v>0</v>
      </c>
    </row>
    <row r="78" spans="1:14" s="224" customFormat="1" ht="21" customHeight="1" x14ac:dyDescent="0.2">
      <c r="A78" s="417">
        <f>A77+1</f>
        <v>19</v>
      </c>
      <c r="B78" s="423"/>
      <c r="C78" s="424"/>
      <c r="D78" s="423"/>
      <c r="E78" s="425"/>
      <c r="F78" s="426"/>
      <c r="G78" s="422"/>
      <c r="H78" s="431"/>
      <c r="I78" s="422"/>
      <c r="J78" s="433">
        <f t="shared" si="7"/>
        <v>0</v>
      </c>
      <c r="K78" s="630" t="str">
        <f t="shared" si="11"/>
        <v>TL</v>
      </c>
      <c r="M78" s="436">
        <f t="shared" si="8"/>
        <v>280</v>
      </c>
      <c r="N78" s="435">
        <f t="shared" si="9"/>
        <v>0</v>
      </c>
    </row>
    <row r="79" spans="1:14" s="224" customFormat="1" ht="21" customHeight="1" x14ac:dyDescent="0.2">
      <c r="A79" s="417">
        <f t="shared" ref="A79:A99" si="12">A78+1</f>
        <v>20</v>
      </c>
      <c r="B79" s="423"/>
      <c r="C79" s="424"/>
      <c r="D79" s="423"/>
      <c r="E79" s="425"/>
      <c r="F79" s="426"/>
      <c r="G79" s="422"/>
      <c r="H79" s="431"/>
      <c r="I79" s="422"/>
      <c r="J79" s="433">
        <f t="shared" si="7"/>
        <v>0</v>
      </c>
      <c r="K79" s="630" t="str">
        <f t="shared" si="11"/>
        <v>TL</v>
      </c>
      <c r="M79" s="436">
        <f t="shared" si="8"/>
        <v>280</v>
      </c>
      <c r="N79" s="435">
        <f t="shared" si="9"/>
        <v>0</v>
      </c>
    </row>
    <row r="80" spans="1:14" s="224" customFormat="1" ht="21" customHeight="1" x14ac:dyDescent="0.2">
      <c r="A80" s="417">
        <f t="shared" si="12"/>
        <v>21</v>
      </c>
      <c r="B80" s="423"/>
      <c r="C80" s="424"/>
      <c r="D80" s="423"/>
      <c r="E80" s="425"/>
      <c r="F80" s="426"/>
      <c r="G80" s="422"/>
      <c r="H80" s="431"/>
      <c r="I80" s="422"/>
      <c r="J80" s="433">
        <f t="shared" si="7"/>
        <v>0</v>
      </c>
      <c r="K80" s="630" t="str">
        <f t="shared" si="11"/>
        <v>TL</v>
      </c>
      <c r="M80" s="436">
        <f t="shared" si="8"/>
        <v>280</v>
      </c>
      <c r="N80" s="435">
        <f t="shared" si="9"/>
        <v>0</v>
      </c>
    </row>
    <row r="81" spans="1:14" s="224" customFormat="1" ht="21" customHeight="1" x14ac:dyDescent="0.2">
      <c r="A81" s="417">
        <f t="shared" si="12"/>
        <v>22</v>
      </c>
      <c r="B81" s="423"/>
      <c r="C81" s="424"/>
      <c r="D81" s="423"/>
      <c r="E81" s="425"/>
      <c r="F81" s="426"/>
      <c r="G81" s="422"/>
      <c r="H81" s="431"/>
      <c r="I81" s="422"/>
      <c r="J81" s="433">
        <f t="shared" si="7"/>
        <v>0</v>
      </c>
      <c r="K81" s="630" t="str">
        <f t="shared" si="11"/>
        <v>TL</v>
      </c>
      <c r="M81" s="436">
        <f t="shared" si="8"/>
        <v>280</v>
      </c>
      <c r="N81" s="435">
        <f t="shared" si="9"/>
        <v>0</v>
      </c>
    </row>
    <row r="82" spans="1:14" s="224" customFormat="1" ht="21" customHeight="1" x14ac:dyDescent="0.2">
      <c r="A82" s="417">
        <f t="shared" si="12"/>
        <v>23</v>
      </c>
      <c r="B82" s="423"/>
      <c r="C82" s="424"/>
      <c r="D82" s="423"/>
      <c r="E82" s="425"/>
      <c r="F82" s="426"/>
      <c r="G82" s="422"/>
      <c r="H82" s="431"/>
      <c r="I82" s="422"/>
      <c r="J82" s="433">
        <f t="shared" si="7"/>
        <v>0</v>
      </c>
      <c r="K82" s="630" t="str">
        <f t="shared" si="11"/>
        <v>TL</v>
      </c>
      <c r="M82" s="436">
        <f t="shared" si="8"/>
        <v>280</v>
      </c>
      <c r="N82" s="435">
        <f t="shared" si="9"/>
        <v>0</v>
      </c>
    </row>
    <row r="83" spans="1:14" s="224" customFormat="1" ht="21" customHeight="1" x14ac:dyDescent="0.2">
      <c r="A83" s="417">
        <f t="shared" si="12"/>
        <v>24</v>
      </c>
      <c r="B83" s="423"/>
      <c r="C83" s="424"/>
      <c r="D83" s="423"/>
      <c r="E83" s="425"/>
      <c r="F83" s="426"/>
      <c r="G83" s="422"/>
      <c r="H83" s="431"/>
      <c r="I83" s="422"/>
      <c r="J83" s="433">
        <f t="shared" si="7"/>
        <v>0</v>
      </c>
      <c r="K83" s="630" t="str">
        <f t="shared" si="11"/>
        <v>TL</v>
      </c>
      <c r="M83" s="436">
        <f t="shared" si="8"/>
        <v>280</v>
      </c>
      <c r="N83" s="435">
        <f t="shared" si="9"/>
        <v>0</v>
      </c>
    </row>
    <row r="84" spans="1:14" s="224" customFormat="1" ht="21" customHeight="1" x14ac:dyDescent="0.2">
      <c r="A84" s="417">
        <f t="shared" si="12"/>
        <v>25</v>
      </c>
      <c r="B84" s="423"/>
      <c r="C84" s="424"/>
      <c r="D84" s="423"/>
      <c r="E84" s="425"/>
      <c r="F84" s="426"/>
      <c r="G84" s="422"/>
      <c r="H84" s="431"/>
      <c r="I84" s="422"/>
      <c r="J84" s="433">
        <f t="shared" si="7"/>
        <v>0</v>
      </c>
      <c r="K84" s="630" t="str">
        <f t="shared" si="11"/>
        <v>TL</v>
      </c>
      <c r="M84" s="436">
        <f t="shared" si="8"/>
        <v>280</v>
      </c>
      <c r="N84" s="435">
        <f t="shared" si="9"/>
        <v>0</v>
      </c>
    </row>
    <row r="85" spans="1:14" s="224" customFormat="1" ht="21" customHeight="1" x14ac:dyDescent="0.2">
      <c r="A85" s="417">
        <f t="shared" si="12"/>
        <v>26</v>
      </c>
      <c r="B85" s="423"/>
      <c r="C85" s="424"/>
      <c r="D85" s="423"/>
      <c r="E85" s="425"/>
      <c r="F85" s="426"/>
      <c r="G85" s="422"/>
      <c r="H85" s="431"/>
      <c r="I85" s="422"/>
      <c r="J85" s="433">
        <f t="shared" si="7"/>
        <v>0</v>
      </c>
      <c r="K85" s="630" t="str">
        <f t="shared" si="11"/>
        <v>TL</v>
      </c>
      <c r="M85" s="436">
        <f t="shared" si="8"/>
        <v>280</v>
      </c>
      <c r="N85" s="435">
        <f t="shared" si="9"/>
        <v>0</v>
      </c>
    </row>
    <row r="86" spans="1:14" s="224" customFormat="1" ht="21" customHeight="1" x14ac:dyDescent="0.2">
      <c r="A86" s="417">
        <f t="shared" si="12"/>
        <v>27</v>
      </c>
      <c r="B86" s="423"/>
      <c r="C86" s="424"/>
      <c r="D86" s="423"/>
      <c r="E86" s="425"/>
      <c r="F86" s="426"/>
      <c r="G86" s="422"/>
      <c r="H86" s="431"/>
      <c r="I86" s="422"/>
      <c r="J86" s="433">
        <f t="shared" si="7"/>
        <v>0</v>
      </c>
      <c r="K86" s="630" t="str">
        <f t="shared" si="11"/>
        <v>TL</v>
      </c>
      <c r="M86" s="436">
        <f t="shared" si="8"/>
        <v>280</v>
      </c>
      <c r="N86" s="435">
        <f t="shared" si="9"/>
        <v>0</v>
      </c>
    </row>
    <row r="87" spans="1:14" s="224" customFormat="1" ht="21" customHeight="1" x14ac:dyDescent="0.2">
      <c r="A87" s="417">
        <f t="shared" si="12"/>
        <v>28</v>
      </c>
      <c r="B87" s="423"/>
      <c r="C87" s="424"/>
      <c r="D87" s="423"/>
      <c r="E87" s="425"/>
      <c r="F87" s="426"/>
      <c r="G87" s="422"/>
      <c r="H87" s="431"/>
      <c r="I87" s="422"/>
      <c r="J87" s="433">
        <f t="shared" si="7"/>
        <v>0</v>
      </c>
      <c r="K87" s="630" t="str">
        <f t="shared" si="11"/>
        <v>TL</v>
      </c>
      <c r="M87" s="436">
        <f t="shared" si="8"/>
        <v>280</v>
      </c>
      <c r="N87" s="435">
        <f t="shared" si="9"/>
        <v>0</v>
      </c>
    </row>
    <row r="88" spans="1:14" s="224" customFormat="1" ht="21" customHeight="1" x14ac:dyDescent="0.2">
      <c r="A88" s="417">
        <f t="shared" si="12"/>
        <v>29</v>
      </c>
      <c r="B88" s="423"/>
      <c r="C88" s="424"/>
      <c r="D88" s="423"/>
      <c r="E88" s="425"/>
      <c r="F88" s="426"/>
      <c r="G88" s="422"/>
      <c r="H88" s="431"/>
      <c r="I88" s="422"/>
      <c r="J88" s="433">
        <f t="shared" si="7"/>
        <v>0</v>
      </c>
      <c r="K88" s="630" t="str">
        <f t="shared" si="11"/>
        <v>TL</v>
      </c>
      <c r="M88" s="436">
        <f t="shared" si="8"/>
        <v>280</v>
      </c>
      <c r="N88" s="435">
        <f t="shared" si="9"/>
        <v>0</v>
      </c>
    </row>
    <row r="89" spans="1:14" s="224" customFormat="1" ht="21" customHeight="1" x14ac:dyDescent="0.2">
      <c r="A89" s="417">
        <f t="shared" si="12"/>
        <v>30</v>
      </c>
      <c r="B89" s="423"/>
      <c r="C89" s="424"/>
      <c r="D89" s="423"/>
      <c r="E89" s="425"/>
      <c r="F89" s="426"/>
      <c r="G89" s="422"/>
      <c r="H89" s="431"/>
      <c r="I89" s="422"/>
      <c r="J89" s="433">
        <f t="shared" si="7"/>
        <v>0</v>
      </c>
      <c r="K89" s="630" t="str">
        <f t="shared" si="11"/>
        <v>TL</v>
      </c>
      <c r="M89" s="436">
        <f t="shared" si="8"/>
        <v>280</v>
      </c>
      <c r="N89" s="435">
        <f t="shared" si="9"/>
        <v>0</v>
      </c>
    </row>
    <row r="90" spans="1:14" s="224" customFormat="1" ht="21" customHeight="1" x14ac:dyDescent="0.2">
      <c r="A90" s="417">
        <f t="shared" si="12"/>
        <v>31</v>
      </c>
      <c r="B90" s="423"/>
      <c r="C90" s="424"/>
      <c r="D90" s="423"/>
      <c r="E90" s="425"/>
      <c r="F90" s="426"/>
      <c r="G90" s="422"/>
      <c r="H90" s="431"/>
      <c r="I90" s="422"/>
      <c r="J90" s="433">
        <f t="shared" si="7"/>
        <v>0</v>
      </c>
      <c r="K90" s="630" t="str">
        <f t="shared" si="11"/>
        <v>TL</v>
      </c>
      <c r="M90" s="436">
        <f t="shared" si="8"/>
        <v>280</v>
      </c>
      <c r="N90" s="435">
        <f t="shared" si="9"/>
        <v>0</v>
      </c>
    </row>
    <row r="91" spans="1:14" s="224" customFormat="1" ht="21" customHeight="1" x14ac:dyDescent="0.2">
      <c r="A91" s="417">
        <f t="shared" si="12"/>
        <v>32</v>
      </c>
      <c r="B91" s="423"/>
      <c r="C91" s="424"/>
      <c r="D91" s="423"/>
      <c r="E91" s="425"/>
      <c r="F91" s="426"/>
      <c r="G91" s="422"/>
      <c r="H91" s="431"/>
      <c r="I91" s="422"/>
      <c r="J91" s="433">
        <f t="shared" si="7"/>
        <v>0</v>
      </c>
      <c r="K91" s="630" t="str">
        <f t="shared" si="11"/>
        <v>TL</v>
      </c>
      <c r="M91" s="436">
        <f t="shared" si="8"/>
        <v>280</v>
      </c>
      <c r="N91" s="435">
        <f t="shared" si="9"/>
        <v>0</v>
      </c>
    </row>
    <row r="92" spans="1:14" s="224" customFormat="1" ht="21" customHeight="1" x14ac:dyDescent="0.2">
      <c r="A92" s="417">
        <f t="shared" si="12"/>
        <v>33</v>
      </c>
      <c r="B92" s="423"/>
      <c r="C92" s="424"/>
      <c r="D92" s="423"/>
      <c r="E92" s="425"/>
      <c r="F92" s="426"/>
      <c r="G92" s="422"/>
      <c r="H92" s="431"/>
      <c r="I92" s="422"/>
      <c r="J92" s="433">
        <f t="shared" si="7"/>
        <v>0</v>
      </c>
      <c r="K92" s="630" t="str">
        <f t="shared" si="11"/>
        <v>TL</v>
      </c>
      <c r="M92" s="436">
        <f t="shared" si="8"/>
        <v>280</v>
      </c>
      <c r="N92" s="435">
        <f t="shared" si="9"/>
        <v>0</v>
      </c>
    </row>
    <row r="93" spans="1:14" s="224" customFormat="1" ht="21" customHeight="1" x14ac:dyDescent="0.2">
      <c r="A93" s="417">
        <f t="shared" si="12"/>
        <v>34</v>
      </c>
      <c r="B93" s="423"/>
      <c r="C93" s="424"/>
      <c r="D93" s="423"/>
      <c r="E93" s="425"/>
      <c r="F93" s="426"/>
      <c r="G93" s="422"/>
      <c r="H93" s="431"/>
      <c r="I93" s="422"/>
      <c r="J93" s="433">
        <f t="shared" si="7"/>
        <v>0</v>
      </c>
      <c r="K93" s="630" t="str">
        <f t="shared" si="11"/>
        <v>TL</v>
      </c>
      <c r="M93" s="436">
        <f t="shared" si="8"/>
        <v>280</v>
      </c>
      <c r="N93" s="435">
        <f t="shared" si="9"/>
        <v>0</v>
      </c>
    </row>
    <row r="94" spans="1:14" s="224" customFormat="1" ht="21" customHeight="1" x14ac:dyDescent="0.2">
      <c r="A94" s="417">
        <f t="shared" si="12"/>
        <v>35</v>
      </c>
      <c r="B94" s="423"/>
      <c r="C94" s="424"/>
      <c r="D94" s="423"/>
      <c r="E94" s="425"/>
      <c r="F94" s="426"/>
      <c r="G94" s="422"/>
      <c r="H94" s="431"/>
      <c r="I94" s="422"/>
      <c r="J94" s="433">
        <f t="shared" si="7"/>
        <v>0</v>
      </c>
      <c r="K94" s="630" t="str">
        <f t="shared" si="11"/>
        <v>TL</v>
      </c>
      <c r="M94" s="436">
        <f t="shared" si="8"/>
        <v>280</v>
      </c>
      <c r="N94" s="435">
        <f t="shared" si="9"/>
        <v>0</v>
      </c>
    </row>
    <row r="95" spans="1:14" s="224" customFormat="1" ht="21" customHeight="1" x14ac:dyDescent="0.2">
      <c r="A95" s="417">
        <f t="shared" si="12"/>
        <v>36</v>
      </c>
      <c r="B95" s="423"/>
      <c r="C95" s="424"/>
      <c r="D95" s="423"/>
      <c r="E95" s="425"/>
      <c r="F95" s="426"/>
      <c r="G95" s="422"/>
      <c r="H95" s="431"/>
      <c r="I95" s="422"/>
      <c r="J95" s="433">
        <f t="shared" si="7"/>
        <v>0</v>
      </c>
      <c r="K95" s="630" t="str">
        <f t="shared" si="11"/>
        <v>TL</v>
      </c>
      <c r="M95" s="436">
        <f t="shared" si="8"/>
        <v>280</v>
      </c>
      <c r="N95" s="435">
        <f t="shared" si="9"/>
        <v>0</v>
      </c>
    </row>
    <row r="96" spans="1:14" s="224" customFormat="1" ht="21" customHeight="1" x14ac:dyDescent="0.2">
      <c r="A96" s="417">
        <f t="shared" si="12"/>
        <v>37</v>
      </c>
      <c r="B96" s="423"/>
      <c r="C96" s="424"/>
      <c r="D96" s="423"/>
      <c r="E96" s="425"/>
      <c r="F96" s="426"/>
      <c r="G96" s="422"/>
      <c r="H96" s="431"/>
      <c r="I96" s="422"/>
      <c r="J96" s="433">
        <f t="shared" si="7"/>
        <v>0</v>
      </c>
      <c r="K96" s="630" t="str">
        <f t="shared" si="11"/>
        <v>TL</v>
      </c>
      <c r="M96" s="436">
        <f t="shared" si="8"/>
        <v>280</v>
      </c>
      <c r="N96" s="435">
        <f t="shared" si="9"/>
        <v>0</v>
      </c>
    </row>
    <row r="97" spans="1:14" s="224" customFormat="1" ht="21" customHeight="1" x14ac:dyDescent="0.2">
      <c r="A97" s="417">
        <f t="shared" si="12"/>
        <v>38</v>
      </c>
      <c r="B97" s="423"/>
      <c r="C97" s="424"/>
      <c r="D97" s="423"/>
      <c r="E97" s="425"/>
      <c r="F97" s="426"/>
      <c r="G97" s="422"/>
      <c r="H97" s="431"/>
      <c r="I97" s="422"/>
      <c r="J97" s="433">
        <f t="shared" si="7"/>
        <v>0</v>
      </c>
      <c r="K97" s="630" t="str">
        <f t="shared" si="11"/>
        <v>TL</v>
      </c>
      <c r="M97" s="436">
        <f t="shared" si="8"/>
        <v>280</v>
      </c>
      <c r="N97" s="435">
        <f t="shared" si="9"/>
        <v>0</v>
      </c>
    </row>
    <row r="98" spans="1:14" s="224" customFormat="1" ht="21" customHeight="1" x14ac:dyDescent="0.2">
      <c r="A98" s="417">
        <f t="shared" si="12"/>
        <v>39</v>
      </c>
      <c r="B98" s="423"/>
      <c r="C98" s="424"/>
      <c r="D98" s="423"/>
      <c r="E98" s="425"/>
      <c r="F98" s="426"/>
      <c r="G98" s="422"/>
      <c r="H98" s="431"/>
      <c r="I98" s="422"/>
      <c r="J98" s="433">
        <f t="shared" si="7"/>
        <v>0</v>
      </c>
      <c r="K98" s="630" t="str">
        <f t="shared" si="11"/>
        <v>TL</v>
      </c>
      <c r="M98" s="436">
        <f t="shared" si="8"/>
        <v>280</v>
      </c>
      <c r="N98" s="435">
        <f t="shared" si="9"/>
        <v>0</v>
      </c>
    </row>
    <row r="99" spans="1:14" s="224" customFormat="1" ht="21" customHeight="1" x14ac:dyDescent="0.2">
      <c r="A99" s="417">
        <f t="shared" si="12"/>
        <v>40</v>
      </c>
      <c r="B99" s="423"/>
      <c r="C99" s="424"/>
      <c r="D99" s="423"/>
      <c r="E99" s="425"/>
      <c r="F99" s="426"/>
      <c r="G99" s="422"/>
      <c r="H99" s="431"/>
      <c r="I99" s="422"/>
      <c r="J99" s="433">
        <f t="shared" si="7"/>
        <v>0</v>
      </c>
      <c r="K99" s="630" t="str">
        <f t="shared" si="11"/>
        <v>TL</v>
      </c>
      <c r="M99" s="436">
        <f t="shared" si="8"/>
        <v>280</v>
      </c>
      <c r="N99" s="435">
        <f t="shared" si="9"/>
        <v>0</v>
      </c>
    </row>
    <row r="100" spans="1:14" ht="15" x14ac:dyDescent="0.2">
      <c r="C100" s="71"/>
      <c r="G100" s="427"/>
      <c r="H100" s="427"/>
      <c r="I100" s="427"/>
      <c r="J100" s="428"/>
      <c r="K100" s="429"/>
    </row>
    <row r="101" spans="1:14" x14ac:dyDescent="0.2">
      <c r="A101" s="238" t="s">
        <v>279</v>
      </c>
      <c r="C101" s="135"/>
      <c r="E101" s="1" t="s">
        <v>280</v>
      </c>
      <c r="F101" s="1"/>
      <c r="I101" s="238" t="s">
        <v>281</v>
      </c>
    </row>
    <row r="102" spans="1:14" ht="19.5" customHeight="1" x14ac:dyDescent="0.2">
      <c r="A102" s="528" t="s">
        <v>286</v>
      </c>
      <c r="B102" s="528"/>
      <c r="C102" s="528"/>
      <c r="D102" s="528"/>
      <c r="E102" s="1"/>
      <c r="F102" s="1"/>
      <c r="I102" s="135"/>
    </row>
    <row r="103" spans="1:14" ht="17.25" customHeight="1" x14ac:dyDescent="0.2">
      <c r="A103" s="622" t="s">
        <v>287</v>
      </c>
      <c r="B103" s="622"/>
      <c r="C103" s="622"/>
      <c r="D103" s="622"/>
      <c r="E103" s="1"/>
      <c r="F103" s="1"/>
    </row>
    <row r="104" spans="1:14" ht="19.5" customHeight="1" x14ac:dyDescent="0.2">
      <c r="A104" s="622" t="s">
        <v>288</v>
      </c>
      <c r="B104" s="622"/>
      <c r="C104" s="622"/>
      <c r="D104" s="622"/>
      <c r="E104" s="238" t="s">
        <v>282</v>
      </c>
      <c r="F104" s="1"/>
      <c r="I104" s="135" t="s">
        <v>289</v>
      </c>
    </row>
    <row r="105" spans="1:14" ht="15.75" customHeight="1" x14ac:dyDescent="0.2">
      <c r="C105" s="71"/>
      <c r="E105" s="17" t="s">
        <v>283</v>
      </c>
      <c r="F105" s="1"/>
      <c r="I105" s="17" t="s">
        <v>283</v>
      </c>
    </row>
    <row r="106" spans="1:14" ht="15.75" customHeight="1" x14ac:dyDescent="0.2">
      <c r="C106" s="71"/>
      <c r="E106" s="17" t="s">
        <v>284</v>
      </c>
      <c r="F106" s="1"/>
      <c r="I106" s="17" t="s">
        <v>284</v>
      </c>
    </row>
    <row r="107" spans="1:14" ht="15" x14ac:dyDescent="0.25">
      <c r="A107" s="88" t="s">
        <v>291</v>
      </c>
      <c r="B107" s="88"/>
      <c r="C107" s="88"/>
      <c r="D107" s="88"/>
      <c r="E107" s="88"/>
      <c r="F107" s="88"/>
      <c r="G107" s="88"/>
      <c r="H107" s="88"/>
      <c r="I107" s="88"/>
      <c r="J107" s="88"/>
      <c r="K107" s="89"/>
    </row>
    <row r="108" spans="1:14" ht="6" customHeight="1" x14ac:dyDescent="0.2">
      <c r="C108" s="71"/>
      <c r="G108" s="1"/>
    </row>
    <row r="109" spans="1:14" s="1" customFormat="1" ht="30" customHeight="1" x14ac:dyDescent="0.2">
      <c r="A109" s="623" t="s">
        <v>268</v>
      </c>
      <c r="B109" s="623" t="s">
        <v>269</v>
      </c>
      <c r="C109" s="623" t="s">
        <v>270</v>
      </c>
      <c r="D109" s="623" t="s">
        <v>271</v>
      </c>
      <c r="E109" s="623" t="s">
        <v>181</v>
      </c>
      <c r="F109" s="625" t="s">
        <v>272</v>
      </c>
      <c r="G109" s="627" t="s">
        <v>273</v>
      </c>
      <c r="H109" s="628"/>
      <c r="I109" s="415" t="s">
        <v>274</v>
      </c>
      <c r="J109" s="623" t="s">
        <v>275</v>
      </c>
      <c r="K109" s="623" t="s">
        <v>285</v>
      </c>
      <c r="M109" s="629" t="s">
        <v>299</v>
      </c>
      <c r="N109" s="621" t="s">
        <v>300</v>
      </c>
    </row>
    <row r="110" spans="1:14" s="1" customFormat="1" ht="28.5" customHeight="1" x14ac:dyDescent="0.2">
      <c r="A110" s="624"/>
      <c r="B110" s="624"/>
      <c r="C110" s="624"/>
      <c r="D110" s="624"/>
      <c r="E110" s="624"/>
      <c r="F110" s="626"/>
      <c r="G110" s="416" t="s">
        <v>276</v>
      </c>
      <c r="H110" s="430"/>
      <c r="I110" s="416" t="s">
        <v>278</v>
      </c>
      <c r="J110" s="624"/>
      <c r="K110" s="624"/>
      <c r="M110" s="629"/>
      <c r="N110" s="621"/>
    </row>
    <row r="111" spans="1:14" s="224" customFormat="1" ht="21" customHeight="1" x14ac:dyDescent="0.2">
      <c r="A111" s="417">
        <v>1</v>
      </c>
      <c r="B111" s="418"/>
      <c r="C111" s="419"/>
      <c r="D111" s="418"/>
      <c r="E111" s="420"/>
      <c r="F111" s="421"/>
      <c r="G111" s="432">
        <v>70</v>
      </c>
      <c r="H111" s="431"/>
      <c r="I111" s="432">
        <v>210</v>
      </c>
      <c r="J111" s="433">
        <f>SUM(G111:I111)</f>
        <v>280</v>
      </c>
      <c r="K111" s="630" t="str">
        <f t="shared" ref="K111:K150" si="13">IF(J111&gt;=M111,"L","TL")</f>
        <v>L</v>
      </c>
      <c r="M111" s="436">
        <f>400*70%</f>
        <v>280</v>
      </c>
      <c r="N111" s="435">
        <f>J111/400*100%</f>
        <v>0.7</v>
      </c>
    </row>
    <row r="112" spans="1:14" s="224" customFormat="1" ht="21" customHeight="1" x14ac:dyDescent="0.2">
      <c r="A112" s="417">
        <f>A111+1</f>
        <v>2</v>
      </c>
      <c r="B112" s="418"/>
      <c r="C112" s="419"/>
      <c r="D112" s="418"/>
      <c r="E112" s="420"/>
      <c r="F112" s="421"/>
      <c r="G112" s="422"/>
      <c r="H112" s="431"/>
      <c r="I112" s="422"/>
      <c r="J112" s="433">
        <f t="shared" ref="J112:J150" si="14">SUM(G112:I112)</f>
        <v>0</v>
      </c>
      <c r="K112" s="630" t="str">
        <f t="shared" si="13"/>
        <v>TL</v>
      </c>
      <c r="M112" s="436">
        <f t="shared" ref="M112:M150" si="15">400*70%</f>
        <v>280</v>
      </c>
      <c r="N112" s="435">
        <f t="shared" ref="N112:N150" si="16">J112/400*100%</f>
        <v>0</v>
      </c>
    </row>
    <row r="113" spans="1:14" s="224" customFormat="1" ht="21" customHeight="1" x14ac:dyDescent="0.2">
      <c r="A113" s="417">
        <f t="shared" ref="A113:A128" si="17">A112+1</f>
        <v>3</v>
      </c>
      <c r="B113" s="423"/>
      <c r="C113" s="424"/>
      <c r="D113" s="423"/>
      <c r="E113" s="425"/>
      <c r="F113" s="426"/>
      <c r="G113" s="422"/>
      <c r="H113" s="431"/>
      <c r="I113" s="422"/>
      <c r="J113" s="433">
        <f t="shared" si="14"/>
        <v>0</v>
      </c>
      <c r="K113" s="630" t="str">
        <f t="shared" si="13"/>
        <v>TL</v>
      </c>
      <c r="M113" s="436">
        <f t="shared" si="15"/>
        <v>280</v>
      </c>
      <c r="N113" s="435">
        <f t="shared" si="16"/>
        <v>0</v>
      </c>
    </row>
    <row r="114" spans="1:14" s="224" customFormat="1" ht="21" customHeight="1" x14ac:dyDescent="0.2">
      <c r="A114" s="417">
        <f t="shared" si="17"/>
        <v>4</v>
      </c>
      <c r="B114" s="423"/>
      <c r="C114" s="424"/>
      <c r="D114" s="423"/>
      <c r="E114" s="425"/>
      <c r="F114" s="426"/>
      <c r="G114" s="422"/>
      <c r="H114" s="431"/>
      <c r="I114" s="422"/>
      <c r="J114" s="433">
        <f t="shared" si="14"/>
        <v>0</v>
      </c>
      <c r="K114" s="630" t="str">
        <f t="shared" si="13"/>
        <v>TL</v>
      </c>
      <c r="M114" s="436">
        <f t="shared" si="15"/>
        <v>280</v>
      </c>
      <c r="N114" s="435">
        <f t="shared" si="16"/>
        <v>0</v>
      </c>
    </row>
    <row r="115" spans="1:14" s="224" customFormat="1" ht="21" customHeight="1" x14ac:dyDescent="0.2">
      <c r="A115" s="417">
        <f t="shared" si="17"/>
        <v>5</v>
      </c>
      <c r="B115" s="423"/>
      <c r="C115" s="424"/>
      <c r="D115" s="423"/>
      <c r="E115" s="425"/>
      <c r="F115" s="426"/>
      <c r="G115" s="422"/>
      <c r="H115" s="431"/>
      <c r="I115" s="422"/>
      <c r="J115" s="433">
        <f t="shared" si="14"/>
        <v>0</v>
      </c>
      <c r="K115" s="630" t="str">
        <f t="shared" si="13"/>
        <v>TL</v>
      </c>
      <c r="M115" s="436">
        <f t="shared" si="15"/>
        <v>280</v>
      </c>
      <c r="N115" s="435">
        <f t="shared" si="16"/>
        <v>0</v>
      </c>
    </row>
    <row r="116" spans="1:14" s="224" customFormat="1" ht="21" customHeight="1" x14ac:dyDescent="0.2">
      <c r="A116" s="417">
        <f t="shared" si="17"/>
        <v>6</v>
      </c>
      <c r="B116" s="423"/>
      <c r="C116" s="424"/>
      <c r="D116" s="423"/>
      <c r="E116" s="425"/>
      <c r="F116" s="426"/>
      <c r="G116" s="422"/>
      <c r="H116" s="431"/>
      <c r="I116" s="422"/>
      <c r="J116" s="433">
        <f t="shared" si="14"/>
        <v>0</v>
      </c>
      <c r="K116" s="630" t="str">
        <f t="shared" si="13"/>
        <v>TL</v>
      </c>
      <c r="M116" s="436">
        <f t="shared" si="15"/>
        <v>280</v>
      </c>
      <c r="N116" s="435">
        <f t="shared" si="16"/>
        <v>0</v>
      </c>
    </row>
    <row r="117" spans="1:14" s="224" customFormat="1" ht="21" customHeight="1" x14ac:dyDescent="0.2">
      <c r="A117" s="417">
        <f t="shared" si="17"/>
        <v>7</v>
      </c>
      <c r="B117" s="423"/>
      <c r="C117" s="424"/>
      <c r="D117" s="423"/>
      <c r="E117" s="425"/>
      <c r="F117" s="426"/>
      <c r="G117" s="422"/>
      <c r="H117" s="431"/>
      <c r="I117" s="422"/>
      <c r="J117" s="433">
        <f t="shared" si="14"/>
        <v>0</v>
      </c>
      <c r="K117" s="630" t="str">
        <f t="shared" si="13"/>
        <v>TL</v>
      </c>
      <c r="M117" s="436">
        <f t="shared" si="15"/>
        <v>280</v>
      </c>
      <c r="N117" s="435">
        <f t="shared" si="16"/>
        <v>0</v>
      </c>
    </row>
    <row r="118" spans="1:14" s="224" customFormat="1" ht="21" customHeight="1" x14ac:dyDescent="0.2">
      <c r="A118" s="417">
        <f t="shared" si="17"/>
        <v>8</v>
      </c>
      <c r="B118" s="423"/>
      <c r="C118" s="424"/>
      <c r="D118" s="423"/>
      <c r="E118" s="425"/>
      <c r="F118" s="426"/>
      <c r="G118" s="422"/>
      <c r="H118" s="431"/>
      <c r="I118" s="422"/>
      <c r="J118" s="433">
        <f t="shared" si="14"/>
        <v>0</v>
      </c>
      <c r="K118" s="630" t="str">
        <f t="shared" si="13"/>
        <v>TL</v>
      </c>
      <c r="M118" s="436">
        <f t="shared" si="15"/>
        <v>280</v>
      </c>
      <c r="N118" s="435">
        <f t="shared" si="16"/>
        <v>0</v>
      </c>
    </row>
    <row r="119" spans="1:14" s="224" customFormat="1" ht="21" customHeight="1" x14ac:dyDescent="0.2">
      <c r="A119" s="417">
        <f t="shared" si="17"/>
        <v>9</v>
      </c>
      <c r="B119" s="423"/>
      <c r="C119" s="424"/>
      <c r="D119" s="423"/>
      <c r="E119" s="425"/>
      <c r="F119" s="426"/>
      <c r="G119" s="422"/>
      <c r="H119" s="431"/>
      <c r="I119" s="422"/>
      <c r="J119" s="433">
        <f t="shared" si="14"/>
        <v>0</v>
      </c>
      <c r="K119" s="630" t="str">
        <f t="shared" si="13"/>
        <v>TL</v>
      </c>
      <c r="M119" s="436">
        <f t="shared" si="15"/>
        <v>280</v>
      </c>
      <c r="N119" s="435">
        <f t="shared" si="16"/>
        <v>0</v>
      </c>
    </row>
    <row r="120" spans="1:14" s="224" customFormat="1" ht="21" customHeight="1" x14ac:dyDescent="0.2">
      <c r="A120" s="417">
        <f t="shared" si="17"/>
        <v>10</v>
      </c>
      <c r="B120" s="423"/>
      <c r="C120" s="424"/>
      <c r="D120" s="423"/>
      <c r="E120" s="425"/>
      <c r="F120" s="426"/>
      <c r="G120" s="422"/>
      <c r="H120" s="431"/>
      <c r="I120" s="422"/>
      <c r="J120" s="433">
        <f t="shared" si="14"/>
        <v>0</v>
      </c>
      <c r="K120" s="630" t="str">
        <f t="shared" si="13"/>
        <v>TL</v>
      </c>
      <c r="M120" s="436">
        <f t="shared" si="15"/>
        <v>280</v>
      </c>
      <c r="N120" s="435">
        <f t="shared" si="16"/>
        <v>0</v>
      </c>
    </row>
    <row r="121" spans="1:14" s="224" customFormat="1" ht="21" customHeight="1" x14ac:dyDescent="0.2">
      <c r="A121" s="417">
        <f t="shared" si="17"/>
        <v>11</v>
      </c>
      <c r="B121" s="423"/>
      <c r="C121" s="424"/>
      <c r="D121" s="423"/>
      <c r="E121" s="425"/>
      <c r="F121" s="426"/>
      <c r="G121" s="422"/>
      <c r="H121" s="431"/>
      <c r="I121" s="422"/>
      <c r="J121" s="433">
        <f t="shared" si="14"/>
        <v>0</v>
      </c>
      <c r="K121" s="630" t="str">
        <f t="shared" si="13"/>
        <v>TL</v>
      </c>
      <c r="M121" s="436">
        <f t="shared" si="15"/>
        <v>280</v>
      </c>
      <c r="N121" s="435">
        <f t="shared" si="16"/>
        <v>0</v>
      </c>
    </row>
    <row r="122" spans="1:14" s="224" customFormat="1" ht="21" customHeight="1" x14ac:dyDescent="0.2">
      <c r="A122" s="417">
        <f t="shared" si="17"/>
        <v>12</v>
      </c>
      <c r="B122" s="423"/>
      <c r="C122" s="424"/>
      <c r="D122" s="423"/>
      <c r="E122" s="425"/>
      <c r="F122" s="426"/>
      <c r="G122" s="422"/>
      <c r="H122" s="431"/>
      <c r="I122" s="422"/>
      <c r="J122" s="433">
        <f t="shared" si="14"/>
        <v>0</v>
      </c>
      <c r="K122" s="630" t="str">
        <f t="shared" si="13"/>
        <v>TL</v>
      </c>
      <c r="M122" s="436">
        <f t="shared" si="15"/>
        <v>280</v>
      </c>
      <c r="N122" s="435">
        <f t="shared" si="16"/>
        <v>0</v>
      </c>
    </row>
    <row r="123" spans="1:14" s="224" customFormat="1" ht="21" customHeight="1" x14ac:dyDescent="0.2">
      <c r="A123" s="417">
        <f t="shared" si="17"/>
        <v>13</v>
      </c>
      <c r="B123" s="423"/>
      <c r="C123" s="424"/>
      <c r="D123" s="423"/>
      <c r="E123" s="425"/>
      <c r="F123" s="426"/>
      <c r="G123" s="422"/>
      <c r="H123" s="431"/>
      <c r="I123" s="422"/>
      <c r="J123" s="433">
        <f t="shared" si="14"/>
        <v>0</v>
      </c>
      <c r="K123" s="630" t="str">
        <f t="shared" si="13"/>
        <v>TL</v>
      </c>
      <c r="M123" s="436">
        <f t="shared" si="15"/>
        <v>280</v>
      </c>
      <c r="N123" s="435">
        <f t="shared" si="16"/>
        <v>0</v>
      </c>
    </row>
    <row r="124" spans="1:14" s="224" customFormat="1" ht="21" customHeight="1" x14ac:dyDescent="0.2">
      <c r="A124" s="417">
        <f t="shared" si="17"/>
        <v>14</v>
      </c>
      <c r="B124" s="423"/>
      <c r="C124" s="424"/>
      <c r="D124" s="423"/>
      <c r="E124" s="425"/>
      <c r="F124" s="426"/>
      <c r="G124" s="422"/>
      <c r="H124" s="431"/>
      <c r="I124" s="422"/>
      <c r="J124" s="433">
        <f t="shared" si="14"/>
        <v>0</v>
      </c>
      <c r="K124" s="630" t="str">
        <f t="shared" si="13"/>
        <v>TL</v>
      </c>
      <c r="M124" s="436">
        <f t="shared" si="15"/>
        <v>280</v>
      </c>
      <c r="N124" s="435">
        <f t="shared" si="16"/>
        <v>0</v>
      </c>
    </row>
    <row r="125" spans="1:14" s="224" customFormat="1" ht="21" customHeight="1" x14ac:dyDescent="0.2">
      <c r="A125" s="417">
        <f t="shared" si="17"/>
        <v>15</v>
      </c>
      <c r="B125" s="423"/>
      <c r="C125" s="424"/>
      <c r="D125" s="423"/>
      <c r="E125" s="425"/>
      <c r="F125" s="426"/>
      <c r="G125" s="422"/>
      <c r="H125" s="431"/>
      <c r="I125" s="422"/>
      <c r="J125" s="433">
        <f t="shared" si="14"/>
        <v>0</v>
      </c>
      <c r="K125" s="630" t="str">
        <f t="shared" si="13"/>
        <v>TL</v>
      </c>
      <c r="M125" s="436">
        <f t="shared" si="15"/>
        <v>280</v>
      </c>
      <c r="N125" s="435">
        <f t="shared" si="16"/>
        <v>0</v>
      </c>
    </row>
    <row r="126" spans="1:14" s="224" customFormat="1" ht="21" customHeight="1" x14ac:dyDescent="0.2">
      <c r="A126" s="417">
        <f t="shared" si="17"/>
        <v>16</v>
      </c>
      <c r="B126" s="423"/>
      <c r="C126" s="424"/>
      <c r="D126" s="423"/>
      <c r="E126" s="425"/>
      <c r="F126" s="426"/>
      <c r="G126" s="422"/>
      <c r="H126" s="431"/>
      <c r="I126" s="422"/>
      <c r="J126" s="433">
        <f t="shared" si="14"/>
        <v>0</v>
      </c>
      <c r="K126" s="630" t="str">
        <f t="shared" si="13"/>
        <v>TL</v>
      </c>
      <c r="M126" s="436">
        <f t="shared" si="15"/>
        <v>280</v>
      </c>
      <c r="N126" s="435">
        <f t="shared" si="16"/>
        <v>0</v>
      </c>
    </row>
    <row r="127" spans="1:14" s="224" customFormat="1" ht="21" customHeight="1" x14ac:dyDescent="0.2">
      <c r="A127" s="417">
        <f t="shared" si="17"/>
        <v>17</v>
      </c>
      <c r="B127" s="423"/>
      <c r="C127" s="424"/>
      <c r="D127" s="423"/>
      <c r="E127" s="425"/>
      <c r="F127" s="426"/>
      <c r="G127" s="422"/>
      <c r="H127" s="431"/>
      <c r="I127" s="422"/>
      <c r="J127" s="433">
        <f t="shared" si="14"/>
        <v>0</v>
      </c>
      <c r="K127" s="630" t="str">
        <f t="shared" si="13"/>
        <v>TL</v>
      </c>
      <c r="M127" s="436">
        <f t="shared" si="15"/>
        <v>280</v>
      </c>
      <c r="N127" s="435">
        <f t="shared" si="16"/>
        <v>0</v>
      </c>
    </row>
    <row r="128" spans="1:14" s="224" customFormat="1" ht="21" customHeight="1" x14ac:dyDescent="0.2">
      <c r="A128" s="417">
        <f t="shared" si="17"/>
        <v>18</v>
      </c>
      <c r="B128" s="423"/>
      <c r="C128" s="424"/>
      <c r="D128" s="423"/>
      <c r="E128" s="425"/>
      <c r="F128" s="426"/>
      <c r="G128" s="422"/>
      <c r="H128" s="431"/>
      <c r="I128" s="422"/>
      <c r="J128" s="433">
        <f t="shared" si="14"/>
        <v>0</v>
      </c>
      <c r="K128" s="630" t="str">
        <f t="shared" si="13"/>
        <v>TL</v>
      </c>
      <c r="M128" s="436">
        <f t="shared" si="15"/>
        <v>280</v>
      </c>
      <c r="N128" s="435">
        <f t="shared" si="16"/>
        <v>0</v>
      </c>
    </row>
    <row r="129" spans="1:14" s="224" customFormat="1" ht="21" customHeight="1" x14ac:dyDescent="0.2">
      <c r="A129" s="417">
        <f>A128+1</f>
        <v>19</v>
      </c>
      <c r="B129" s="423"/>
      <c r="C129" s="424"/>
      <c r="D129" s="423"/>
      <c r="E129" s="425"/>
      <c r="F129" s="426"/>
      <c r="G129" s="422"/>
      <c r="H129" s="431"/>
      <c r="I129" s="422"/>
      <c r="J129" s="433">
        <f t="shared" si="14"/>
        <v>0</v>
      </c>
      <c r="K129" s="630" t="str">
        <f t="shared" si="13"/>
        <v>TL</v>
      </c>
      <c r="M129" s="436">
        <f t="shared" si="15"/>
        <v>280</v>
      </c>
      <c r="N129" s="435">
        <f t="shared" si="16"/>
        <v>0</v>
      </c>
    </row>
    <row r="130" spans="1:14" s="224" customFormat="1" ht="21" customHeight="1" x14ac:dyDescent="0.2">
      <c r="A130" s="417">
        <f t="shared" ref="A130:A150" si="18">A129+1</f>
        <v>20</v>
      </c>
      <c r="B130" s="423"/>
      <c r="C130" s="424"/>
      <c r="D130" s="423"/>
      <c r="E130" s="425"/>
      <c r="F130" s="426"/>
      <c r="G130" s="422"/>
      <c r="H130" s="431"/>
      <c r="I130" s="422"/>
      <c r="J130" s="433">
        <f t="shared" si="14"/>
        <v>0</v>
      </c>
      <c r="K130" s="630" t="str">
        <f t="shared" si="13"/>
        <v>TL</v>
      </c>
      <c r="M130" s="436">
        <f t="shared" si="15"/>
        <v>280</v>
      </c>
      <c r="N130" s="435">
        <f t="shared" si="16"/>
        <v>0</v>
      </c>
    </row>
    <row r="131" spans="1:14" s="224" customFormat="1" ht="21" customHeight="1" x14ac:dyDescent="0.2">
      <c r="A131" s="417">
        <f t="shared" si="18"/>
        <v>21</v>
      </c>
      <c r="B131" s="423"/>
      <c r="C131" s="424"/>
      <c r="D131" s="423"/>
      <c r="E131" s="425"/>
      <c r="F131" s="426"/>
      <c r="G131" s="422"/>
      <c r="H131" s="431"/>
      <c r="I131" s="422"/>
      <c r="J131" s="433">
        <f t="shared" si="14"/>
        <v>0</v>
      </c>
      <c r="K131" s="630" t="str">
        <f t="shared" si="13"/>
        <v>TL</v>
      </c>
      <c r="M131" s="436">
        <f t="shared" si="15"/>
        <v>280</v>
      </c>
      <c r="N131" s="435">
        <f t="shared" si="16"/>
        <v>0</v>
      </c>
    </row>
    <row r="132" spans="1:14" s="224" customFormat="1" ht="21" customHeight="1" x14ac:dyDescent="0.2">
      <c r="A132" s="417">
        <f t="shared" si="18"/>
        <v>22</v>
      </c>
      <c r="B132" s="423"/>
      <c r="C132" s="424"/>
      <c r="D132" s="423"/>
      <c r="E132" s="425"/>
      <c r="F132" s="426"/>
      <c r="G132" s="422"/>
      <c r="H132" s="431"/>
      <c r="I132" s="422"/>
      <c r="J132" s="433">
        <f t="shared" si="14"/>
        <v>0</v>
      </c>
      <c r="K132" s="630" t="str">
        <f t="shared" si="13"/>
        <v>TL</v>
      </c>
      <c r="M132" s="436">
        <f t="shared" si="15"/>
        <v>280</v>
      </c>
      <c r="N132" s="435">
        <f t="shared" si="16"/>
        <v>0</v>
      </c>
    </row>
    <row r="133" spans="1:14" s="224" customFormat="1" ht="21" customHeight="1" x14ac:dyDescent="0.2">
      <c r="A133" s="417">
        <f t="shared" si="18"/>
        <v>23</v>
      </c>
      <c r="B133" s="423"/>
      <c r="C133" s="424"/>
      <c r="D133" s="423"/>
      <c r="E133" s="425"/>
      <c r="F133" s="426"/>
      <c r="G133" s="422"/>
      <c r="H133" s="431"/>
      <c r="I133" s="422"/>
      <c r="J133" s="433">
        <f t="shared" si="14"/>
        <v>0</v>
      </c>
      <c r="K133" s="630" t="str">
        <f t="shared" si="13"/>
        <v>TL</v>
      </c>
      <c r="M133" s="436">
        <f t="shared" si="15"/>
        <v>280</v>
      </c>
      <c r="N133" s="435">
        <f t="shared" si="16"/>
        <v>0</v>
      </c>
    </row>
    <row r="134" spans="1:14" s="224" customFormat="1" ht="21" customHeight="1" x14ac:dyDescent="0.2">
      <c r="A134" s="417">
        <f t="shared" si="18"/>
        <v>24</v>
      </c>
      <c r="B134" s="423"/>
      <c r="C134" s="424"/>
      <c r="D134" s="423"/>
      <c r="E134" s="425"/>
      <c r="F134" s="426"/>
      <c r="G134" s="422"/>
      <c r="H134" s="431"/>
      <c r="I134" s="422"/>
      <c r="J134" s="433">
        <f t="shared" si="14"/>
        <v>0</v>
      </c>
      <c r="K134" s="630" t="str">
        <f t="shared" si="13"/>
        <v>TL</v>
      </c>
      <c r="M134" s="436">
        <f t="shared" si="15"/>
        <v>280</v>
      </c>
      <c r="N134" s="435">
        <f t="shared" si="16"/>
        <v>0</v>
      </c>
    </row>
    <row r="135" spans="1:14" s="224" customFormat="1" ht="21" customHeight="1" x14ac:dyDescent="0.2">
      <c r="A135" s="417">
        <f t="shared" si="18"/>
        <v>25</v>
      </c>
      <c r="B135" s="423"/>
      <c r="C135" s="424"/>
      <c r="D135" s="423"/>
      <c r="E135" s="425"/>
      <c r="F135" s="426"/>
      <c r="G135" s="422"/>
      <c r="H135" s="431"/>
      <c r="I135" s="422"/>
      <c r="J135" s="433">
        <f t="shared" si="14"/>
        <v>0</v>
      </c>
      <c r="K135" s="630" t="str">
        <f t="shared" si="13"/>
        <v>TL</v>
      </c>
      <c r="M135" s="436">
        <f t="shared" si="15"/>
        <v>280</v>
      </c>
      <c r="N135" s="435">
        <f t="shared" si="16"/>
        <v>0</v>
      </c>
    </row>
    <row r="136" spans="1:14" s="224" customFormat="1" ht="21" customHeight="1" x14ac:dyDescent="0.2">
      <c r="A136" s="417">
        <f t="shared" si="18"/>
        <v>26</v>
      </c>
      <c r="B136" s="423"/>
      <c r="C136" s="424"/>
      <c r="D136" s="423"/>
      <c r="E136" s="425"/>
      <c r="F136" s="426"/>
      <c r="G136" s="422"/>
      <c r="H136" s="431"/>
      <c r="I136" s="422"/>
      <c r="J136" s="433">
        <f t="shared" si="14"/>
        <v>0</v>
      </c>
      <c r="K136" s="630" t="str">
        <f t="shared" si="13"/>
        <v>TL</v>
      </c>
      <c r="M136" s="436">
        <f t="shared" si="15"/>
        <v>280</v>
      </c>
      <c r="N136" s="435">
        <f t="shared" si="16"/>
        <v>0</v>
      </c>
    </row>
    <row r="137" spans="1:14" s="224" customFormat="1" ht="21" customHeight="1" x14ac:dyDescent="0.2">
      <c r="A137" s="417">
        <f t="shared" si="18"/>
        <v>27</v>
      </c>
      <c r="B137" s="423"/>
      <c r="C137" s="424"/>
      <c r="D137" s="423"/>
      <c r="E137" s="425"/>
      <c r="F137" s="426"/>
      <c r="G137" s="422"/>
      <c r="H137" s="431"/>
      <c r="I137" s="422"/>
      <c r="J137" s="433">
        <f t="shared" si="14"/>
        <v>0</v>
      </c>
      <c r="K137" s="630" t="str">
        <f t="shared" si="13"/>
        <v>TL</v>
      </c>
      <c r="M137" s="436">
        <f t="shared" si="15"/>
        <v>280</v>
      </c>
      <c r="N137" s="435">
        <f t="shared" si="16"/>
        <v>0</v>
      </c>
    </row>
    <row r="138" spans="1:14" s="224" customFormat="1" ht="21" customHeight="1" x14ac:dyDescent="0.2">
      <c r="A138" s="417">
        <f t="shared" si="18"/>
        <v>28</v>
      </c>
      <c r="B138" s="423"/>
      <c r="C138" s="424"/>
      <c r="D138" s="423"/>
      <c r="E138" s="425"/>
      <c r="F138" s="426"/>
      <c r="G138" s="422"/>
      <c r="H138" s="431"/>
      <c r="I138" s="422"/>
      <c r="J138" s="433">
        <f t="shared" si="14"/>
        <v>0</v>
      </c>
      <c r="K138" s="630" t="str">
        <f t="shared" si="13"/>
        <v>TL</v>
      </c>
      <c r="M138" s="436">
        <f t="shared" si="15"/>
        <v>280</v>
      </c>
      <c r="N138" s="435">
        <f t="shared" si="16"/>
        <v>0</v>
      </c>
    </row>
    <row r="139" spans="1:14" s="224" customFormat="1" ht="21" customHeight="1" x14ac:dyDescent="0.2">
      <c r="A139" s="417">
        <f t="shared" si="18"/>
        <v>29</v>
      </c>
      <c r="B139" s="423"/>
      <c r="C139" s="424"/>
      <c r="D139" s="423"/>
      <c r="E139" s="425"/>
      <c r="F139" s="426"/>
      <c r="G139" s="422"/>
      <c r="H139" s="431"/>
      <c r="I139" s="422"/>
      <c r="J139" s="433">
        <f t="shared" si="14"/>
        <v>0</v>
      </c>
      <c r="K139" s="630" t="str">
        <f t="shared" si="13"/>
        <v>TL</v>
      </c>
      <c r="M139" s="436">
        <f t="shared" si="15"/>
        <v>280</v>
      </c>
      <c r="N139" s="435">
        <f t="shared" si="16"/>
        <v>0</v>
      </c>
    </row>
    <row r="140" spans="1:14" s="224" customFormat="1" ht="21" customHeight="1" x14ac:dyDescent="0.2">
      <c r="A140" s="417">
        <f t="shared" si="18"/>
        <v>30</v>
      </c>
      <c r="B140" s="423"/>
      <c r="C140" s="424"/>
      <c r="D140" s="423"/>
      <c r="E140" s="425"/>
      <c r="F140" s="426"/>
      <c r="G140" s="422"/>
      <c r="H140" s="431"/>
      <c r="I140" s="422"/>
      <c r="J140" s="433">
        <f t="shared" si="14"/>
        <v>0</v>
      </c>
      <c r="K140" s="630" t="str">
        <f t="shared" si="13"/>
        <v>TL</v>
      </c>
      <c r="M140" s="436">
        <f t="shared" si="15"/>
        <v>280</v>
      </c>
      <c r="N140" s="435">
        <f t="shared" si="16"/>
        <v>0</v>
      </c>
    </row>
    <row r="141" spans="1:14" s="224" customFormat="1" ht="21" customHeight="1" x14ac:dyDescent="0.2">
      <c r="A141" s="417">
        <f t="shared" si="18"/>
        <v>31</v>
      </c>
      <c r="B141" s="423"/>
      <c r="C141" s="424"/>
      <c r="D141" s="423"/>
      <c r="E141" s="425"/>
      <c r="F141" s="426"/>
      <c r="G141" s="422"/>
      <c r="H141" s="431"/>
      <c r="I141" s="422"/>
      <c r="J141" s="433">
        <f t="shared" si="14"/>
        <v>0</v>
      </c>
      <c r="K141" s="630" t="str">
        <f t="shared" si="13"/>
        <v>TL</v>
      </c>
      <c r="M141" s="436">
        <f t="shared" si="15"/>
        <v>280</v>
      </c>
      <c r="N141" s="435">
        <f t="shared" si="16"/>
        <v>0</v>
      </c>
    </row>
    <row r="142" spans="1:14" s="224" customFormat="1" ht="21" customHeight="1" x14ac:dyDescent="0.2">
      <c r="A142" s="417">
        <f t="shared" si="18"/>
        <v>32</v>
      </c>
      <c r="B142" s="423"/>
      <c r="C142" s="424"/>
      <c r="D142" s="423"/>
      <c r="E142" s="425"/>
      <c r="F142" s="426"/>
      <c r="G142" s="422"/>
      <c r="H142" s="431"/>
      <c r="I142" s="422"/>
      <c r="J142" s="433">
        <f t="shared" si="14"/>
        <v>0</v>
      </c>
      <c r="K142" s="630" t="str">
        <f t="shared" si="13"/>
        <v>TL</v>
      </c>
      <c r="M142" s="436">
        <f t="shared" si="15"/>
        <v>280</v>
      </c>
      <c r="N142" s="435">
        <f t="shared" si="16"/>
        <v>0</v>
      </c>
    </row>
    <row r="143" spans="1:14" s="224" customFormat="1" ht="21" customHeight="1" x14ac:dyDescent="0.2">
      <c r="A143" s="417">
        <f t="shared" si="18"/>
        <v>33</v>
      </c>
      <c r="B143" s="423"/>
      <c r="C143" s="424"/>
      <c r="D143" s="423"/>
      <c r="E143" s="425"/>
      <c r="F143" s="426"/>
      <c r="G143" s="422"/>
      <c r="H143" s="431"/>
      <c r="I143" s="422"/>
      <c r="J143" s="433">
        <f t="shared" si="14"/>
        <v>0</v>
      </c>
      <c r="K143" s="630" t="str">
        <f t="shared" si="13"/>
        <v>TL</v>
      </c>
      <c r="M143" s="436">
        <f t="shared" si="15"/>
        <v>280</v>
      </c>
      <c r="N143" s="435">
        <f t="shared" si="16"/>
        <v>0</v>
      </c>
    </row>
    <row r="144" spans="1:14" s="224" customFormat="1" ht="21" customHeight="1" x14ac:dyDescent="0.2">
      <c r="A144" s="417">
        <f t="shared" si="18"/>
        <v>34</v>
      </c>
      <c r="B144" s="423"/>
      <c r="C144" s="424"/>
      <c r="D144" s="423"/>
      <c r="E144" s="425"/>
      <c r="F144" s="426"/>
      <c r="G144" s="422"/>
      <c r="H144" s="431"/>
      <c r="I144" s="422"/>
      <c r="J144" s="433">
        <f t="shared" si="14"/>
        <v>0</v>
      </c>
      <c r="K144" s="630" t="str">
        <f t="shared" si="13"/>
        <v>TL</v>
      </c>
      <c r="M144" s="436">
        <f t="shared" si="15"/>
        <v>280</v>
      </c>
      <c r="N144" s="435">
        <f t="shared" si="16"/>
        <v>0</v>
      </c>
    </row>
    <row r="145" spans="1:14" s="224" customFormat="1" ht="21" customHeight="1" x14ac:dyDescent="0.2">
      <c r="A145" s="417">
        <f t="shared" si="18"/>
        <v>35</v>
      </c>
      <c r="B145" s="423"/>
      <c r="C145" s="424"/>
      <c r="D145" s="423"/>
      <c r="E145" s="425"/>
      <c r="F145" s="426"/>
      <c r="G145" s="422"/>
      <c r="H145" s="431"/>
      <c r="I145" s="422"/>
      <c r="J145" s="433">
        <f t="shared" si="14"/>
        <v>0</v>
      </c>
      <c r="K145" s="630" t="str">
        <f t="shared" si="13"/>
        <v>TL</v>
      </c>
      <c r="M145" s="436">
        <f t="shared" si="15"/>
        <v>280</v>
      </c>
      <c r="N145" s="435">
        <f t="shared" si="16"/>
        <v>0</v>
      </c>
    </row>
    <row r="146" spans="1:14" s="224" customFormat="1" ht="21" customHeight="1" x14ac:dyDescent="0.2">
      <c r="A146" s="417">
        <f t="shared" si="18"/>
        <v>36</v>
      </c>
      <c r="B146" s="423"/>
      <c r="C146" s="424"/>
      <c r="D146" s="423"/>
      <c r="E146" s="425"/>
      <c r="F146" s="426"/>
      <c r="G146" s="422"/>
      <c r="H146" s="431"/>
      <c r="I146" s="422"/>
      <c r="J146" s="433">
        <f t="shared" si="14"/>
        <v>0</v>
      </c>
      <c r="K146" s="630" t="str">
        <f t="shared" si="13"/>
        <v>TL</v>
      </c>
      <c r="M146" s="436">
        <f t="shared" si="15"/>
        <v>280</v>
      </c>
      <c r="N146" s="435">
        <f t="shared" si="16"/>
        <v>0</v>
      </c>
    </row>
    <row r="147" spans="1:14" s="224" customFormat="1" ht="21" customHeight="1" x14ac:dyDescent="0.2">
      <c r="A147" s="417">
        <f t="shared" si="18"/>
        <v>37</v>
      </c>
      <c r="B147" s="423"/>
      <c r="C147" s="424"/>
      <c r="D147" s="423"/>
      <c r="E147" s="425"/>
      <c r="F147" s="426"/>
      <c r="G147" s="422"/>
      <c r="H147" s="431"/>
      <c r="I147" s="422"/>
      <c r="J147" s="433">
        <f t="shared" si="14"/>
        <v>0</v>
      </c>
      <c r="K147" s="630" t="str">
        <f t="shared" si="13"/>
        <v>TL</v>
      </c>
      <c r="M147" s="436">
        <f t="shared" si="15"/>
        <v>280</v>
      </c>
      <c r="N147" s="435">
        <f t="shared" si="16"/>
        <v>0</v>
      </c>
    </row>
    <row r="148" spans="1:14" s="224" customFormat="1" ht="21" customHeight="1" x14ac:dyDescent="0.2">
      <c r="A148" s="417">
        <f t="shared" si="18"/>
        <v>38</v>
      </c>
      <c r="B148" s="423"/>
      <c r="C148" s="424"/>
      <c r="D148" s="423"/>
      <c r="E148" s="425"/>
      <c r="F148" s="426"/>
      <c r="G148" s="422"/>
      <c r="H148" s="431"/>
      <c r="I148" s="422"/>
      <c r="J148" s="433">
        <f t="shared" si="14"/>
        <v>0</v>
      </c>
      <c r="K148" s="630" t="str">
        <f t="shared" si="13"/>
        <v>TL</v>
      </c>
      <c r="M148" s="436">
        <f t="shared" si="15"/>
        <v>280</v>
      </c>
      <c r="N148" s="435">
        <f t="shared" si="16"/>
        <v>0</v>
      </c>
    </row>
    <row r="149" spans="1:14" s="224" customFormat="1" ht="21" customHeight="1" x14ac:dyDescent="0.2">
      <c r="A149" s="417">
        <f t="shared" si="18"/>
        <v>39</v>
      </c>
      <c r="B149" s="423"/>
      <c r="C149" s="424"/>
      <c r="D149" s="423"/>
      <c r="E149" s="425"/>
      <c r="F149" s="426"/>
      <c r="G149" s="422"/>
      <c r="H149" s="431"/>
      <c r="I149" s="422"/>
      <c r="J149" s="433">
        <f t="shared" si="14"/>
        <v>0</v>
      </c>
      <c r="K149" s="630" t="str">
        <f t="shared" si="13"/>
        <v>TL</v>
      </c>
      <c r="M149" s="436">
        <f t="shared" si="15"/>
        <v>280</v>
      </c>
      <c r="N149" s="435">
        <f t="shared" si="16"/>
        <v>0</v>
      </c>
    </row>
    <row r="150" spans="1:14" s="224" customFormat="1" ht="21" customHeight="1" x14ac:dyDescent="0.2">
      <c r="A150" s="417">
        <f t="shared" si="18"/>
        <v>40</v>
      </c>
      <c r="B150" s="423"/>
      <c r="C150" s="424"/>
      <c r="D150" s="423"/>
      <c r="E150" s="425"/>
      <c r="F150" s="426"/>
      <c r="G150" s="422"/>
      <c r="H150" s="431"/>
      <c r="I150" s="422"/>
      <c r="J150" s="433">
        <f t="shared" si="14"/>
        <v>0</v>
      </c>
      <c r="K150" s="630" t="str">
        <f t="shared" si="13"/>
        <v>TL</v>
      </c>
      <c r="M150" s="436">
        <f t="shared" si="15"/>
        <v>280</v>
      </c>
      <c r="N150" s="435">
        <f t="shared" si="16"/>
        <v>0</v>
      </c>
    </row>
    <row r="151" spans="1:14" ht="15" x14ac:dyDescent="0.2">
      <c r="C151" s="71"/>
      <c r="G151" s="427"/>
      <c r="H151" s="427"/>
      <c r="I151" s="427"/>
      <c r="J151" s="428"/>
      <c r="K151" s="429"/>
    </row>
    <row r="152" spans="1:14" x14ac:dyDescent="0.2">
      <c r="A152" s="238" t="s">
        <v>279</v>
      </c>
      <c r="C152" s="135"/>
      <c r="E152" s="1" t="s">
        <v>280</v>
      </c>
      <c r="F152" s="1"/>
      <c r="I152" s="238" t="s">
        <v>281</v>
      </c>
    </row>
    <row r="153" spans="1:14" ht="19.5" customHeight="1" x14ac:dyDescent="0.2">
      <c r="A153" s="528" t="s">
        <v>286</v>
      </c>
      <c r="B153" s="528"/>
      <c r="C153" s="528"/>
      <c r="D153" s="528"/>
      <c r="E153" s="1"/>
      <c r="F153" s="1"/>
      <c r="I153" s="135"/>
    </row>
    <row r="154" spans="1:14" ht="17.25" customHeight="1" x14ac:dyDescent="0.2">
      <c r="A154" s="622" t="s">
        <v>287</v>
      </c>
      <c r="B154" s="622"/>
      <c r="C154" s="622"/>
      <c r="D154" s="622"/>
      <c r="E154" s="1"/>
      <c r="F154" s="1"/>
    </row>
    <row r="155" spans="1:14" ht="19.5" customHeight="1" x14ac:dyDescent="0.2">
      <c r="A155" s="622" t="s">
        <v>288</v>
      </c>
      <c r="B155" s="622"/>
      <c r="C155" s="622"/>
      <c r="D155" s="622"/>
      <c r="E155" s="238" t="s">
        <v>282</v>
      </c>
      <c r="F155" s="1"/>
      <c r="I155" s="135" t="s">
        <v>289</v>
      </c>
    </row>
    <row r="156" spans="1:14" ht="15.75" customHeight="1" x14ac:dyDescent="0.2">
      <c r="C156" s="71"/>
      <c r="E156" s="17" t="s">
        <v>283</v>
      </c>
      <c r="F156" s="1"/>
      <c r="I156" s="17" t="s">
        <v>283</v>
      </c>
    </row>
    <row r="157" spans="1:14" ht="15.75" customHeight="1" x14ac:dyDescent="0.2">
      <c r="C157" s="71"/>
      <c r="E157" s="17" t="s">
        <v>284</v>
      </c>
      <c r="F157" s="1"/>
      <c r="I157" s="17" t="s">
        <v>284</v>
      </c>
    </row>
    <row r="158" spans="1:14" ht="15" x14ac:dyDescent="0.25">
      <c r="A158" s="88" t="s">
        <v>292</v>
      </c>
      <c r="B158" s="88"/>
      <c r="C158" s="88"/>
      <c r="D158" s="88"/>
      <c r="E158" s="88"/>
      <c r="F158" s="88"/>
      <c r="G158" s="88"/>
      <c r="H158" s="88"/>
      <c r="I158" s="88"/>
      <c r="J158" s="88"/>
      <c r="K158" s="89"/>
    </row>
    <row r="159" spans="1:14" ht="6" customHeight="1" x14ac:dyDescent="0.2">
      <c r="C159" s="71"/>
      <c r="G159" s="1"/>
    </row>
    <row r="160" spans="1:14" s="1" customFormat="1" ht="30" customHeight="1" x14ac:dyDescent="0.2">
      <c r="A160" s="623" t="s">
        <v>268</v>
      </c>
      <c r="B160" s="623" t="s">
        <v>269</v>
      </c>
      <c r="C160" s="623" t="s">
        <v>270</v>
      </c>
      <c r="D160" s="623" t="s">
        <v>271</v>
      </c>
      <c r="E160" s="623" t="s">
        <v>181</v>
      </c>
      <c r="F160" s="625" t="s">
        <v>272</v>
      </c>
      <c r="G160" s="627" t="s">
        <v>273</v>
      </c>
      <c r="H160" s="628"/>
      <c r="I160" s="415" t="s">
        <v>274</v>
      </c>
      <c r="J160" s="623" t="s">
        <v>275</v>
      </c>
      <c r="K160" s="623" t="s">
        <v>285</v>
      </c>
      <c r="M160" s="629" t="s">
        <v>299</v>
      </c>
      <c r="N160" s="621" t="s">
        <v>300</v>
      </c>
    </row>
    <row r="161" spans="1:14" s="1" customFormat="1" ht="28.5" customHeight="1" x14ac:dyDescent="0.2">
      <c r="A161" s="624"/>
      <c r="B161" s="624"/>
      <c r="C161" s="624"/>
      <c r="D161" s="624"/>
      <c r="E161" s="624"/>
      <c r="F161" s="626"/>
      <c r="G161" s="416" t="s">
        <v>276</v>
      </c>
      <c r="H161" s="430"/>
      <c r="I161" s="416" t="s">
        <v>278</v>
      </c>
      <c r="J161" s="624"/>
      <c r="K161" s="624"/>
      <c r="M161" s="629"/>
      <c r="N161" s="621"/>
    </row>
    <row r="162" spans="1:14" s="224" customFormat="1" ht="21" customHeight="1" x14ac:dyDescent="0.2">
      <c r="A162" s="417">
        <v>1</v>
      </c>
      <c r="B162" s="418"/>
      <c r="C162" s="419"/>
      <c r="D162" s="418"/>
      <c r="E162" s="420"/>
      <c r="F162" s="421"/>
      <c r="G162" s="432">
        <v>70</v>
      </c>
      <c r="H162" s="431"/>
      <c r="I162" s="432">
        <v>210</v>
      </c>
      <c r="J162" s="433">
        <f>SUM(G162:I162)</f>
        <v>280</v>
      </c>
      <c r="K162" s="630" t="str">
        <f t="shared" ref="K162:K201" si="19">IF(J162&gt;=M162,"L","TL")</f>
        <v>L</v>
      </c>
      <c r="M162" s="436">
        <f>400*70%</f>
        <v>280</v>
      </c>
      <c r="N162" s="435">
        <f>J162/400*100%</f>
        <v>0.7</v>
      </c>
    </row>
    <row r="163" spans="1:14" s="224" customFormat="1" ht="21" customHeight="1" x14ac:dyDescent="0.2">
      <c r="A163" s="417">
        <f>A162+1</f>
        <v>2</v>
      </c>
      <c r="B163" s="418"/>
      <c r="C163" s="419"/>
      <c r="D163" s="418"/>
      <c r="E163" s="420"/>
      <c r="F163" s="421"/>
      <c r="G163" s="422"/>
      <c r="H163" s="431"/>
      <c r="I163" s="422"/>
      <c r="J163" s="433">
        <f t="shared" ref="J163:J201" si="20">SUM(G163:I163)</f>
        <v>0</v>
      </c>
      <c r="K163" s="630" t="str">
        <f t="shared" si="19"/>
        <v>TL</v>
      </c>
      <c r="M163" s="436">
        <f t="shared" ref="M163:M201" si="21">400*70%</f>
        <v>280</v>
      </c>
      <c r="N163" s="435">
        <f t="shared" ref="N163:N201" si="22">J163/400*100%</f>
        <v>0</v>
      </c>
    </row>
    <row r="164" spans="1:14" s="224" customFormat="1" ht="21" customHeight="1" x14ac:dyDescent="0.2">
      <c r="A164" s="417">
        <f t="shared" ref="A164:A179" si="23">A163+1</f>
        <v>3</v>
      </c>
      <c r="B164" s="423"/>
      <c r="C164" s="424"/>
      <c r="D164" s="423"/>
      <c r="E164" s="425"/>
      <c r="F164" s="426"/>
      <c r="G164" s="422"/>
      <c r="H164" s="431"/>
      <c r="I164" s="422"/>
      <c r="J164" s="433">
        <f t="shared" si="20"/>
        <v>0</v>
      </c>
      <c r="K164" s="630" t="str">
        <f t="shared" si="19"/>
        <v>TL</v>
      </c>
      <c r="M164" s="436">
        <f t="shared" si="21"/>
        <v>280</v>
      </c>
      <c r="N164" s="435">
        <f t="shared" si="22"/>
        <v>0</v>
      </c>
    </row>
    <row r="165" spans="1:14" s="224" customFormat="1" ht="21" customHeight="1" x14ac:dyDescent="0.2">
      <c r="A165" s="417">
        <f t="shared" si="23"/>
        <v>4</v>
      </c>
      <c r="B165" s="423"/>
      <c r="C165" s="424"/>
      <c r="D165" s="423"/>
      <c r="E165" s="425"/>
      <c r="F165" s="426"/>
      <c r="G165" s="422"/>
      <c r="H165" s="431"/>
      <c r="I165" s="422"/>
      <c r="J165" s="433">
        <f t="shared" si="20"/>
        <v>0</v>
      </c>
      <c r="K165" s="630" t="str">
        <f t="shared" si="19"/>
        <v>TL</v>
      </c>
      <c r="M165" s="436">
        <f t="shared" si="21"/>
        <v>280</v>
      </c>
      <c r="N165" s="435">
        <f t="shared" si="22"/>
        <v>0</v>
      </c>
    </row>
    <row r="166" spans="1:14" s="224" customFormat="1" ht="21" customHeight="1" x14ac:dyDescent="0.2">
      <c r="A166" s="417">
        <f t="shared" si="23"/>
        <v>5</v>
      </c>
      <c r="B166" s="423"/>
      <c r="C166" s="424"/>
      <c r="D166" s="423"/>
      <c r="E166" s="425"/>
      <c r="F166" s="426"/>
      <c r="G166" s="422"/>
      <c r="H166" s="431"/>
      <c r="I166" s="422"/>
      <c r="J166" s="433">
        <f t="shared" si="20"/>
        <v>0</v>
      </c>
      <c r="K166" s="630" t="str">
        <f t="shared" si="19"/>
        <v>TL</v>
      </c>
      <c r="M166" s="436">
        <f t="shared" si="21"/>
        <v>280</v>
      </c>
      <c r="N166" s="435">
        <f t="shared" si="22"/>
        <v>0</v>
      </c>
    </row>
    <row r="167" spans="1:14" s="224" customFormat="1" ht="21" customHeight="1" x14ac:dyDescent="0.2">
      <c r="A167" s="417">
        <f t="shared" si="23"/>
        <v>6</v>
      </c>
      <c r="B167" s="423"/>
      <c r="C167" s="424"/>
      <c r="D167" s="423"/>
      <c r="E167" s="425"/>
      <c r="F167" s="426"/>
      <c r="G167" s="422"/>
      <c r="H167" s="431"/>
      <c r="I167" s="422"/>
      <c r="J167" s="433">
        <f t="shared" si="20"/>
        <v>0</v>
      </c>
      <c r="K167" s="630" t="str">
        <f t="shared" si="19"/>
        <v>TL</v>
      </c>
      <c r="M167" s="436">
        <f t="shared" si="21"/>
        <v>280</v>
      </c>
      <c r="N167" s="435">
        <f t="shared" si="22"/>
        <v>0</v>
      </c>
    </row>
    <row r="168" spans="1:14" s="224" customFormat="1" ht="21" customHeight="1" x14ac:dyDescent="0.2">
      <c r="A168" s="417">
        <f t="shared" si="23"/>
        <v>7</v>
      </c>
      <c r="B168" s="423"/>
      <c r="C168" s="424"/>
      <c r="D168" s="423"/>
      <c r="E168" s="425"/>
      <c r="F168" s="426"/>
      <c r="G168" s="422"/>
      <c r="H168" s="431"/>
      <c r="I168" s="422"/>
      <c r="J168" s="433">
        <f t="shared" si="20"/>
        <v>0</v>
      </c>
      <c r="K168" s="630" t="str">
        <f t="shared" si="19"/>
        <v>TL</v>
      </c>
      <c r="M168" s="436">
        <f t="shared" si="21"/>
        <v>280</v>
      </c>
      <c r="N168" s="435">
        <f t="shared" si="22"/>
        <v>0</v>
      </c>
    </row>
    <row r="169" spans="1:14" s="224" customFormat="1" ht="21" customHeight="1" x14ac:dyDescent="0.2">
      <c r="A169" s="417">
        <f t="shared" si="23"/>
        <v>8</v>
      </c>
      <c r="B169" s="423"/>
      <c r="C169" s="424"/>
      <c r="D169" s="423"/>
      <c r="E169" s="425"/>
      <c r="F169" s="426"/>
      <c r="G169" s="422"/>
      <c r="H169" s="431"/>
      <c r="I169" s="422"/>
      <c r="J169" s="433">
        <f t="shared" si="20"/>
        <v>0</v>
      </c>
      <c r="K169" s="630" t="str">
        <f t="shared" si="19"/>
        <v>TL</v>
      </c>
      <c r="M169" s="436">
        <f t="shared" si="21"/>
        <v>280</v>
      </c>
      <c r="N169" s="435">
        <f t="shared" si="22"/>
        <v>0</v>
      </c>
    </row>
    <row r="170" spans="1:14" s="224" customFormat="1" ht="21" customHeight="1" x14ac:dyDescent="0.2">
      <c r="A170" s="417">
        <f t="shared" si="23"/>
        <v>9</v>
      </c>
      <c r="B170" s="423"/>
      <c r="C170" s="424"/>
      <c r="D170" s="423"/>
      <c r="E170" s="425"/>
      <c r="F170" s="426"/>
      <c r="G170" s="422"/>
      <c r="H170" s="431"/>
      <c r="I170" s="422"/>
      <c r="J170" s="433">
        <f t="shared" si="20"/>
        <v>0</v>
      </c>
      <c r="K170" s="630" t="str">
        <f t="shared" si="19"/>
        <v>TL</v>
      </c>
      <c r="M170" s="436">
        <f t="shared" si="21"/>
        <v>280</v>
      </c>
      <c r="N170" s="435">
        <f t="shared" si="22"/>
        <v>0</v>
      </c>
    </row>
    <row r="171" spans="1:14" s="224" customFormat="1" ht="21" customHeight="1" x14ac:dyDescent="0.2">
      <c r="A171" s="417">
        <f t="shared" si="23"/>
        <v>10</v>
      </c>
      <c r="B171" s="423"/>
      <c r="C171" s="424"/>
      <c r="D171" s="423"/>
      <c r="E171" s="425"/>
      <c r="F171" s="426"/>
      <c r="G171" s="422"/>
      <c r="H171" s="431"/>
      <c r="I171" s="422"/>
      <c r="J171" s="433">
        <f t="shared" si="20"/>
        <v>0</v>
      </c>
      <c r="K171" s="630" t="str">
        <f t="shared" si="19"/>
        <v>TL</v>
      </c>
      <c r="M171" s="436">
        <f t="shared" si="21"/>
        <v>280</v>
      </c>
      <c r="N171" s="435">
        <f t="shared" si="22"/>
        <v>0</v>
      </c>
    </row>
    <row r="172" spans="1:14" s="224" customFormat="1" ht="21" customHeight="1" x14ac:dyDescent="0.2">
      <c r="A172" s="417">
        <f t="shared" si="23"/>
        <v>11</v>
      </c>
      <c r="B172" s="423"/>
      <c r="C172" s="424"/>
      <c r="D172" s="423"/>
      <c r="E172" s="425"/>
      <c r="F172" s="426"/>
      <c r="G172" s="422"/>
      <c r="H172" s="431"/>
      <c r="I172" s="422"/>
      <c r="J172" s="433">
        <f t="shared" si="20"/>
        <v>0</v>
      </c>
      <c r="K172" s="630" t="str">
        <f t="shared" si="19"/>
        <v>TL</v>
      </c>
      <c r="M172" s="436">
        <f t="shared" si="21"/>
        <v>280</v>
      </c>
      <c r="N172" s="435">
        <f t="shared" si="22"/>
        <v>0</v>
      </c>
    </row>
    <row r="173" spans="1:14" s="224" customFormat="1" ht="21" customHeight="1" x14ac:dyDescent="0.2">
      <c r="A173" s="417">
        <f t="shared" si="23"/>
        <v>12</v>
      </c>
      <c r="B173" s="423"/>
      <c r="C173" s="424"/>
      <c r="D173" s="423"/>
      <c r="E173" s="425"/>
      <c r="F173" s="426"/>
      <c r="G173" s="422"/>
      <c r="H173" s="431"/>
      <c r="I173" s="422"/>
      <c r="J173" s="433">
        <f t="shared" si="20"/>
        <v>0</v>
      </c>
      <c r="K173" s="630" t="str">
        <f t="shared" si="19"/>
        <v>TL</v>
      </c>
      <c r="M173" s="436">
        <f t="shared" si="21"/>
        <v>280</v>
      </c>
      <c r="N173" s="435">
        <f t="shared" si="22"/>
        <v>0</v>
      </c>
    </row>
    <row r="174" spans="1:14" s="224" customFormat="1" ht="21" customHeight="1" x14ac:dyDescent="0.2">
      <c r="A174" s="417">
        <f t="shared" si="23"/>
        <v>13</v>
      </c>
      <c r="B174" s="423"/>
      <c r="C174" s="424"/>
      <c r="D174" s="423"/>
      <c r="E174" s="425"/>
      <c r="F174" s="426"/>
      <c r="G174" s="422"/>
      <c r="H174" s="431"/>
      <c r="I174" s="422"/>
      <c r="J174" s="433">
        <f t="shared" si="20"/>
        <v>0</v>
      </c>
      <c r="K174" s="630" t="str">
        <f t="shared" si="19"/>
        <v>TL</v>
      </c>
      <c r="M174" s="436">
        <f t="shared" si="21"/>
        <v>280</v>
      </c>
      <c r="N174" s="435">
        <f t="shared" si="22"/>
        <v>0</v>
      </c>
    </row>
    <row r="175" spans="1:14" s="224" customFormat="1" ht="21" customHeight="1" x14ac:dyDescent="0.2">
      <c r="A175" s="417">
        <f t="shared" si="23"/>
        <v>14</v>
      </c>
      <c r="B175" s="423"/>
      <c r="C175" s="424"/>
      <c r="D175" s="423"/>
      <c r="E175" s="425"/>
      <c r="F175" s="426"/>
      <c r="G175" s="422"/>
      <c r="H175" s="431"/>
      <c r="I175" s="422"/>
      <c r="J175" s="433">
        <f t="shared" si="20"/>
        <v>0</v>
      </c>
      <c r="K175" s="630" t="str">
        <f t="shared" si="19"/>
        <v>TL</v>
      </c>
      <c r="M175" s="436">
        <f t="shared" si="21"/>
        <v>280</v>
      </c>
      <c r="N175" s="435">
        <f t="shared" si="22"/>
        <v>0</v>
      </c>
    </row>
    <row r="176" spans="1:14" s="224" customFormat="1" ht="21" customHeight="1" x14ac:dyDescent="0.2">
      <c r="A176" s="417">
        <f t="shared" si="23"/>
        <v>15</v>
      </c>
      <c r="B176" s="423"/>
      <c r="C176" s="424"/>
      <c r="D176" s="423"/>
      <c r="E176" s="425"/>
      <c r="F176" s="426"/>
      <c r="G176" s="422"/>
      <c r="H176" s="431"/>
      <c r="I176" s="422"/>
      <c r="J176" s="433">
        <f t="shared" si="20"/>
        <v>0</v>
      </c>
      <c r="K176" s="630" t="str">
        <f t="shared" si="19"/>
        <v>TL</v>
      </c>
      <c r="M176" s="436">
        <f t="shared" si="21"/>
        <v>280</v>
      </c>
      <c r="N176" s="435">
        <f t="shared" si="22"/>
        <v>0</v>
      </c>
    </row>
    <row r="177" spans="1:14" s="224" customFormat="1" ht="21" customHeight="1" x14ac:dyDescent="0.2">
      <c r="A177" s="417">
        <f t="shared" si="23"/>
        <v>16</v>
      </c>
      <c r="B177" s="423"/>
      <c r="C177" s="424"/>
      <c r="D177" s="423"/>
      <c r="E177" s="425"/>
      <c r="F177" s="426"/>
      <c r="G177" s="422"/>
      <c r="H177" s="431"/>
      <c r="I177" s="422"/>
      <c r="J177" s="433">
        <f t="shared" si="20"/>
        <v>0</v>
      </c>
      <c r="K177" s="630" t="str">
        <f t="shared" si="19"/>
        <v>TL</v>
      </c>
      <c r="M177" s="436">
        <f t="shared" si="21"/>
        <v>280</v>
      </c>
      <c r="N177" s="435">
        <f t="shared" si="22"/>
        <v>0</v>
      </c>
    </row>
    <row r="178" spans="1:14" s="224" customFormat="1" ht="21" customHeight="1" x14ac:dyDescent="0.2">
      <c r="A178" s="417">
        <f t="shared" si="23"/>
        <v>17</v>
      </c>
      <c r="B178" s="423"/>
      <c r="C178" s="424"/>
      <c r="D178" s="423"/>
      <c r="E178" s="425"/>
      <c r="F178" s="426"/>
      <c r="G178" s="422"/>
      <c r="H178" s="431"/>
      <c r="I178" s="422"/>
      <c r="J178" s="433">
        <f t="shared" si="20"/>
        <v>0</v>
      </c>
      <c r="K178" s="630" t="str">
        <f t="shared" si="19"/>
        <v>TL</v>
      </c>
      <c r="M178" s="436">
        <f t="shared" si="21"/>
        <v>280</v>
      </c>
      <c r="N178" s="435">
        <f t="shared" si="22"/>
        <v>0</v>
      </c>
    </row>
    <row r="179" spans="1:14" s="224" customFormat="1" ht="21" customHeight="1" x14ac:dyDescent="0.2">
      <c r="A179" s="417">
        <f t="shared" si="23"/>
        <v>18</v>
      </c>
      <c r="B179" s="423"/>
      <c r="C179" s="424"/>
      <c r="D179" s="423"/>
      <c r="E179" s="425"/>
      <c r="F179" s="426"/>
      <c r="G179" s="422"/>
      <c r="H179" s="431"/>
      <c r="I179" s="422"/>
      <c r="J179" s="433">
        <f t="shared" si="20"/>
        <v>0</v>
      </c>
      <c r="K179" s="630" t="str">
        <f t="shared" si="19"/>
        <v>TL</v>
      </c>
      <c r="M179" s="436">
        <f t="shared" si="21"/>
        <v>280</v>
      </c>
      <c r="N179" s="435">
        <f t="shared" si="22"/>
        <v>0</v>
      </c>
    </row>
    <row r="180" spans="1:14" s="224" customFormat="1" ht="21" customHeight="1" x14ac:dyDescent="0.2">
      <c r="A180" s="417">
        <f>A179+1</f>
        <v>19</v>
      </c>
      <c r="B180" s="423"/>
      <c r="C180" s="424"/>
      <c r="D180" s="423"/>
      <c r="E180" s="425"/>
      <c r="F180" s="426"/>
      <c r="G180" s="422"/>
      <c r="H180" s="431"/>
      <c r="I180" s="422"/>
      <c r="J180" s="433">
        <f t="shared" si="20"/>
        <v>0</v>
      </c>
      <c r="K180" s="630" t="str">
        <f t="shared" si="19"/>
        <v>TL</v>
      </c>
      <c r="M180" s="436">
        <f t="shared" si="21"/>
        <v>280</v>
      </c>
      <c r="N180" s="435">
        <f t="shared" si="22"/>
        <v>0</v>
      </c>
    </row>
    <row r="181" spans="1:14" s="224" customFormat="1" ht="21" customHeight="1" x14ac:dyDescent="0.2">
      <c r="A181" s="417">
        <f t="shared" ref="A181:A201" si="24">A180+1</f>
        <v>20</v>
      </c>
      <c r="B181" s="423"/>
      <c r="C181" s="424"/>
      <c r="D181" s="423"/>
      <c r="E181" s="425"/>
      <c r="F181" s="426"/>
      <c r="G181" s="422"/>
      <c r="H181" s="431"/>
      <c r="I181" s="422"/>
      <c r="J181" s="433">
        <f t="shared" si="20"/>
        <v>0</v>
      </c>
      <c r="K181" s="630" t="str">
        <f t="shared" si="19"/>
        <v>TL</v>
      </c>
      <c r="M181" s="436">
        <f t="shared" si="21"/>
        <v>280</v>
      </c>
      <c r="N181" s="435">
        <f t="shared" si="22"/>
        <v>0</v>
      </c>
    </row>
    <row r="182" spans="1:14" s="224" customFormat="1" ht="21" customHeight="1" x14ac:dyDescent="0.2">
      <c r="A182" s="417">
        <f t="shared" si="24"/>
        <v>21</v>
      </c>
      <c r="B182" s="423"/>
      <c r="C182" s="424"/>
      <c r="D182" s="423"/>
      <c r="E182" s="425"/>
      <c r="F182" s="426"/>
      <c r="G182" s="422"/>
      <c r="H182" s="431"/>
      <c r="I182" s="422"/>
      <c r="J182" s="433">
        <f t="shared" si="20"/>
        <v>0</v>
      </c>
      <c r="K182" s="630" t="str">
        <f t="shared" si="19"/>
        <v>TL</v>
      </c>
      <c r="M182" s="436">
        <f t="shared" si="21"/>
        <v>280</v>
      </c>
      <c r="N182" s="435">
        <f t="shared" si="22"/>
        <v>0</v>
      </c>
    </row>
    <row r="183" spans="1:14" s="224" customFormat="1" ht="21" customHeight="1" x14ac:dyDescent="0.2">
      <c r="A183" s="417">
        <f t="shared" si="24"/>
        <v>22</v>
      </c>
      <c r="B183" s="423"/>
      <c r="C183" s="424"/>
      <c r="D183" s="423"/>
      <c r="E183" s="425"/>
      <c r="F183" s="426"/>
      <c r="G183" s="422"/>
      <c r="H183" s="431"/>
      <c r="I183" s="422"/>
      <c r="J183" s="433">
        <f t="shared" si="20"/>
        <v>0</v>
      </c>
      <c r="K183" s="630" t="str">
        <f t="shared" si="19"/>
        <v>TL</v>
      </c>
      <c r="M183" s="436">
        <f t="shared" si="21"/>
        <v>280</v>
      </c>
      <c r="N183" s="435">
        <f t="shared" si="22"/>
        <v>0</v>
      </c>
    </row>
    <row r="184" spans="1:14" s="224" customFormat="1" ht="21" customHeight="1" x14ac:dyDescent="0.2">
      <c r="A184" s="417">
        <f t="shared" si="24"/>
        <v>23</v>
      </c>
      <c r="B184" s="423"/>
      <c r="C184" s="424"/>
      <c r="D184" s="423"/>
      <c r="E184" s="425"/>
      <c r="F184" s="426"/>
      <c r="G184" s="422"/>
      <c r="H184" s="431"/>
      <c r="I184" s="422"/>
      <c r="J184" s="433">
        <f t="shared" si="20"/>
        <v>0</v>
      </c>
      <c r="K184" s="630" t="str">
        <f t="shared" si="19"/>
        <v>TL</v>
      </c>
      <c r="M184" s="436">
        <f t="shared" si="21"/>
        <v>280</v>
      </c>
      <c r="N184" s="435">
        <f t="shared" si="22"/>
        <v>0</v>
      </c>
    </row>
    <row r="185" spans="1:14" s="224" customFormat="1" ht="21" customHeight="1" x14ac:dyDescent="0.2">
      <c r="A185" s="417">
        <f t="shared" si="24"/>
        <v>24</v>
      </c>
      <c r="B185" s="423"/>
      <c r="C185" s="424"/>
      <c r="D185" s="423"/>
      <c r="E185" s="425"/>
      <c r="F185" s="426"/>
      <c r="G185" s="422"/>
      <c r="H185" s="431"/>
      <c r="I185" s="422"/>
      <c r="J185" s="433">
        <f t="shared" si="20"/>
        <v>0</v>
      </c>
      <c r="K185" s="630" t="str">
        <f t="shared" si="19"/>
        <v>TL</v>
      </c>
      <c r="M185" s="436">
        <f t="shared" si="21"/>
        <v>280</v>
      </c>
      <c r="N185" s="435">
        <f t="shared" si="22"/>
        <v>0</v>
      </c>
    </row>
    <row r="186" spans="1:14" s="224" customFormat="1" ht="21" customHeight="1" x14ac:dyDescent="0.2">
      <c r="A186" s="417">
        <f t="shared" si="24"/>
        <v>25</v>
      </c>
      <c r="B186" s="423"/>
      <c r="C186" s="424"/>
      <c r="D186" s="423"/>
      <c r="E186" s="425"/>
      <c r="F186" s="426"/>
      <c r="G186" s="422"/>
      <c r="H186" s="431"/>
      <c r="I186" s="422"/>
      <c r="J186" s="433">
        <f t="shared" si="20"/>
        <v>0</v>
      </c>
      <c r="K186" s="630" t="str">
        <f t="shared" si="19"/>
        <v>TL</v>
      </c>
      <c r="M186" s="436">
        <f t="shared" si="21"/>
        <v>280</v>
      </c>
      <c r="N186" s="435">
        <f t="shared" si="22"/>
        <v>0</v>
      </c>
    </row>
    <row r="187" spans="1:14" s="224" customFormat="1" ht="21" customHeight="1" x14ac:dyDescent="0.2">
      <c r="A187" s="417">
        <f t="shared" si="24"/>
        <v>26</v>
      </c>
      <c r="B187" s="423"/>
      <c r="C187" s="424"/>
      <c r="D187" s="423"/>
      <c r="E187" s="425"/>
      <c r="F187" s="426"/>
      <c r="G187" s="422"/>
      <c r="H187" s="431"/>
      <c r="I187" s="422"/>
      <c r="J187" s="433">
        <f t="shared" si="20"/>
        <v>0</v>
      </c>
      <c r="K187" s="630" t="str">
        <f t="shared" si="19"/>
        <v>TL</v>
      </c>
      <c r="M187" s="436">
        <f t="shared" si="21"/>
        <v>280</v>
      </c>
      <c r="N187" s="435">
        <f t="shared" si="22"/>
        <v>0</v>
      </c>
    </row>
    <row r="188" spans="1:14" s="224" customFormat="1" ht="21" customHeight="1" x14ac:dyDescent="0.2">
      <c r="A188" s="417">
        <f t="shared" si="24"/>
        <v>27</v>
      </c>
      <c r="B188" s="423"/>
      <c r="C188" s="424"/>
      <c r="D188" s="423"/>
      <c r="E188" s="425"/>
      <c r="F188" s="426"/>
      <c r="G188" s="422"/>
      <c r="H188" s="431"/>
      <c r="I188" s="422"/>
      <c r="J188" s="433">
        <f t="shared" si="20"/>
        <v>0</v>
      </c>
      <c r="K188" s="630" t="str">
        <f t="shared" si="19"/>
        <v>TL</v>
      </c>
      <c r="M188" s="436">
        <f t="shared" si="21"/>
        <v>280</v>
      </c>
      <c r="N188" s="435">
        <f t="shared" si="22"/>
        <v>0</v>
      </c>
    </row>
    <row r="189" spans="1:14" s="224" customFormat="1" ht="21" customHeight="1" x14ac:dyDescent="0.2">
      <c r="A189" s="417">
        <f t="shared" si="24"/>
        <v>28</v>
      </c>
      <c r="B189" s="423"/>
      <c r="C189" s="424"/>
      <c r="D189" s="423"/>
      <c r="E189" s="425"/>
      <c r="F189" s="426"/>
      <c r="G189" s="422"/>
      <c r="H189" s="431"/>
      <c r="I189" s="422"/>
      <c r="J189" s="433">
        <f t="shared" si="20"/>
        <v>0</v>
      </c>
      <c r="K189" s="630" t="str">
        <f t="shared" si="19"/>
        <v>TL</v>
      </c>
      <c r="M189" s="436">
        <f t="shared" si="21"/>
        <v>280</v>
      </c>
      <c r="N189" s="435">
        <f t="shared" si="22"/>
        <v>0</v>
      </c>
    </row>
    <row r="190" spans="1:14" s="224" customFormat="1" ht="21" customHeight="1" x14ac:dyDescent="0.2">
      <c r="A190" s="417">
        <f t="shared" si="24"/>
        <v>29</v>
      </c>
      <c r="B190" s="423"/>
      <c r="C190" s="424"/>
      <c r="D190" s="423"/>
      <c r="E190" s="425"/>
      <c r="F190" s="426"/>
      <c r="G190" s="422"/>
      <c r="H190" s="431"/>
      <c r="I190" s="422"/>
      <c r="J190" s="433">
        <f t="shared" si="20"/>
        <v>0</v>
      </c>
      <c r="K190" s="630" t="str">
        <f t="shared" si="19"/>
        <v>TL</v>
      </c>
      <c r="M190" s="436">
        <f t="shared" si="21"/>
        <v>280</v>
      </c>
      <c r="N190" s="435">
        <f t="shared" si="22"/>
        <v>0</v>
      </c>
    </row>
    <row r="191" spans="1:14" s="224" customFormat="1" ht="21" customHeight="1" x14ac:dyDescent="0.2">
      <c r="A191" s="417">
        <f t="shared" si="24"/>
        <v>30</v>
      </c>
      <c r="B191" s="423"/>
      <c r="C191" s="424"/>
      <c r="D191" s="423"/>
      <c r="E191" s="425"/>
      <c r="F191" s="426"/>
      <c r="G191" s="422"/>
      <c r="H191" s="431"/>
      <c r="I191" s="422"/>
      <c r="J191" s="433">
        <f t="shared" si="20"/>
        <v>0</v>
      </c>
      <c r="K191" s="630" t="str">
        <f t="shared" si="19"/>
        <v>TL</v>
      </c>
      <c r="M191" s="436">
        <f t="shared" si="21"/>
        <v>280</v>
      </c>
      <c r="N191" s="435">
        <f t="shared" si="22"/>
        <v>0</v>
      </c>
    </row>
    <row r="192" spans="1:14" s="224" customFormat="1" ht="21" customHeight="1" x14ac:dyDescent="0.2">
      <c r="A192" s="417">
        <f t="shared" si="24"/>
        <v>31</v>
      </c>
      <c r="B192" s="423"/>
      <c r="C192" s="424"/>
      <c r="D192" s="423"/>
      <c r="E192" s="425"/>
      <c r="F192" s="426"/>
      <c r="G192" s="422"/>
      <c r="H192" s="431"/>
      <c r="I192" s="422"/>
      <c r="J192" s="433">
        <f t="shared" si="20"/>
        <v>0</v>
      </c>
      <c r="K192" s="630" t="str">
        <f t="shared" si="19"/>
        <v>TL</v>
      </c>
      <c r="M192" s="436">
        <f t="shared" si="21"/>
        <v>280</v>
      </c>
      <c r="N192" s="435">
        <f t="shared" si="22"/>
        <v>0</v>
      </c>
    </row>
    <row r="193" spans="1:14" s="224" customFormat="1" ht="21" customHeight="1" x14ac:dyDescent="0.2">
      <c r="A193" s="417">
        <f t="shared" si="24"/>
        <v>32</v>
      </c>
      <c r="B193" s="423"/>
      <c r="C193" s="424"/>
      <c r="D193" s="423"/>
      <c r="E193" s="425"/>
      <c r="F193" s="426"/>
      <c r="G193" s="422"/>
      <c r="H193" s="431"/>
      <c r="I193" s="422"/>
      <c r="J193" s="433">
        <f t="shared" si="20"/>
        <v>0</v>
      </c>
      <c r="K193" s="630" t="str">
        <f t="shared" si="19"/>
        <v>TL</v>
      </c>
      <c r="M193" s="436">
        <f t="shared" si="21"/>
        <v>280</v>
      </c>
      <c r="N193" s="435">
        <f t="shared" si="22"/>
        <v>0</v>
      </c>
    </row>
    <row r="194" spans="1:14" s="224" customFormat="1" ht="21" customHeight="1" x14ac:dyDescent="0.2">
      <c r="A194" s="417">
        <f t="shared" si="24"/>
        <v>33</v>
      </c>
      <c r="B194" s="423"/>
      <c r="C194" s="424"/>
      <c r="D194" s="423"/>
      <c r="E194" s="425"/>
      <c r="F194" s="426"/>
      <c r="G194" s="422"/>
      <c r="H194" s="431"/>
      <c r="I194" s="422"/>
      <c r="J194" s="433">
        <f t="shared" si="20"/>
        <v>0</v>
      </c>
      <c r="K194" s="630" t="str">
        <f t="shared" si="19"/>
        <v>TL</v>
      </c>
      <c r="M194" s="436">
        <f t="shared" si="21"/>
        <v>280</v>
      </c>
      <c r="N194" s="435">
        <f t="shared" si="22"/>
        <v>0</v>
      </c>
    </row>
    <row r="195" spans="1:14" s="224" customFormat="1" ht="21" customHeight="1" x14ac:dyDescent="0.2">
      <c r="A195" s="417">
        <f t="shared" si="24"/>
        <v>34</v>
      </c>
      <c r="B195" s="423"/>
      <c r="C195" s="424"/>
      <c r="D195" s="423"/>
      <c r="E195" s="425"/>
      <c r="F195" s="426"/>
      <c r="G195" s="422"/>
      <c r="H195" s="431"/>
      <c r="I195" s="422"/>
      <c r="J195" s="433">
        <f t="shared" si="20"/>
        <v>0</v>
      </c>
      <c r="K195" s="630" t="str">
        <f t="shared" si="19"/>
        <v>TL</v>
      </c>
      <c r="M195" s="436">
        <f t="shared" si="21"/>
        <v>280</v>
      </c>
      <c r="N195" s="435">
        <f t="shared" si="22"/>
        <v>0</v>
      </c>
    </row>
    <row r="196" spans="1:14" s="224" customFormat="1" ht="21" customHeight="1" x14ac:dyDescent="0.2">
      <c r="A196" s="417">
        <f t="shared" si="24"/>
        <v>35</v>
      </c>
      <c r="B196" s="423"/>
      <c r="C196" s="424"/>
      <c r="D196" s="423"/>
      <c r="E196" s="425"/>
      <c r="F196" s="426"/>
      <c r="G196" s="422"/>
      <c r="H196" s="431"/>
      <c r="I196" s="422"/>
      <c r="J196" s="433">
        <f t="shared" si="20"/>
        <v>0</v>
      </c>
      <c r="K196" s="630" t="str">
        <f t="shared" si="19"/>
        <v>TL</v>
      </c>
      <c r="M196" s="436">
        <f t="shared" si="21"/>
        <v>280</v>
      </c>
      <c r="N196" s="435">
        <f t="shared" si="22"/>
        <v>0</v>
      </c>
    </row>
    <row r="197" spans="1:14" s="224" customFormat="1" ht="21" customHeight="1" x14ac:dyDescent="0.2">
      <c r="A197" s="417">
        <f t="shared" si="24"/>
        <v>36</v>
      </c>
      <c r="B197" s="423"/>
      <c r="C197" s="424"/>
      <c r="D197" s="423"/>
      <c r="E197" s="425"/>
      <c r="F197" s="426"/>
      <c r="G197" s="422"/>
      <c r="H197" s="431"/>
      <c r="I197" s="422"/>
      <c r="J197" s="433">
        <f t="shared" si="20"/>
        <v>0</v>
      </c>
      <c r="K197" s="630" t="str">
        <f t="shared" si="19"/>
        <v>TL</v>
      </c>
      <c r="M197" s="436">
        <f t="shared" si="21"/>
        <v>280</v>
      </c>
      <c r="N197" s="435">
        <f t="shared" si="22"/>
        <v>0</v>
      </c>
    </row>
    <row r="198" spans="1:14" s="224" customFormat="1" ht="21" customHeight="1" x14ac:dyDescent="0.2">
      <c r="A198" s="417">
        <f t="shared" si="24"/>
        <v>37</v>
      </c>
      <c r="B198" s="423"/>
      <c r="C198" s="424"/>
      <c r="D198" s="423"/>
      <c r="E198" s="425"/>
      <c r="F198" s="426"/>
      <c r="G198" s="422"/>
      <c r="H198" s="431"/>
      <c r="I198" s="422"/>
      <c r="J198" s="433">
        <f t="shared" si="20"/>
        <v>0</v>
      </c>
      <c r="K198" s="630" t="str">
        <f t="shared" si="19"/>
        <v>TL</v>
      </c>
      <c r="M198" s="436">
        <f t="shared" si="21"/>
        <v>280</v>
      </c>
      <c r="N198" s="435">
        <f t="shared" si="22"/>
        <v>0</v>
      </c>
    </row>
    <row r="199" spans="1:14" s="224" customFormat="1" ht="21" customHeight="1" x14ac:dyDescent="0.2">
      <c r="A199" s="417">
        <f t="shared" si="24"/>
        <v>38</v>
      </c>
      <c r="B199" s="423"/>
      <c r="C199" s="424"/>
      <c r="D199" s="423"/>
      <c r="E199" s="425"/>
      <c r="F199" s="426"/>
      <c r="G199" s="422"/>
      <c r="H199" s="431"/>
      <c r="I199" s="422"/>
      <c r="J199" s="433">
        <f t="shared" si="20"/>
        <v>0</v>
      </c>
      <c r="K199" s="630" t="str">
        <f t="shared" si="19"/>
        <v>TL</v>
      </c>
      <c r="M199" s="436">
        <f t="shared" si="21"/>
        <v>280</v>
      </c>
      <c r="N199" s="435">
        <f t="shared" si="22"/>
        <v>0</v>
      </c>
    </row>
    <row r="200" spans="1:14" s="224" customFormat="1" ht="21" customHeight="1" x14ac:dyDescent="0.2">
      <c r="A200" s="417">
        <f t="shared" si="24"/>
        <v>39</v>
      </c>
      <c r="B200" s="423"/>
      <c r="C200" s="424"/>
      <c r="D200" s="423"/>
      <c r="E200" s="425"/>
      <c r="F200" s="426"/>
      <c r="G200" s="422"/>
      <c r="H200" s="431"/>
      <c r="I200" s="422"/>
      <c r="J200" s="433">
        <f t="shared" si="20"/>
        <v>0</v>
      </c>
      <c r="K200" s="630" t="str">
        <f t="shared" si="19"/>
        <v>TL</v>
      </c>
      <c r="M200" s="436">
        <f t="shared" si="21"/>
        <v>280</v>
      </c>
      <c r="N200" s="435">
        <f t="shared" si="22"/>
        <v>0</v>
      </c>
    </row>
    <row r="201" spans="1:14" s="224" customFormat="1" ht="21" customHeight="1" x14ac:dyDescent="0.2">
      <c r="A201" s="417">
        <f t="shared" si="24"/>
        <v>40</v>
      </c>
      <c r="B201" s="423"/>
      <c r="C201" s="424"/>
      <c r="D201" s="423"/>
      <c r="E201" s="425"/>
      <c r="F201" s="426"/>
      <c r="G201" s="422"/>
      <c r="H201" s="431"/>
      <c r="I201" s="422"/>
      <c r="J201" s="433">
        <f t="shared" si="20"/>
        <v>0</v>
      </c>
      <c r="K201" s="630" t="str">
        <f t="shared" si="19"/>
        <v>TL</v>
      </c>
      <c r="M201" s="436">
        <f t="shared" si="21"/>
        <v>280</v>
      </c>
      <c r="N201" s="435">
        <f t="shared" si="22"/>
        <v>0</v>
      </c>
    </row>
    <row r="202" spans="1:14" ht="15" x14ac:dyDescent="0.2">
      <c r="C202" s="71"/>
      <c r="G202" s="427"/>
      <c r="H202" s="427"/>
      <c r="I202" s="427"/>
      <c r="J202" s="428"/>
      <c r="K202" s="429"/>
    </row>
    <row r="203" spans="1:14" x14ac:dyDescent="0.2">
      <c r="A203" s="238" t="s">
        <v>279</v>
      </c>
      <c r="C203" s="135"/>
      <c r="E203" s="1" t="s">
        <v>280</v>
      </c>
      <c r="F203" s="1"/>
      <c r="I203" s="238" t="s">
        <v>281</v>
      </c>
    </row>
    <row r="204" spans="1:14" ht="19.5" customHeight="1" x14ac:dyDescent="0.2">
      <c r="A204" s="528" t="s">
        <v>286</v>
      </c>
      <c r="B204" s="528"/>
      <c r="C204" s="528"/>
      <c r="D204" s="528"/>
      <c r="E204" s="1"/>
      <c r="F204" s="1"/>
      <c r="I204" s="135"/>
    </row>
    <row r="205" spans="1:14" ht="17.25" customHeight="1" x14ac:dyDescent="0.2">
      <c r="A205" s="622" t="s">
        <v>287</v>
      </c>
      <c r="B205" s="622"/>
      <c r="C205" s="622"/>
      <c r="D205" s="622"/>
      <c r="E205" s="1"/>
      <c r="F205" s="1"/>
    </row>
    <row r="206" spans="1:14" ht="19.5" customHeight="1" x14ac:dyDescent="0.2">
      <c r="A206" s="622" t="s">
        <v>288</v>
      </c>
      <c r="B206" s="622"/>
      <c r="C206" s="622"/>
      <c r="D206" s="622"/>
      <c r="E206" s="238" t="s">
        <v>282</v>
      </c>
      <c r="F206" s="1"/>
      <c r="I206" s="135" t="s">
        <v>289</v>
      </c>
    </row>
    <row r="207" spans="1:14" ht="15.75" customHeight="1" x14ac:dyDescent="0.2">
      <c r="C207" s="71"/>
      <c r="E207" s="17" t="s">
        <v>283</v>
      </c>
      <c r="F207" s="1"/>
      <c r="I207" s="17" t="s">
        <v>283</v>
      </c>
    </row>
    <row r="208" spans="1:14" ht="15.75" customHeight="1" x14ac:dyDescent="0.2">
      <c r="C208" s="71"/>
      <c r="E208" s="17" t="s">
        <v>284</v>
      </c>
      <c r="F208" s="1"/>
      <c r="I208" s="17" t="s">
        <v>284</v>
      </c>
    </row>
    <row r="209" spans="1:14" ht="15" x14ac:dyDescent="0.25">
      <c r="A209" s="88" t="s">
        <v>293</v>
      </c>
      <c r="B209" s="88"/>
      <c r="C209" s="88"/>
      <c r="D209" s="88"/>
      <c r="E209" s="88"/>
      <c r="F209" s="88"/>
      <c r="G209" s="88"/>
      <c r="H209" s="88"/>
      <c r="I209" s="88"/>
      <c r="J209" s="88"/>
      <c r="K209" s="89"/>
    </row>
    <row r="210" spans="1:14" ht="6" customHeight="1" x14ac:dyDescent="0.2">
      <c r="C210" s="71"/>
      <c r="G210" s="1"/>
    </row>
    <row r="211" spans="1:14" s="1" customFormat="1" ht="30" customHeight="1" x14ac:dyDescent="0.2">
      <c r="A211" s="623" t="s">
        <v>268</v>
      </c>
      <c r="B211" s="623" t="s">
        <v>269</v>
      </c>
      <c r="C211" s="623" t="s">
        <v>270</v>
      </c>
      <c r="D211" s="623" t="s">
        <v>271</v>
      </c>
      <c r="E211" s="623" t="s">
        <v>181</v>
      </c>
      <c r="F211" s="625" t="s">
        <v>272</v>
      </c>
      <c r="G211" s="627" t="s">
        <v>273</v>
      </c>
      <c r="H211" s="628"/>
      <c r="I211" s="415" t="s">
        <v>274</v>
      </c>
      <c r="J211" s="623" t="s">
        <v>275</v>
      </c>
      <c r="K211" s="623" t="s">
        <v>285</v>
      </c>
      <c r="M211" s="629" t="s">
        <v>299</v>
      </c>
      <c r="N211" s="621" t="s">
        <v>300</v>
      </c>
    </row>
    <row r="212" spans="1:14" s="1" customFormat="1" ht="28.5" customHeight="1" x14ac:dyDescent="0.2">
      <c r="A212" s="624"/>
      <c r="B212" s="624"/>
      <c r="C212" s="624"/>
      <c r="D212" s="624"/>
      <c r="E212" s="624"/>
      <c r="F212" s="626"/>
      <c r="G212" s="416" t="s">
        <v>276</v>
      </c>
      <c r="H212" s="430"/>
      <c r="I212" s="416" t="s">
        <v>278</v>
      </c>
      <c r="J212" s="624"/>
      <c r="K212" s="624"/>
      <c r="M212" s="629"/>
      <c r="N212" s="621"/>
    </row>
    <row r="213" spans="1:14" s="224" customFormat="1" ht="21" customHeight="1" x14ac:dyDescent="0.2">
      <c r="A213" s="417">
        <v>1</v>
      </c>
      <c r="B213" s="418"/>
      <c r="C213" s="419"/>
      <c r="D213" s="418"/>
      <c r="E213" s="420"/>
      <c r="F213" s="421"/>
      <c r="G213" s="432">
        <v>70</v>
      </c>
      <c r="H213" s="431"/>
      <c r="I213" s="432">
        <v>210</v>
      </c>
      <c r="J213" s="433">
        <f>SUM(G213:I213)</f>
        <v>280</v>
      </c>
      <c r="K213" s="630" t="str">
        <f t="shared" ref="K213:K252" si="25">IF(J213&gt;=M213,"L","TL")</f>
        <v>L</v>
      </c>
      <c r="M213" s="436">
        <f>400*70%</f>
        <v>280</v>
      </c>
      <c r="N213" s="435">
        <f>J213/400*100%</f>
        <v>0.7</v>
      </c>
    </row>
    <row r="214" spans="1:14" s="224" customFormat="1" ht="21" customHeight="1" x14ac:dyDescent="0.2">
      <c r="A214" s="417">
        <f>A213+1</f>
        <v>2</v>
      </c>
      <c r="B214" s="418"/>
      <c r="C214" s="419"/>
      <c r="D214" s="418"/>
      <c r="E214" s="420"/>
      <c r="F214" s="421"/>
      <c r="G214" s="422"/>
      <c r="H214" s="431"/>
      <c r="I214" s="422"/>
      <c r="J214" s="433">
        <f t="shared" ref="J214:J252" si="26">SUM(G214:I214)</f>
        <v>0</v>
      </c>
      <c r="K214" s="630" t="str">
        <f t="shared" si="25"/>
        <v>TL</v>
      </c>
      <c r="M214" s="436">
        <f t="shared" ref="M214:M252" si="27">400*70%</f>
        <v>280</v>
      </c>
      <c r="N214" s="435">
        <f t="shared" ref="N214:N252" si="28">J214/400*100%</f>
        <v>0</v>
      </c>
    </row>
    <row r="215" spans="1:14" s="224" customFormat="1" ht="21" customHeight="1" x14ac:dyDescent="0.2">
      <c r="A215" s="417">
        <f t="shared" ref="A215:A230" si="29">A214+1</f>
        <v>3</v>
      </c>
      <c r="B215" s="423"/>
      <c r="C215" s="424"/>
      <c r="D215" s="423"/>
      <c r="E215" s="425"/>
      <c r="F215" s="426"/>
      <c r="G215" s="422"/>
      <c r="H215" s="431"/>
      <c r="I215" s="422"/>
      <c r="J215" s="433">
        <f t="shared" si="26"/>
        <v>0</v>
      </c>
      <c r="K215" s="630" t="str">
        <f t="shared" si="25"/>
        <v>TL</v>
      </c>
      <c r="M215" s="436">
        <f t="shared" si="27"/>
        <v>280</v>
      </c>
      <c r="N215" s="435">
        <f t="shared" si="28"/>
        <v>0</v>
      </c>
    </row>
    <row r="216" spans="1:14" s="224" customFormat="1" ht="21" customHeight="1" x14ac:dyDescent="0.2">
      <c r="A216" s="417">
        <f t="shared" si="29"/>
        <v>4</v>
      </c>
      <c r="B216" s="423"/>
      <c r="C216" s="424"/>
      <c r="D216" s="423"/>
      <c r="E216" s="425"/>
      <c r="F216" s="426"/>
      <c r="G216" s="422"/>
      <c r="H216" s="431"/>
      <c r="I216" s="422"/>
      <c r="J216" s="433">
        <f t="shared" si="26"/>
        <v>0</v>
      </c>
      <c r="K216" s="630" t="str">
        <f t="shared" si="25"/>
        <v>TL</v>
      </c>
      <c r="M216" s="436">
        <f t="shared" si="27"/>
        <v>280</v>
      </c>
      <c r="N216" s="435">
        <f t="shared" si="28"/>
        <v>0</v>
      </c>
    </row>
    <row r="217" spans="1:14" s="224" customFormat="1" ht="21" customHeight="1" x14ac:dyDescent="0.2">
      <c r="A217" s="417">
        <f t="shared" si="29"/>
        <v>5</v>
      </c>
      <c r="B217" s="423"/>
      <c r="C217" s="424"/>
      <c r="D217" s="423"/>
      <c r="E217" s="425"/>
      <c r="F217" s="426"/>
      <c r="G217" s="422"/>
      <c r="H217" s="431"/>
      <c r="I217" s="422"/>
      <c r="J217" s="433">
        <f t="shared" si="26"/>
        <v>0</v>
      </c>
      <c r="K217" s="630" t="str">
        <f t="shared" si="25"/>
        <v>TL</v>
      </c>
      <c r="M217" s="436">
        <f t="shared" si="27"/>
        <v>280</v>
      </c>
      <c r="N217" s="435">
        <f t="shared" si="28"/>
        <v>0</v>
      </c>
    </row>
    <row r="218" spans="1:14" s="224" customFormat="1" ht="21" customHeight="1" x14ac:dyDescent="0.2">
      <c r="A218" s="417">
        <f t="shared" si="29"/>
        <v>6</v>
      </c>
      <c r="B218" s="423"/>
      <c r="C218" s="424"/>
      <c r="D218" s="423"/>
      <c r="E218" s="425"/>
      <c r="F218" s="426"/>
      <c r="G218" s="422"/>
      <c r="H218" s="431"/>
      <c r="I218" s="422"/>
      <c r="J218" s="433">
        <f t="shared" si="26"/>
        <v>0</v>
      </c>
      <c r="K218" s="630" t="str">
        <f t="shared" si="25"/>
        <v>TL</v>
      </c>
      <c r="M218" s="436">
        <f t="shared" si="27"/>
        <v>280</v>
      </c>
      <c r="N218" s="435">
        <f t="shared" si="28"/>
        <v>0</v>
      </c>
    </row>
    <row r="219" spans="1:14" s="224" customFormat="1" ht="21" customHeight="1" x14ac:dyDescent="0.2">
      <c r="A219" s="417">
        <f t="shared" si="29"/>
        <v>7</v>
      </c>
      <c r="B219" s="423"/>
      <c r="C219" s="424"/>
      <c r="D219" s="423"/>
      <c r="E219" s="425"/>
      <c r="F219" s="426"/>
      <c r="G219" s="422"/>
      <c r="H219" s="431"/>
      <c r="I219" s="422"/>
      <c r="J219" s="433">
        <f t="shared" si="26"/>
        <v>0</v>
      </c>
      <c r="K219" s="630" t="str">
        <f t="shared" si="25"/>
        <v>TL</v>
      </c>
      <c r="M219" s="436">
        <f t="shared" si="27"/>
        <v>280</v>
      </c>
      <c r="N219" s="435">
        <f t="shared" si="28"/>
        <v>0</v>
      </c>
    </row>
    <row r="220" spans="1:14" s="224" customFormat="1" ht="21" customHeight="1" x14ac:dyDescent="0.2">
      <c r="A220" s="417">
        <f t="shared" si="29"/>
        <v>8</v>
      </c>
      <c r="B220" s="423"/>
      <c r="C220" s="424"/>
      <c r="D220" s="423"/>
      <c r="E220" s="425"/>
      <c r="F220" s="426"/>
      <c r="G220" s="422"/>
      <c r="H220" s="431"/>
      <c r="I220" s="422"/>
      <c r="J220" s="433">
        <f t="shared" si="26"/>
        <v>0</v>
      </c>
      <c r="K220" s="630" t="str">
        <f t="shared" si="25"/>
        <v>TL</v>
      </c>
      <c r="M220" s="436">
        <f t="shared" si="27"/>
        <v>280</v>
      </c>
      <c r="N220" s="435">
        <f t="shared" si="28"/>
        <v>0</v>
      </c>
    </row>
    <row r="221" spans="1:14" s="224" customFormat="1" ht="21" customHeight="1" x14ac:dyDescent="0.2">
      <c r="A221" s="417">
        <f t="shared" si="29"/>
        <v>9</v>
      </c>
      <c r="B221" s="423"/>
      <c r="C221" s="424"/>
      <c r="D221" s="423"/>
      <c r="E221" s="425"/>
      <c r="F221" s="426"/>
      <c r="G221" s="422"/>
      <c r="H221" s="431"/>
      <c r="I221" s="422"/>
      <c r="J221" s="433">
        <f t="shared" si="26"/>
        <v>0</v>
      </c>
      <c r="K221" s="630" t="str">
        <f t="shared" si="25"/>
        <v>TL</v>
      </c>
      <c r="M221" s="436">
        <f t="shared" si="27"/>
        <v>280</v>
      </c>
      <c r="N221" s="435">
        <f t="shared" si="28"/>
        <v>0</v>
      </c>
    </row>
    <row r="222" spans="1:14" s="224" customFormat="1" ht="21" customHeight="1" x14ac:dyDescent="0.2">
      <c r="A222" s="417">
        <f t="shared" si="29"/>
        <v>10</v>
      </c>
      <c r="B222" s="423"/>
      <c r="C222" s="424"/>
      <c r="D222" s="423"/>
      <c r="E222" s="425"/>
      <c r="F222" s="426"/>
      <c r="G222" s="422"/>
      <c r="H222" s="431"/>
      <c r="I222" s="422"/>
      <c r="J222" s="433">
        <f t="shared" si="26"/>
        <v>0</v>
      </c>
      <c r="K222" s="630" t="str">
        <f t="shared" si="25"/>
        <v>TL</v>
      </c>
      <c r="M222" s="436">
        <f t="shared" si="27"/>
        <v>280</v>
      </c>
      <c r="N222" s="435">
        <f t="shared" si="28"/>
        <v>0</v>
      </c>
    </row>
    <row r="223" spans="1:14" s="224" customFormat="1" ht="21" customHeight="1" x14ac:dyDescent="0.2">
      <c r="A223" s="417">
        <f t="shared" si="29"/>
        <v>11</v>
      </c>
      <c r="B223" s="423"/>
      <c r="C223" s="424"/>
      <c r="D223" s="423"/>
      <c r="E223" s="425"/>
      <c r="F223" s="426"/>
      <c r="G223" s="422"/>
      <c r="H223" s="431"/>
      <c r="I223" s="422"/>
      <c r="J223" s="433">
        <f t="shared" si="26"/>
        <v>0</v>
      </c>
      <c r="K223" s="630" t="str">
        <f t="shared" si="25"/>
        <v>TL</v>
      </c>
      <c r="M223" s="436">
        <f t="shared" si="27"/>
        <v>280</v>
      </c>
      <c r="N223" s="435">
        <f t="shared" si="28"/>
        <v>0</v>
      </c>
    </row>
    <row r="224" spans="1:14" s="224" customFormat="1" ht="21" customHeight="1" x14ac:dyDescent="0.2">
      <c r="A224" s="417">
        <f t="shared" si="29"/>
        <v>12</v>
      </c>
      <c r="B224" s="423"/>
      <c r="C224" s="424"/>
      <c r="D224" s="423"/>
      <c r="E224" s="425"/>
      <c r="F224" s="426"/>
      <c r="G224" s="422"/>
      <c r="H224" s="431"/>
      <c r="I224" s="422"/>
      <c r="J224" s="433">
        <f t="shared" si="26"/>
        <v>0</v>
      </c>
      <c r="K224" s="630" t="str">
        <f t="shared" si="25"/>
        <v>TL</v>
      </c>
      <c r="M224" s="436">
        <f t="shared" si="27"/>
        <v>280</v>
      </c>
      <c r="N224" s="435">
        <f t="shared" si="28"/>
        <v>0</v>
      </c>
    </row>
    <row r="225" spans="1:14" s="224" customFormat="1" ht="21" customHeight="1" x14ac:dyDescent="0.2">
      <c r="A225" s="417">
        <f t="shared" si="29"/>
        <v>13</v>
      </c>
      <c r="B225" s="423"/>
      <c r="C225" s="424"/>
      <c r="D225" s="423"/>
      <c r="E225" s="425"/>
      <c r="F225" s="426"/>
      <c r="G225" s="422"/>
      <c r="H225" s="431"/>
      <c r="I225" s="422"/>
      <c r="J225" s="433">
        <f t="shared" si="26"/>
        <v>0</v>
      </c>
      <c r="K225" s="630" t="str">
        <f t="shared" si="25"/>
        <v>TL</v>
      </c>
      <c r="M225" s="436">
        <f t="shared" si="27"/>
        <v>280</v>
      </c>
      <c r="N225" s="435">
        <f t="shared" si="28"/>
        <v>0</v>
      </c>
    </row>
    <row r="226" spans="1:14" s="224" customFormat="1" ht="21" customHeight="1" x14ac:dyDescent="0.2">
      <c r="A226" s="417">
        <f t="shared" si="29"/>
        <v>14</v>
      </c>
      <c r="B226" s="423"/>
      <c r="C226" s="424"/>
      <c r="D226" s="423"/>
      <c r="E226" s="425"/>
      <c r="F226" s="426"/>
      <c r="G226" s="422"/>
      <c r="H226" s="431"/>
      <c r="I226" s="422"/>
      <c r="J226" s="433">
        <f t="shared" si="26"/>
        <v>0</v>
      </c>
      <c r="K226" s="630" t="str">
        <f t="shared" si="25"/>
        <v>TL</v>
      </c>
      <c r="M226" s="436">
        <f t="shared" si="27"/>
        <v>280</v>
      </c>
      <c r="N226" s="435">
        <f t="shared" si="28"/>
        <v>0</v>
      </c>
    </row>
    <row r="227" spans="1:14" s="224" customFormat="1" ht="21" customHeight="1" x14ac:dyDescent="0.2">
      <c r="A227" s="417">
        <f t="shared" si="29"/>
        <v>15</v>
      </c>
      <c r="B227" s="423"/>
      <c r="C227" s="424"/>
      <c r="D227" s="423"/>
      <c r="E227" s="425"/>
      <c r="F227" s="426"/>
      <c r="G227" s="422"/>
      <c r="H227" s="431"/>
      <c r="I227" s="422"/>
      <c r="J227" s="433">
        <f t="shared" si="26"/>
        <v>0</v>
      </c>
      <c r="K227" s="630" t="str">
        <f t="shared" si="25"/>
        <v>TL</v>
      </c>
      <c r="M227" s="436">
        <f t="shared" si="27"/>
        <v>280</v>
      </c>
      <c r="N227" s="435">
        <f t="shared" si="28"/>
        <v>0</v>
      </c>
    </row>
    <row r="228" spans="1:14" s="224" customFormat="1" ht="21" customHeight="1" x14ac:dyDescent="0.2">
      <c r="A228" s="417">
        <f t="shared" si="29"/>
        <v>16</v>
      </c>
      <c r="B228" s="423"/>
      <c r="C228" s="424"/>
      <c r="D228" s="423"/>
      <c r="E228" s="425"/>
      <c r="F228" s="426"/>
      <c r="G228" s="422"/>
      <c r="H228" s="431"/>
      <c r="I228" s="422"/>
      <c r="J228" s="433">
        <f t="shared" si="26"/>
        <v>0</v>
      </c>
      <c r="K228" s="630" t="str">
        <f t="shared" si="25"/>
        <v>TL</v>
      </c>
      <c r="M228" s="436">
        <f t="shared" si="27"/>
        <v>280</v>
      </c>
      <c r="N228" s="435">
        <f t="shared" si="28"/>
        <v>0</v>
      </c>
    </row>
    <row r="229" spans="1:14" s="224" customFormat="1" ht="21" customHeight="1" x14ac:dyDescent="0.2">
      <c r="A229" s="417">
        <f t="shared" si="29"/>
        <v>17</v>
      </c>
      <c r="B229" s="423"/>
      <c r="C229" s="424"/>
      <c r="D229" s="423"/>
      <c r="E229" s="425"/>
      <c r="F229" s="426"/>
      <c r="G229" s="422"/>
      <c r="H229" s="431"/>
      <c r="I229" s="422"/>
      <c r="J229" s="433">
        <f t="shared" si="26"/>
        <v>0</v>
      </c>
      <c r="K229" s="630" t="str">
        <f t="shared" si="25"/>
        <v>TL</v>
      </c>
      <c r="M229" s="436">
        <f t="shared" si="27"/>
        <v>280</v>
      </c>
      <c r="N229" s="435">
        <f t="shared" si="28"/>
        <v>0</v>
      </c>
    </row>
    <row r="230" spans="1:14" s="224" customFormat="1" ht="21" customHeight="1" x14ac:dyDescent="0.2">
      <c r="A230" s="417">
        <f t="shared" si="29"/>
        <v>18</v>
      </c>
      <c r="B230" s="423"/>
      <c r="C230" s="424"/>
      <c r="D230" s="423"/>
      <c r="E230" s="425"/>
      <c r="F230" s="426"/>
      <c r="G230" s="422"/>
      <c r="H230" s="431"/>
      <c r="I230" s="422"/>
      <c r="J230" s="433">
        <f t="shared" si="26"/>
        <v>0</v>
      </c>
      <c r="K230" s="630" t="str">
        <f t="shared" si="25"/>
        <v>TL</v>
      </c>
      <c r="M230" s="436">
        <f t="shared" si="27"/>
        <v>280</v>
      </c>
      <c r="N230" s="435">
        <f t="shared" si="28"/>
        <v>0</v>
      </c>
    </row>
    <row r="231" spans="1:14" s="224" customFormat="1" ht="21" customHeight="1" x14ac:dyDescent="0.2">
      <c r="A231" s="417">
        <f>A230+1</f>
        <v>19</v>
      </c>
      <c r="B231" s="423"/>
      <c r="C231" s="424"/>
      <c r="D231" s="423"/>
      <c r="E231" s="425"/>
      <c r="F231" s="426"/>
      <c r="G231" s="422"/>
      <c r="H231" s="431"/>
      <c r="I231" s="422"/>
      <c r="J231" s="433">
        <f t="shared" si="26"/>
        <v>0</v>
      </c>
      <c r="K231" s="630" t="str">
        <f t="shared" si="25"/>
        <v>TL</v>
      </c>
      <c r="M231" s="436">
        <f t="shared" si="27"/>
        <v>280</v>
      </c>
      <c r="N231" s="435">
        <f t="shared" si="28"/>
        <v>0</v>
      </c>
    </row>
    <row r="232" spans="1:14" s="224" customFormat="1" ht="21" customHeight="1" x14ac:dyDescent="0.2">
      <c r="A232" s="417">
        <f t="shared" ref="A232:A252" si="30">A231+1</f>
        <v>20</v>
      </c>
      <c r="B232" s="423"/>
      <c r="C232" s="424"/>
      <c r="D232" s="423"/>
      <c r="E232" s="425"/>
      <c r="F232" s="426"/>
      <c r="G232" s="422"/>
      <c r="H232" s="431"/>
      <c r="I232" s="422"/>
      <c r="J232" s="433">
        <f t="shared" si="26"/>
        <v>0</v>
      </c>
      <c r="K232" s="630" t="str">
        <f t="shared" si="25"/>
        <v>TL</v>
      </c>
      <c r="M232" s="436">
        <f t="shared" si="27"/>
        <v>280</v>
      </c>
      <c r="N232" s="435">
        <f t="shared" si="28"/>
        <v>0</v>
      </c>
    </row>
    <row r="233" spans="1:14" s="224" customFormat="1" ht="21" customHeight="1" x14ac:dyDescent="0.2">
      <c r="A233" s="417">
        <f t="shared" si="30"/>
        <v>21</v>
      </c>
      <c r="B233" s="423"/>
      <c r="C233" s="424"/>
      <c r="D233" s="423"/>
      <c r="E233" s="425"/>
      <c r="F233" s="426"/>
      <c r="G233" s="422"/>
      <c r="H233" s="431"/>
      <c r="I233" s="422"/>
      <c r="J233" s="433">
        <f t="shared" si="26"/>
        <v>0</v>
      </c>
      <c r="K233" s="630" t="str">
        <f t="shared" si="25"/>
        <v>TL</v>
      </c>
      <c r="M233" s="436">
        <f t="shared" si="27"/>
        <v>280</v>
      </c>
      <c r="N233" s="435">
        <f t="shared" si="28"/>
        <v>0</v>
      </c>
    </row>
    <row r="234" spans="1:14" s="224" customFormat="1" ht="21" customHeight="1" x14ac:dyDescent="0.2">
      <c r="A234" s="417">
        <f t="shared" si="30"/>
        <v>22</v>
      </c>
      <c r="B234" s="423"/>
      <c r="C234" s="424"/>
      <c r="D234" s="423"/>
      <c r="E234" s="425"/>
      <c r="F234" s="426"/>
      <c r="G234" s="422"/>
      <c r="H234" s="431"/>
      <c r="I234" s="422"/>
      <c r="J234" s="433">
        <f t="shared" si="26"/>
        <v>0</v>
      </c>
      <c r="K234" s="630" t="str">
        <f t="shared" si="25"/>
        <v>TL</v>
      </c>
      <c r="M234" s="436">
        <f t="shared" si="27"/>
        <v>280</v>
      </c>
      <c r="N234" s="435">
        <f t="shared" si="28"/>
        <v>0</v>
      </c>
    </row>
    <row r="235" spans="1:14" s="224" customFormat="1" ht="21" customHeight="1" x14ac:dyDescent="0.2">
      <c r="A235" s="417">
        <f t="shared" si="30"/>
        <v>23</v>
      </c>
      <c r="B235" s="423"/>
      <c r="C235" s="424"/>
      <c r="D235" s="423"/>
      <c r="E235" s="425"/>
      <c r="F235" s="426"/>
      <c r="G235" s="422"/>
      <c r="H235" s="431"/>
      <c r="I235" s="422"/>
      <c r="J235" s="433">
        <f t="shared" si="26"/>
        <v>0</v>
      </c>
      <c r="K235" s="630" t="str">
        <f t="shared" si="25"/>
        <v>TL</v>
      </c>
      <c r="M235" s="436">
        <f t="shared" si="27"/>
        <v>280</v>
      </c>
      <c r="N235" s="435">
        <f t="shared" si="28"/>
        <v>0</v>
      </c>
    </row>
    <row r="236" spans="1:14" s="224" customFormat="1" ht="21" customHeight="1" x14ac:dyDescent="0.2">
      <c r="A236" s="417">
        <f t="shared" si="30"/>
        <v>24</v>
      </c>
      <c r="B236" s="423"/>
      <c r="C236" s="424"/>
      <c r="D236" s="423"/>
      <c r="E236" s="425"/>
      <c r="F236" s="426"/>
      <c r="G236" s="422"/>
      <c r="H236" s="431"/>
      <c r="I236" s="422"/>
      <c r="J236" s="433">
        <f t="shared" si="26"/>
        <v>0</v>
      </c>
      <c r="K236" s="630" t="str">
        <f t="shared" si="25"/>
        <v>TL</v>
      </c>
      <c r="M236" s="436">
        <f t="shared" si="27"/>
        <v>280</v>
      </c>
      <c r="N236" s="435">
        <f t="shared" si="28"/>
        <v>0</v>
      </c>
    </row>
    <row r="237" spans="1:14" s="224" customFormat="1" ht="21" customHeight="1" x14ac:dyDescent="0.2">
      <c r="A237" s="417">
        <f t="shared" si="30"/>
        <v>25</v>
      </c>
      <c r="B237" s="423"/>
      <c r="C237" s="424"/>
      <c r="D237" s="423"/>
      <c r="E237" s="425"/>
      <c r="F237" s="426"/>
      <c r="G237" s="422"/>
      <c r="H237" s="431"/>
      <c r="I237" s="422"/>
      <c r="J237" s="433">
        <f t="shared" si="26"/>
        <v>0</v>
      </c>
      <c r="K237" s="630" t="str">
        <f t="shared" si="25"/>
        <v>TL</v>
      </c>
      <c r="M237" s="436">
        <f t="shared" si="27"/>
        <v>280</v>
      </c>
      <c r="N237" s="435">
        <f t="shared" si="28"/>
        <v>0</v>
      </c>
    </row>
    <row r="238" spans="1:14" s="224" customFormat="1" ht="21" customHeight="1" x14ac:dyDescent="0.2">
      <c r="A238" s="417">
        <f t="shared" si="30"/>
        <v>26</v>
      </c>
      <c r="B238" s="423"/>
      <c r="C238" s="424"/>
      <c r="D238" s="423"/>
      <c r="E238" s="425"/>
      <c r="F238" s="426"/>
      <c r="G238" s="422"/>
      <c r="H238" s="431"/>
      <c r="I238" s="422"/>
      <c r="J238" s="433">
        <f t="shared" si="26"/>
        <v>0</v>
      </c>
      <c r="K238" s="630" t="str">
        <f t="shared" si="25"/>
        <v>TL</v>
      </c>
      <c r="M238" s="436">
        <f t="shared" si="27"/>
        <v>280</v>
      </c>
      <c r="N238" s="435">
        <f t="shared" si="28"/>
        <v>0</v>
      </c>
    </row>
    <row r="239" spans="1:14" s="224" customFormat="1" ht="21" customHeight="1" x14ac:dyDescent="0.2">
      <c r="A239" s="417">
        <f t="shared" si="30"/>
        <v>27</v>
      </c>
      <c r="B239" s="423"/>
      <c r="C239" s="424"/>
      <c r="D239" s="423"/>
      <c r="E239" s="425"/>
      <c r="F239" s="426"/>
      <c r="G239" s="422"/>
      <c r="H239" s="431"/>
      <c r="I239" s="422"/>
      <c r="J239" s="433">
        <f t="shared" si="26"/>
        <v>0</v>
      </c>
      <c r="K239" s="630" t="str">
        <f t="shared" si="25"/>
        <v>TL</v>
      </c>
      <c r="M239" s="436">
        <f t="shared" si="27"/>
        <v>280</v>
      </c>
      <c r="N239" s="435">
        <f t="shared" si="28"/>
        <v>0</v>
      </c>
    </row>
    <row r="240" spans="1:14" s="224" customFormat="1" ht="21" customHeight="1" x14ac:dyDescent="0.2">
      <c r="A240" s="417">
        <f t="shared" si="30"/>
        <v>28</v>
      </c>
      <c r="B240" s="423"/>
      <c r="C240" s="424"/>
      <c r="D240" s="423"/>
      <c r="E240" s="425"/>
      <c r="F240" s="426"/>
      <c r="G240" s="422"/>
      <c r="H240" s="431"/>
      <c r="I240" s="422"/>
      <c r="J240" s="433">
        <f t="shared" si="26"/>
        <v>0</v>
      </c>
      <c r="K240" s="630" t="str">
        <f t="shared" si="25"/>
        <v>TL</v>
      </c>
      <c r="M240" s="436">
        <f t="shared" si="27"/>
        <v>280</v>
      </c>
      <c r="N240" s="435">
        <f t="shared" si="28"/>
        <v>0</v>
      </c>
    </row>
    <row r="241" spans="1:14" s="224" customFormat="1" ht="21" customHeight="1" x14ac:dyDescent="0.2">
      <c r="A241" s="417">
        <f t="shared" si="30"/>
        <v>29</v>
      </c>
      <c r="B241" s="423"/>
      <c r="C241" s="424"/>
      <c r="D241" s="423"/>
      <c r="E241" s="425"/>
      <c r="F241" s="426"/>
      <c r="G241" s="422"/>
      <c r="H241" s="431"/>
      <c r="I241" s="422"/>
      <c r="J241" s="433">
        <f t="shared" si="26"/>
        <v>0</v>
      </c>
      <c r="K241" s="630" t="str">
        <f t="shared" si="25"/>
        <v>TL</v>
      </c>
      <c r="M241" s="436">
        <f t="shared" si="27"/>
        <v>280</v>
      </c>
      <c r="N241" s="435">
        <f t="shared" si="28"/>
        <v>0</v>
      </c>
    </row>
    <row r="242" spans="1:14" s="224" customFormat="1" ht="21" customHeight="1" x14ac:dyDescent="0.2">
      <c r="A242" s="417">
        <f t="shared" si="30"/>
        <v>30</v>
      </c>
      <c r="B242" s="423"/>
      <c r="C242" s="424"/>
      <c r="D242" s="423"/>
      <c r="E242" s="425"/>
      <c r="F242" s="426"/>
      <c r="G242" s="422"/>
      <c r="H242" s="431"/>
      <c r="I242" s="422"/>
      <c r="J242" s="433">
        <f t="shared" si="26"/>
        <v>0</v>
      </c>
      <c r="K242" s="630" t="str">
        <f t="shared" si="25"/>
        <v>TL</v>
      </c>
      <c r="M242" s="436">
        <f t="shared" si="27"/>
        <v>280</v>
      </c>
      <c r="N242" s="435">
        <f t="shared" si="28"/>
        <v>0</v>
      </c>
    </row>
    <row r="243" spans="1:14" s="224" customFormat="1" ht="21" customHeight="1" x14ac:dyDescent="0.2">
      <c r="A243" s="417">
        <f t="shared" si="30"/>
        <v>31</v>
      </c>
      <c r="B243" s="423"/>
      <c r="C243" s="424"/>
      <c r="D243" s="423"/>
      <c r="E243" s="425"/>
      <c r="F243" s="426"/>
      <c r="G243" s="422"/>
      <c r="H243" s="431"/>
      <c r="I243" s="422"/>
      <c r="J243" s="433">
        <f t="shared" si="26"/>
        <v>0</v>
      </c>
      <c r="K243" s="630" t="str">
        <f t="shared" si="25"/>
        <v>TL</v>
      </c>
      <c r="M243" s="436">
        <f t="shared" si="27"/>
        <v>280</v>
      </c>
      <c r="N243" s="435">
        <f t="shared" si="28"/>
        <v>0</v>
      </c>
    </row>
    <row r="244" spans="1:14" s="224" customFormat="1" ht="21" customHeight="1" x14ac:dyDescent="0.2">
      <c r="A244" s="417">
        <f t="shared" si="30"/>
        <v>32</v>
      </c>
      <c r="B244" s="423"/>
      <c r="C244" s="424"/>
      <c r="D244" s="423"/>
      <c r="E244" s="425"/>
      <c r="F244" s="426"/>
      <c r="G244" s="422"/>
      <c r="H244" s="431"/>
      <c r="I244" s="422"/>
      <c r="J244" s="433">
        <f t="shared" si="26"/>
        <v>0</v>
      </c>
      <c r="K244" s="630" t="str">
        <f t="shared" si="25"/>
        <v>TL</v>
      </c>
      <c r="M244" s="436">
        <f t="shared" si="27"/>
        <v>280</v>
      </c>
      <c r="N244" s="435">
        <f t="shared" si="28"/>
        <v>0</v>
      </c>
    </row>
    <row r="245" spans="1:14" s="224" customFormat="1" ht="21" customHeight="1" x14ac:dyDescent="0.2">
      <c r="A245" s="417">
        <f t="shared" si="30"/>
        <v>33</v>
      </c>
      <c r="B245" s="423"/>
      <c r="C245" s="424"/>
      <c r="D245" s="423"/>
      <c r="E245" s="425"/>
      <c r="F245" s="426"/>
      <c r="G245" s="422"/>
      <c r="H245" s="431"/>
      <c r="I245" s="422"/>
      <c r="J245" s="433">
        <f t="shared" si="26"/>
        <v>0</v>
      </c>
      <c r="K245" s="630" t="str">
        <f t="shared" si="25"/>
        <v>TL</v>
      </c>
      <c r="M245" s="436">
        <f t="shared" si="27"/>
        <v>280</v>
      </c>
      <c r="N245" s="435">
        <f t="shared" si="28"/>
        <v>0</v>
      </c>
    </row>
    <row r="246" spans="1:14" s="224" customFormat="1" ht="21" customHeight="1" x14ac:dyDescent="0.2">
      <c r="A246" s="417">
        <f t="shared" si="30"/>
        <v>34</v>
      </c>
      <c r="B246" s="423"/>
      <c r="C246" s="424"/>
      <c r="D246" s="423"/>
      <c r="E246" s="425"/>
      <c r="F246" s="426"/>
      <c r="G246" s="422"/>
      <c r="H246" s="431"/>
      <c r="I246" s="422"/>
      <c r="J246" s="433">
        <f t="shared" si="26"/>
        <v>0</v>
      </c>
      <c r="K246" s="630" t="str">
        <f t="shared" si="25"/>
        <v>TL</v>
      </c>
      <c r="M246" s="436">
        <f t="shared" si="27"/>
        <v>280</v>
      </c>
      <c r="N246" s="435">
        <f t="shared" si="28"/>
        <v>0</v>
      </c>
    </row>
    <row r="247" spans="1:14" s="224" customFormat="1" ht="21" customHeight="1" x14ac:dyDescent="0.2">
      <c r="A247" s="417">
        <f t="shared" si="30"/>
        <v>35</v>
      </c>
      <c r="B247" s="423"/>
      <c r="C247" s="424"/>
      <c r="D247" s="423"/>
      <c r="E247" s="425"/>
      <c r="F247" s="426"/>
      <c r="G247" s="422"/>
      <c r="H247" s="431"/>
      <c r="I247" s="422"/>
      <c r="J247" s="433">
        <f t="shared" si="26"/>
        <v>0</v>
      </c>
      <c r="K247" s="630" t="str">
        <f t="shared" si="25"/>
        <v>TL</v>
      </c>
      <c r="M247" s="436">
        <f t="shared" si="27"/>
        <v>280</v>
      </c>
      <c r="N247" s="435">
        <f t="shared" si="28"/>
        <v>0</v>
      </c>
    </row>
    <row r="248" spans="1:14" s="224" customFormat="1" ht="21" customHeight="1" x14ac:dyDescent="0.2">
      <c r="A248" s="417">
        <f t="shared" si="30"/>
        <v>36</v>
      </c>
      <c r="B248" s="423"/>
      <c r="C248" s="424"/>
      <c r="D248" s="423"/>
      <c r="E248" s="425"/>
      <c r="F248" s="426"/>
      <c r="G248" s="422"/>
      <c r="H248" s="431"/>
      <c r="I248" s="422"/>
      <c r="J248" s="433">
        <f t="shared" si="26"/>
        <v>0</v>
      </c>
      <c r="K248" s="630" t="str">
        <f t="shared" si="25"/>
        <v>TL</v>
      </c>
      <c r="M248" s="436">
        <f t="shared" si="27"/>
        <v>280</v>
      </c>
      <c r="N248" s="435">
        <f t="shared" si="28"/>
        <v>0</v>
      </c>
    </row>
    <row r="249" spans="1:14" s="224" customFormat="1" ht="21" customHeight="1" x14ac:dyDescent="0.2">
      <c r="A249" s="417">
        <f t="shared" si="30"/>
        <v>37</v>
      </c>
      <c r="B249" s="423"/>
      <c r="C249" s="424"/>
      <c r="D249" s="423"/>
      <c r="E249" s="425"/>
      <c r="F249" s="426"/>
      <c r="G249" s="422"/>
      <c r="H249" s="431"/>
      <c r="I249" s="422"/>
      <c r="J249" s="433">
        <f t="shared" si="26"/>
        <v>0</v>
      </c>
      <c r="K249" s="630" t="str">
        <f t="shared" si="25"/>
        <v>TL</v>
      </c>
      <c r="M249" s="436">
        <f t="shared" si="27"/>
        <v>280</v>
      </c>
      <c r="N249" s="435">
        <f t="shared" si="28"/>
        <v>0</v>
      </c>
    </row>
    <row r="250" spans="1:14" s="224" customFormat="1" ht="21" customHeight="1" x14ac:dyDescent="0.2">
      <c r="A250" s="417">
        <f t="shared" si="30"/>
        <v>38</v>
      </c>
      <c r="B250" s="423"/>
      <c r="C250" s="424"/>
      <c r="D250" s="423"/>
      <c r="E250" s="425"/>
      <c r="F250" s="426"/>
      <c r="G250" s="422"/>
      <c r="H250" s="431"/>
      <c r="I250" s="422"/>
      <c r="J250" s="433">
        <f t="shared" si="26"/>
        <v>0</v>
      </c>
      <c r="K250" s="630" t="str">
        <f t="shared" si="25"/>
        <v>TL</v>
      </c>
      <c r="M250" s="436">
        <f t="shared" si="27"/>
        <v>280</v>
      </c>
      <c r="N250" s="435">
        <f t="shared" si="28"/>
        <v>0</v>
      </c>
    </row>
    <row r="251" spans="1:14" s="224" customFormat="1" ht="21" customHeight="1" x14ac:dyDescent="0.2">
      <c r="A251" s="417">
        <f t="shared" si="30"/>
        <v>39</v>
      </c>
      <c r="B251" s="423"/>
      <c r="C251" s="424"/>
      <c r="D251" s="423"/>
      <c r="E251" s="425"/>
      <c r="F251" s="426"/>
      <c r="G251" s="422"/>
      <c r="H251" s="431"/>
      <c r="I251" s="422"/>
      <c r="J251" s="433">
        <f t="shared" si="26"/>
        <v>0</v>
      </c>
      <c r="K251" s="630" t="str">
        <f t="shared" si="25"/>
        <v>TL</v>
      </c>
      <c r="M251" s="436">
        <f t="shared" si="27"/>
        <v>280</v>
      </c>
      <c r="N251" s="435">
        <f t="shared" si="28"/>
        <v>0</v>
      </c>
    </row>
    <row r="252" spans="1:14" s="224" customFormat="1" ht="21" customHeight="1" x14ac:dyDescent="0.2">
      <c r="A252" s="417">
        <f t="shared" si="30"/>
        <v>40</v>
      </c>
      <c r="B252" s="423"/>
      <c r="C252" s="424"/>
      <c r="D252" s="423"/>
      <c r="E252" s="425"/>
      <c r="F252" s="426"/>
      <c r="G252" s="422"/>
      <c r="H252" s="431"/>
      <c r="I252" s="422"/>
      <c r="J252" s="433">
        <f t="shared" si="26"/>
        <v>0</v>
      </c>
      <c r="K252" s="630" t="str">
        <f t="shared" si="25"/>
        <v>TL</v>
      </c>
      <c r="M252" s="436">
        <f t="shared" si="27"/>
        <v>280</v>
      </c>
      <c r="N252" s="435">
        <f t="shared" si="28"/>
        <v>0</v>
      </c>
    </row>
    <row r="253" spans="1:14" ht="15" x14ac:dyDescent="0.2">
      <c r="C253" s="71"/>
      <c r="G253" s="427"/>
      <c r="H253" s="427"/>
      <c r="I253" s="427"/>
      <c r="J253" s="428"/>
      <c r="K253" s="429"/>
    </row>
    <row r="254" spans="1:14" x14ac:dyDescent="0.2">
      <c r="A254" s="238" t="s">
        <v>279</v>
      </c>
      <c r="C254" s="135"/>
      <c r="E254" s="1" t="s">
        <v>280</v>
      </c>
      <c r="F254" s="1"/>
      <c r="I254" s="238" t="s">
        <v>281</v>
      </c>
    </row>
    <row r="255" spans="1:14" ht="19.5" customHeight="1" x14ac:dyDescent="0.2">
      <c r="A255" s="528" t="s">
        <v>286</v>
      </c>
      <c r="B255" s="528"/>
      <c r="C255" s="528"/>
      <c r="D255" s="528"/>
      <c r="E255" s="1"/>
      <c r="F255" s="1"/>
      <c r="I255" s="135"/>
    </row>
    <row r="256" spans="1:14" ht="17.25" customHeight="1" x14ac:dyDescent="0.2">
      <c r="A256" s="622" t="s">
        <v>287</v>
      </c>
      <c r="B256" s="622"/>
      <c r="C256" s="622"/>
      <c r="D256" s="622"/>
      <c r="E256" s="1"/>
      <c r="F256" s="1"/>
    </row>
    <row r="257" spans="1:14" ht="19.5" customHeight="1" x14ac:dyDescent="0.2">
      <c r="A257" s="622" t="s">
        <v>288</v>
      </c>
      <c r="B257" s="622"/>
      <c r="C257" s="622"/>
      <c r="D257" s="622"/>
      <c r="E257" s="238" t="s">
        <v>282</v>
      </c>
      <c r="F257" s="1"/>
      <c r="I257" s="135" t="s">
        <v>289</v>
      </c>
    </row>
    <row r="258" spans="1:14" ht="15.75" customHeight="1" x14ac:dyDescent="0.2">
      <c r="C258" s="71"/>
      <c r="E258" s="17" t="s">
        <v>283</v>
      </c>
      <c r="F258" s="1"/>
      <c r="I258" s="17" t="s">
        <v>283</v>
      </c>
    </row>
    <row r="259" spans="1:14" ht="15.75" customHeight="1" x14ac:dyDescent="0.2">
      <c r="C259" s="71"/>
      <c r="E259" s="17" t="s">
        <v>284</v>
      </c>
      <c r="F259" s="1"/>
      <c r="I259" s="17" t="s">
        <v>284</v>
      </c>
    </row>
    <row r="260" spans="1:14" ht="15" x14ac:dyDescent="0.25">
      <c r="A260" s="88" t="s">
        <v>294</v>
      </c>
      <c r="B260" s="88"/>
      <c r="C260" s="88"/>
      <c r="D260" s="88"/>
      <c r="E260" s="88"/>
      <c r="F260" s="88"/>
      <c r="G260" s="88"/>
      <c r="H260" s="88"/>
      <c r="I260" s="88"/>
      <c r="J260" s="88"/>
      <c r="K260" s="89"/>
    </row>
    <row r="261" spans="1:14" ht="6" customHeight="1" x14ac:dyDescent="0.2">
      <c r="C261" s="71"/>
      <c r="G261" s="1"/>
    </row>
    <row r="262" spans="1:14" s="1" customFormat="1" ht="30" customHeight="1" x14ac:dyDescent="0.2">
      <c r="A262" s="623" t="s">
        <v>268</v>
      </c>
      <c r="B262" s="623" t="s">
        <v>269</v>
      </c>
      <c r="C262" s="623" t="s">
        <v>270</v>
      </c>
      <c r="D262" s="623" t="s">
        <v>271</v>
      </c>
      <c r="E262" s="623" t="s">
        <v>181</v>
      </c>
      <c r="F262" s="625" t="s">
        <v>272</v>
      </c>
      <c r="G262" s="627" t="s">
        <v>273</v>
      </c>
      <c r="H262" s="628"/>
      <c r="I262" s="415" t="s">
        <v>274</v>
      </c>
      <c r="J262" s="623" t="s">
        <v>275</v>
      </c>
      <c r="K262" s="623" t="s">
        <v>285</v>
      </c>
      <c r="M262" s="629" t="s">
        <v>299</v>
      </c>
      <c r="N262" s="621" t="s">
        <v>300</v>
      </c>
    </row>
    <row r="263" spans="1:14" s="1" customFormat="1" ht="28.5" customHeight="1" x14ac:dyDescent="0.2">
      <c r="A263" s="624"/>
      <c r="B263" s="624"/>
      <c r="C263" s="624"/>
      <c r="D263" s="624"/>
      <c r="E263" s="624"/>
      <c r="F263" s="626"/>
      <c r="G263" s="416" t="s">
        <v>276</v>
      </c>
      <c r="H263" s="430"/>
      <c r="I263" s="416" t="s">
        <v>278</v>
      </c>
      <c r="J263" s="624"/>
      <c r="K263" s="624"/>
      <c r="M263" s="629"/>
      <c r="N263" s="621"/>
    </row>
    <row r="264" spans="1:14" s="224" customFormat="1" ht="21" customHeight="1" x14ac:dyDescent="0.2">
      <c r="A264" s="417">
        <v>1</v>
      </c>
      <c r="B264" s="418"/>
      <c r="C264" s="419"/>
      <c r="D264" s="418"/>
      <c r="E264" s="420"/>
      <c r="F264" s="421"/>
      <c r="G264" s="432">
        <v>70</v>
      </c>
      <c r="H264" s="431"/>
      <c r="I264" s="432">
        <v>280</v>
      </c>
      <c r="J264" s="433">
        <f>SUM(G264:I264)</f>
        <v>350</v>
      </c>
      <c r="K264" s="630" t="str">
        <f t="shared" ref="K264" si="31">IF(J264&gt;=M264,"L","TL")</f>
        <v>L</v>
      </c>
      <c r="M264" s="436">
        <f>500*70%</f>
        <v>350</v>
      </c>
      <c r="N264" s="435">
        <f>J264/500*100%</f>
        <v>0.7</v>
      </c>
    </row>
    <row r="265" spans="1:14" s="224" customFormat="1" ht="21" customHeight="1" x14ac:dyDescent="0.2">
      <c r="A265" s="417">
        <f>A264+1</f>
        <v>2</v>
      </c>
      <c r="B265" s="418"/>
      <c r="C265" s="419"/>
      <c r="D265" s="418"/>
      <c r="E265" s="420"/>
      <c r="F265" s="421"/>
      <c r="G265" s="422"/>
      <c r="H265" s="431"/>
      <c r="I265" s="422"/>
      <c r="J265" s="433">
        <f t="shared" ref="J265:J303" si="32">SUM(G265:I265)</f>
        <v>0</v>
      </c>
      <c r="K265" s="630" t="str">
        <f t="shared" ref="K265:K303" si="33">IF(J265&gt;=M265,"L","TL")</f>
        <v>TL</v>
      </c>
      <c r="M265" s="436">
        <f t="shared" ref="M265:M303" si="34">500*70%</f>
        <v>350</v>
      </c>
      <c r="N265" s="435">
        <f t="shared" ref="N265:N303" si="35">J265/500*100%</f>
        <v>0</v>
      </c>
    </row>
    <row r="266" spans="1:14" s="224" customFormat="1" ht="21" customHeight="1" x14ac:dyDescent="0.2">
      <c r="A266" s="417">
        <f t="shared" ref="A266:A281" si="36">A265+1</f>
        <v>3</v>
      </c>
      <c r="B266" s="423"/>
      <c r="C266" s="424"/>
      <c r="D266" s="423"/>
      <c r="E266" s="425"/>
      <c r="F266" s="426"/>
      <c r="G266" s="422"/>
      <c r="H266" s="431"/>
      <c r="I266" s="422"/>
      <c r="J266" s="433">
        <f t="shared" si="32"/>
        <v>0</v>
      </c>
      <c r="K266" s="630" t="str">
        <f t="shared" si="33"/>
        <v>TL</v>
      </c>
      <c r="M266" s="436">
        <f t="shared" si="34"/>
        <v>350</v>
      </c>
      <c r="N266" s="435">
        <f t="shared" si="35"/>
        <v>0</v>
      </c>
    </row>
    <row r="267" spans="1:14" s="224" customFormat="1" ht="21" customHeight="1" x14ac:dyDescent="0.2">
      <c r="A267" s="417">
        <f t="shared" si="36"/>
        <v>4</v>
      </c>
      <c r="B267" s="423"/>
      <c r="C267" s="424"/>
      <c r="D267" s="423"/>
      <c r="E267" s="425"/>
      <c r="F267" s="426"/>
      <c r="G267" s="422"/>
      <c r="H267" s="431"/>
      <c r="I267" s="422"/>
      <c r="J267" s="433">
        <f t="shared" si="32"/>
        <v>0</v>
      </c>
      <c r="K267" s="630" t="str">
        <f t="shared" si="33"/>
        <v>TL</v>
      </c>
      <c r="M267" s="436">
        <f t="shared" si="34"/>
        <v>350</v>
      </c>
      <c r="N267" s="435">
        <f t="shared" si="35"/>
        <v>0</v>
      </c>
    </row>
    <row r="268" spans="1:14" s="224" customFormat="1" ht="21" customHeight="1" x14ac:dyDescent="0.2">
      <c r="A268" s="417">
        <f t="shared" si="36"/>
        <v>5</v>
      </c>
      <c r="B268" s="423"/>
      <c r="C268" s="424"/>
      <c r="D268" s="423"/>
      <c r="E268" s="425"/>
      <c r="F268" s="426"/>
      <c r="G268" s="422"/>
      <c r="H268" s="431"/>
      <c r="I268" s="422"/>
      <c r="J268" s="433">
        <f t="shared" si="32"/>
        <v>0</v>
      </c>
      <c r="K268" s="630" t="str">
        <f t="shared" si="33"/>
        <v>TL</v>
      </c>
      <c r="M268" s="436">
        <f t="shared" si="34"/>
        <v>350</v>
      </c>
      <c r="N268" s="435">
        <f t="shared" si="35"/>
        <v>0</v>
      </c>
    </row>
    <row r="269" spans="1:14" s="224" customFormat="1" ht="21" customHeight="1" x14ac:dyDescent="0.2">
      <c r="A269" s="417">
        <f t="shared" si="36"/>
        <v>6</v>
      </c>
      <c r="B269" s="423"/>
      <c r="C269" s="424"/>
      <c r="D269" s="423"/>
      <c r="E269" s="425"/>
      <c r="F269" s="426"/>
      <c r="G269" s="422"/>
      <c r="H269" s="431"/>
      <c r="I269" s="422"/>
      <c r="J269" s="433">
        <f t="shared" si="32"/>
        <v>0</v>
      </c>
      <c r="K269" s="630" t="str">
        <f t="shared" si="33"/>
        <v>TL</v>
      </c>
      <c r="M269" s="436">
        <f t="shared" si="34"/>
        <v>350</v>
      </c>
      <c r="N269" s="435">
        <f t="shared" si="35"/>
        <v>0</v>
      </c>
    </row>
    <row r="270" spans="1:14" s="224" customFormat="1" ht="21" customHeight="1" x14ac:dyDescent="0.2">
      <c r="A270" s="417">
        <f t="shared" si="36"/>
        <v>7</v>
      </c>
      <c r="B270" s="423"/>
      <c r="C270" s="424"/>
      <c r="D270" s="423"/>
      <c r="E270" s="425"/>
      <c r="F270" s="426"/>
      <c r="G270" s="422"/>
      <c r="H270" s="431"/>
      <c r="I270" s="422"/>
      <c r="J270" s="433">
        <f t="shared" si="32"/>
        <v>0</v>
      </c>
      <c r="K270" s="630" t="str">
        <f t="shared" si="33"/>
        <v>TL</v>
      </c>
      <c r="M270" s="436">
        <f t="shared" si="34"/>
        <v>350</v>
      </c>
      <c r="N270" s="435">
        <f t="shared" si="35"/>
        <v>0</v>
      </c>
    </row>
    <row r="271" spans="1:14" s="224" customFormat="1" ht="21" customHeight="1" x14ac:dyDescent="0.2">
      <c r="A271" s="417">
        <f t="shared" si="36"/>
        <v>8</v>
      </c>
      <c r="B271" s="423"/>
      <c r="C271" s="424"/>
      <c r="D271" s="423"/>
      <c r="E271" s="425"/>
      <c r="F271" s="426"/>
      <c r="G271" s="422"/>
      <c r="H271" s="431"/>
      <c r="I271" s="422"/>
      <c r="J271" s="433">
        <f t="shared" si="32"/>
        <v>0</v>
      </c>
      <c r="K271" s="630" t="str">
        <f t="shared" si="33"/>
        <v>TL</v>
      </c>
      <c r="M271" s="436">
        <f t="shared" si="34"/>
        <v>350</v>
      </c>
      <c r="N271" s="435">
        <f t="shared" si="35"/>
        <v>0</v>
      </c>
    </row>
    <row r="272" spans="1:14" s="224" customFormat="1" ht="21" customHeight="1" x14ac:dyDescent="0.2">
      <c r="A272" s="417">
        <f t="shared" si="36"/>
        <v>9</v>
      </c>
      <c r="B272" s="423"/>
      <c r="C272" s="424"/>
      <c r="D272" s="423"/>
      <c r="E272" s="425"/>
      <c r="F272" s="426"/>
      <c r="G272" s="422"/>
      <c r="H272" s="431"/>
      <c r="I272" s="422"/>
      <c r="J272" s="433">
        <f t="shared" si="32"/>
        <v>0</v>
      </c>
      <c r="K272" s="630" t="str">
        <f t="shared" si="33"/>
        <v>TL</v>
      </c>
      <c r="M272" s="436">
        <f t="shared" si="34"/>
        <v>350</v>
      </c>
      <c r="N272" s="435">
        <f t="shared" si="35"/>
        <v>0</v>
      </c>
    </row>
    <row r="273" spans="1:14" s="224" customFormat="1" ht="21" customHeight="1" x14ac:dyDescent="0.2">
      <c r="A273" s="417">
        <f t="shared" si="36"/>
        <v>10</v>
      </c>
      <c r="B273" s="423"/>
      <c r="C273" s="424"/>
      <c r="D273" s="423"/>
      <c r="E273" s="425"/>
      <c r="F273" s="426"/>
      <c r="G273" s="422"/>
      <c r="H273" s="431"/>
      <c r="I273" s="422"/>
      <c r="J273" s="433">
        <f t="shared" si="32"/>
        <v>0</v>
      </c>
      <c r="K273" s="630" t="str">
        <f t="shared" si="33"/>
        <v>TL</v>
      </c>
      <c r="M273" s="436">
        <f t="shared" si="34"/>
        <v>350</v>
      </c>
      <c r="N273" s="435">
        <f t="shared" si="35"/>
        <v>0</v>
      </c>
    </row>
    <row r="274" spans="1:14" s="224" customFormat="1" ht="21" customHeight="1" x14ac:dyDescent="0.2">
      <c r="A274" s="417">
        <f t="shared" si="36"/>
        <v>11</v>
      </c>
      <c r="B274" s="423"/>
      <c r="C274" s="424"/>
      <c r="D274" s="423"/>
      <c r="E274" s="425"/>
      <c r="F274" s="426"/>
      <c r="G274" s="422"/>
      <c r="H274" s="431"/>
      <c r="I274" s="422"/>
      <c r="J274" s="433">
        <f t="shared" si="32"/>
        <v>0</v>
      </c>
      <c r="K274" s="630" t="str">
        <f t="shared" si="33"/>
        <v>TL</v>
      </c>
      <c r="M274" s="436">
        <f t="shared" si="34"/>
        <v>350</v>
      </c>
      <c r="N274" s="435">
        <f t="shared" si="35"/>
        <v>0</v>
      </c>
    </row>
    <row r="275" spans="1:14" s="224" customFormat="1" ht="21" customHeight="1" x14ac:dyDescent="0.2">
      <c r="A275" s="417">
        <f t="shared" si="36"/>
        <v>12</v>
      </c>
      <c r="B275" s="423"/>
      <c r="C275" s="424"/>
      <c r="D275" s="423"/>
      <c r="E275" s="425"/>
      <c r="F275" s="426"/>
      <c r="G275" s="422"/>
      <c r="H275" s="431"/>
      <c r="I275" s="422"/>
      <c r="J275" s="433">
        <f t="shared" si="32"/>
        <v>0</v>
      </c>
      <c r="K275" s="630" t="str">
        <f t="shared" si="33"/>
        <v>TL</v>
      </c>
      <c r="M275" s="436">
        <f t="shared" si="34"/>
        <v>350</v>
      </c>
      <c r="N275" s="435">
        <f t="shared" si="35"/>
        <v>0</v>
      </c>
    </row>
    <row r="276" spans="1:14" s="224" customFormat="1" ht="21" customHeight="1" x14ac:dyDescent="0.2">
      <c r="A276" s="417">
        <f t="shared" si="36"/>
        <v>13</v>
      </c>
      <c r="B276" s="423"/>
      <c r="C276" s="424"/>
      <c r="D276" s="423"/>
      <c r="E276" s="425"/>
      <c r="F276" s="426"/>
      <c r="G276" s="422"/>
      <c r="H276" s="431"/>
      <c r="I276" s="422"/>
      <c r="J276" s="433">
        <f t="shared" si="32"/>
        <v>0</v>
      </c>
      <c r="K276" s="630" t="str">
        <f t="shared" si="33"/>
        <v>TL</v>
      </c>
      <c r="M276" s="436">
        <f t="shared" si="34"/>
        <v>350</v>
      </c>
      <c r="N276" s="435">
        <f t="shared" si="35"/>
        <v>0</v>
      </c>
    </row>
    <row r="277" spans="1:14" s="224" customFormat="1" ht="21" customHeight="1" x14ac:dyDescent="0.2">
      <c r="A277" s="417">
        <f t="shared" si="36"/>
        <v>14</v>
      </c>
      <c r="B277" s="423"/>
      <c r="C277" s="424"/>
      <c r="D277" s="423"/>
      <c r="E277" s="425"/>
      <c r="F277" s="426"/>
      <c r="G277" s="422"/>
      <c r="H277" s="431"/>
      <c r="I277" s="422"/>
      <c r="J277" s="433">
        <f t="shared" si="32"/>
        <v>0</v>
      </c>
      <c r="K277" s="630" t="str">
        <f t="shared" si="33"/>
        <v>TL</v>
      </c>
      <c r="M277" s="436">
        <f t="shared" si="34"/>
        <v>350</v>
      </c>
      <c r="N277" s="435">
        <f t="shared" si="35"/>
        <v>0</v>
      </c>
    </row>
    <row r="278" spans="1:14" s="224" customFormat="1" ht="21" customHeight="1" x14ac:dyDescent="0.2">
      <c r="A278" s="417">
        <f t="shared" si="36"/>
        <v>15</v>
      </c>
      <c r="B278" s="423"/>
      <c r="C278" s="424"/>
      <c r="D278" s="423"/>
      <c r="E278" s="425"/>
      <c r="F278" s="426"/>
      <c r="G278" s="422"/>
      <c r="H278" s="431"/>
      <c r="I278" s="422"/>
      <c r="J278" s="433">
        <f t="shared" si="32"/>
        <v>0</v>
      </c>
      <c r="K278" s="630" t="str">
        <f t="shared" si="33"/>
        <v>TL</v>
      </c>
      <c r="M278" s="436">
        <f t="shared" si="34"/>
        <v>350</v>
      </c>
      <c r="N278" s="435">
        <f t="shared" si="35"/>
        <v>0</v>
      </c>
    </row>
    <row r="279" spans="1:14" s="224" customFormat="1" ht="21" customHeight="1" x14ac:dyDescent="0.2">
      <c r="A279" s="417">
        <f t="shared" si="36"/>
        <v>16</v>
      </c>
      <c r="B279" s="423"/>
      <c r="C279" s="424"/>
      <c r="D279" s="423"/>
      <c r="E279" s="425"/>
      <c r="F279" s="426"/>
      <c r="G279" s="422"/>
      <c r="H279" s="431"/>
      <c r="I279" s="422"/>
      <c r="J279" s="433">
        <f t="shared" si="32"/>
        <v>0</v>
      </c>
      <c r="K279" s="630" t="str">
        <f t="shared" si="33"/>
        <v>TL</v>
      </c>
      <c r="M279" s="436">
        <f t="shared" si="34"/>
        <v>350</v>
      </c>
      <c r="N279" s="435">
        <f t="shared" si="35"/>
        <v>0</v>
      </c>
    </row>
    <row r="280" spans="1:14" s="224" customFormat="1" ht="21" customHeight="1" x14ac:dyDescent="0.2">
      <c r="A280" s="417">
        <f t="shared" si="36"/>
        <v>17</v>
      </c>
      <c r="B280" s="423"/>
      <c r="C280" s="424"/>
      <c r="D280" s="423"/>
      <c r="E280" s="425"/>
      <c r="F280" s="426"/>
      <c r="G280" s="422"/>
      <c r="H280" s="431"/>
      <c r="I280" s="422"/>
      <c r="J280" s="433">
        <f t="shared" si="32"/>
        <v>0</v>
      </c>
      <c r="K280" s="630" t="str">
        <f t="shared" si="33"/>
        <v>TL</v>
      </c>
      <c r="M280" s="436">
        <f t="shared" si="34"/>
        <v>350</v>
      </c>
      <c r="N280" s="435">
        <f t="shared" si="35"/>
        <v>0</v>
      </c>
    </row>
    <row r="281" spans="1:14" s="224" customFormat="1" ht="21" customHeight="1" x14ac:dyDescent="0.2">
      <c r="A281" s="417">
        <f t="shared" si="36"/>
        <v>18</v>
      </c>
      <c r="B281" s="423"/>
      <c r="C281" s="424"/>
      <c r="D281" s="423"/>
      <c r="E281" s="425"/>
      <c r="F281" s="426"/>
      <c r="G281" s="422"/>
      <c r="H281" s="431"/>
      <c r="I281" s="422"/>
      <c r="J281" s="433">
        <f t="shared" si="32"/>
        <v>0</v>
      </c>
      <c r="K281" s="630" t="str">
        <f t="shared" si="33"/>
        <v>TL</v>
      </c>
      <c r="M281" s="436">
        <f t="shared" si="34"/>
        <v>350</v>
      </c>
      <c r="N281" s="435">
        <f t="shared" si="35"/>
        <v>0</v>
      </c>
    </row>
    <row r="282" spans="1:14" s="224" customFormat="1" ht="21" customHeight="1" x14ac:dyDescent="0.2">
      <c r="A282" s="417">
        <f>A281+1</f>
        <v>19</v>
      </c>
      <c r="B282" s="423"/>
      <c r="C282" s="424"/>
      <c r="D282" s="423"/>
      <c r="E282" s="425"/>
      <c r="F282" s="426"/>
      <c r="G282" s="422"/>
      <c r="H282" s="431"/>
      <c r="I282" s="422"/>
      <c r="J282" s="433">
        <f t="shared" si="32"/>
        <v>0</v>
      </c>
      <c r="K282" s="630" t="str">
        <f t="shared" si="33"/>
        <v>TL</v>
      </c>
      <c r="M282" s="436">
        <f t="shared" si="34"/>
        <v>350</v>
      </c>
      <c r="N282" s="435">
        <f t="shared" si="35"/>
        <v>0</v>
      </c>
    </row>
    <row r="283" spans="1:14" s="224" customFormat="1" ht="21" customHeight="1" x14ac:dyDescent="0.2">
      <c r="A283" s="417">
        <f t="shared" ref="A283:A303" si="37">A282+1</f>
        <v>20</v>
      </c>
      <c r="B283" s="423"/>
      <c r="C283" s="424"/>
      <c r="D283" s="423"/>
      <c r="E283" s="425"/>
      <c r="F283" s="426"/>
      <c r="G283" s="422"/>
      <c r="H283" s="431"/>
      <c r="I283" s="422"/>
      <c r="J283" s="433">
        <f t="shared" si="32"/>
        <v>0</v>
      </c>
      <c r="K283" s="630" t="str">
        <f t="shared" si="33"/>
        <v>TL</v>
      </c>
      <c r="M283" s="436">
        <f t="shared" si="34"/>
        <v>350</v>
      </c>
      <c r="N283" s="435">
        <f t="shared" si="35"/>
        <v>0</v>
      </c>
    </row>
    <row r="284" spans="1:14" s="224" customFormat="1" ht="21" customHeight="1" x14ac:dyDescent="0.2">
      <c r="A284" s="417">
        <f t="shared" si="37"/>
        <v>21</v>
      </c>
      <c r="B284" s="423"/>
      <c r="C284" s="424"/>
      <c r="D284" s="423"/>
      <c r="E284" s="425"/>
      <c r="F284" s="426"/>
      <c r="G284" s="422"/>
      <c r="H284" s="431"/>
      <c r="I284" s="422"/>
      <c r="J284" s="433">
        <f t="shared" si="32"/>
        <v>0</v>
      </c>
      <c r="K284" s="630" t="str">
        <f t="shared" si="33"/>
        <v>TL</v>
      </c>
      <c r="M284" s="436">
        <f t="shared" si="34"/>
        <v>350</v>
      </c>
      <c r="N284" s="435">
        <f t="shared" si="35"/>
        <v>0</v>
      </c>
    </row>
    <row r="285" spans="1:14" s="224" customFormat="1" ht="21" customHeight="1" x14ac:dyDescent="0.2">
      <c r="A285" s="417">
        <f t="shared" si="37"/>
        <v>22</v>
      </c>
      <c r="B285" s="423"/>
      <c r="C285" s="424"/>
      <c r="D285" s="423"/>
      <c r="E285" s="425"/>
      <c r="F285" s="426"/>
      <c r="G285" s="422"/>
      <c r="H285" s="431"/>
      <c r="I285" s="422"/>
      <c r="J285" s="433">
        <f t="shared" si="32"/>
        <v>0</v>
      </c>
      <c r="K285" s="630" t="str">
        <f t="shared" si="33"/>
        <v>TL</v>
      </c>
      <c r="M285" s="436">
        <f t="shared" si="34"/>
        <v>350</v>
      </c>
      <c r="N285" s="435">
        <f t="shared" si="35"/>
        <v>0</v>
      </c>
    </row>
    <row r="286" spans="1:14" s="224" customFormat="1" ht="21" customHeight="1" x14ac:dyDescent="0.2">
      <c r="A286" s="417">
        <f t="shared" si="37"/>
        <v>23</v>
      </c>
      <c r="B286" s="423"/>
      <c r="C286" s="424"/>
      <c r="D286" s="423"/>
      <c r="E286" s="425"/>
      <c r="F286" s="426"/>
      <c r="G286" s="422"/>
      <c r="H286" s="431"/>
      <c r="I286" s="422"/>
      <c r="J286" s="433">
        <f t="shared" si="32"/>
        <v>0</v>
      </c>
      <c r="K286" s="630" t="str">
        <f t="shared" si="33"/>
        <v>TL</v>
      </c>
      <c r="M286" s="436">
        <f t="shared" si="34"/>
        <v>350</v>
      </c>
      <c r="N286" s="435">
        <f t="shared" si="35"/>
        <v>0</v>
      </c>
    </row>
    <row r="287" spans="1:14" s="224" customFormat="1" ht="21" customHeight="1" x14ac:dyDescent="0.2">
      <c r="A287" s="417">
        <f t="shared" si="37"/>
        <v>24</v>
      </c>
      <c r="B287" s="423"/>
      <c r="C287" s="424"/>
      <c r="D287" s="423"/>
      <c r="E287" s="425"/>
      <c r="F287" s="426"/>
      <c r="G287" s="422"/>
      <c r="H287" s="431"/>
      <c r="I287" s="422"/>
      <c r="J287" s="433">
        <f t="shared" si="32"/>
        <v>0</v>
      </c>
      <c r="K287" s="630" t="str">
        <f t="shared" si="33"/>
        <v>TL</v>
      </c>
      <c r="M287" s="436">
        <f t="shared" si="34"/>
        <v>350</v>
      </c>
      <c r="N287" s="435">
        <f t="shared" si="35"/>
        <v>0</v>
      </c>
    </row>
    <row r="288" spans="1:14" s="224" customFormat="1" ht="21" customHeight="1" x14ac:dyDescent="0.2">
      <c r="A288" s="417">
        <f t="shared" si="37"/>
        <v>25</v>
      </c>
      <c r="B288" s="423"/>
      <c r="C288" s="424"/>
      <c r="D288" s="423"/>
      <c r="E288" s="425"/>
      <c r="F288" s="426"/>
      <c r="G288" s="422"/>
      <c r="H288" s="431"/>
      <c r="I288" s="422"/>
      <c r="J288" s="433">
        <f t="shared" si="32"/>
        <v>0</v>
      </c>
      <c r="K288" s="630" t="str">
        <f t="shared" si="33"/>
        <v>TL</v>
      </c>
      <c r="M288" s="436">
        <f t="shared" si="34"/>
        <v>350</v>
      </c>
      <c r="N288" s="435">
        <f t="shared" si="35"/>
        <v>0</v>
      </c>
    </row>
    <row r="289" spans="1:14" s="224" customFormat="1" ht="21" customHeight="1" x14ac:dyDescent="0.2">
      <c r="A289" s="417">
        <f t="shared" si="37"/>
        <v>26</v>
      </c>
      <c r="B289" s="423"/>
      <c r="C289" s="424"/>
      <c r="D289" s="423"/>
      <c r="E289" s="425"/>
      <c r="F289" s="426"/>
      <c r="G289" s="422"/>
      <c r="H289" s="431"/>
      <c r="I289" s="422"/>
      <c r="J289" s="433">
        <f t="shared" si="32"/>
        <v>0</v>
      </c>
      <c r="K289" s="630" t="str">
        <f t="shared" si="33"/>
        <v>TL</v>
      </c>
      <c r="M289" s="436">
        <f t="shared" si="34"/>
        <v>350</v>
      </c>
      <c r="N289" s="435">
        <f t="shared" si="35"/>
        <v>0</v>
      </c>
    </row>
    <row r="290" spans="1:14" s="224" customFormat="1" ht="21" customHeight="1" x14ac:dyDescent="0.2">
      <c r="A290" s="417">
        <f t="shared" si="37"/>
        <v>27</v>
      </c>
      <c r="B290" s="423"/>
      <c r="C290" s="424"/>
      <c r="D290" s="423"/>
      <c r="E290" s="425"/>
      <c r="F290" s="426"/>
      <c r="G290" s="422"/>
      <c r="H290" s="431"/>
      <c r="I290" s="422"/>
      <c r="J290" s="433">
        <f t="shared" si="32"/>
        <v>0</v>
      </c>
      <c r="K290" s="630" t="str">
        <f t="shared" si="33"/>
        <v>TL</v>
      </c>
      <c r="M290" s="436">
        <f t="shared" si="34"/>
        <v>350</v>
      </c>
      <c r="N290" s="435">
        <f t="shared" si="35"/>
        <v>0</v>
      </c>
    </row>
    <row r="291" spans="1:14" s="224" customFormat="1" ht="21" customHeight="1" x14ac:dyDescent="0.2">
      <c r="A291" s="417">
        <f t="shared" si="37"/>
        <v>28</v>
      </c>
      <c r="B291" s="423"/>
      <c r="C291" s="424"/>
      <c r="D291" s="423"/>
      <c r="E291" s="425"/>
      <c r="F291" s="426"/>
      <c r="G291" s="422"/>
      <c r="H291" s="431"/>
      <c r="I291" s="422"/>
      <c r="J291" s="433">
        <f t="shared" si="32"/>
        <v>0</v>
      </c>
      <c r="K291" s="630" t="str">
        <f t="shared" si="33"/>
        <v>TL</v>
      </c>
      <c r="M291" s="436">
        <f t="shared" si="34"/>
        <v>350</v>
      </c>
      <c r="N291" s="435">
        <f t="shared" si="35"/>
        <v>0</v>
      </c>
    </row>
    <row r="292" spans="1:14" s="224" customFormat="1" ht="21" customHeight="1" x14ac:dyDescent="0.2">
      <c r="A292" s="417">
        <f t="shared" si="37"/>
        <v>29</v>
      </c>
      <c r="B292" s="423"/>
      <c r="C292" s="424"/>
      <c r="D292" s="423"/>
      <c r="E292" s="425"/>
      <c r="F292" s="426"/>
      <c r="G292" s="422"/>
      <c r="H292" s="431"/>
      <c r="I292" s="422"/>
      <c r="J292" s="433">
        <f t="shared" si="32"/>
        <v>0</v>
      </c>
      <c r="K292" s="630" t="str">
        <f t="shared" si="33"/>
        <v>TL</v>
      </c>
      <c r="M292" s="436">
        <f t="shared" si="34"/>
        <v>350</v>
      </c>
      <c r="N292" s="435">
        <f t="shared" si="35"/>
        <v>0</v>
      </c>
    </row>
    <row r="293" spans="1:14" s="224" customFormat="1" ht="21" customHeight="1" x14ac:dyDescent="0.2">
      <c r="A293" s="417">
        <f t="shared" si="37"/>
        <v>30</v>
      </c>
      <c r="B293" s="423"/>
      <c r="C293" s="424"/>
      <c r="D293" s="423"/>
      <c r="E293" s="425"/>
      <c r="F293" s="426"/>
      <c r="G293" s="422"/>
      <c r="H293" s="431"/>
      <c r="I293" s="422"/>
      <c r="J293" s="433">
        <f t="shared" si="32"/>
        <v>0</v>
      </c>
      <c r="K293" s="630" t="str">
        <f t="shared" si="33"/>
        <v>TL</v>
      </c>
      <c r="M293" s="436">
        <f t="shared" si="34"/>
        <v>350</v>
      </c>
      <c r="N293" s="435">
        <f t="shared" si="35"/>
        <v>0</v>
      </c>
    </row>
    <row r="294" spans="1:14" s="224" customFormat="1" ht="21" customHeight="1" x14ac:dyDescent="0.2">
      <c r="A294" s="417">
        <f t="shared" si="37"/>
        <v>31</v>
      </c>
      <c r="B294" s="423"/>
      <c r="C294" s="424"/>
      <c r="D294" s="423"/>
      <c r="E294" s="425"/>
      <c r="F294" s="426"/>
      <c r="G294" s="422"/>
      <c r="H294" s="431"/>
      <c r="I294" s="422"/>
      <c r="J294" s="433">
        <f t="shared" si="32"/>
        <v>0</v>
      </c>
      <c r="K294" s="630" t="str">
        <f t="shared" si="33"/>
        <v>TL</v>
      </c>
      <c r="M294" s="436">
        <f t="shared" si="34"/>
        <v>350</v>
      </c>
      <c r="N294" s="435">
        <f t="shared" si="35"/>
        <v>0</v>
      </c>
    </row>
    <row r="295" spans="1:14" s="224" customFormat="1" ht="21" customHeight="1" x14ac:dyDescent="0.2">
      <c r="A295" s="417">
        <f t="shared" si="37"/>
        <v>32</v>
      </c>
      <c r="B295" s="423"/>
      <c r="C295" s="424"/>
      <c r="D295" s="423"/>
      <c r="E295" s="425"/>
      <c r="F295" s="426"/>
      <c r="G295" s="422"/>
      <c r="H295" s="431"/>
      <c r="I295" s="422"/>
      <c r="J295" s="433">
        <f t="shared" si="32"/>
        <v>0</v>
      </c>
      <c r="K295" s="630" t="str">
        <f t="shared" si="33"/>
        <v>TL</v>
      </c>
      <c r="M295" s="436">
        <f t="shared" si="34"/>
        <v>350</v>
      </c>
      <c r="N295" s="435">
        <f t="shared" si="35"/>
        <v>0</v>
      </c>
    </row>
    <row r="296" spans="1:14" s="224" customFormat="1" ht="21" customHeight="1" x14ac:dyDescent="0.2">
      <c r="A296" s="417">
        <f t="shared" si="37"/>
        <v>33</v>
      </c>
      <c r="B296" s="423"/>
      <c r="C296" s="424"/>
      <c r="D296" s="423"/>
      <c r="E296" s="425"/>
      <c r="F296" s="426"/>
      <c r="G296" s="422"/>
      <c r="H296" s="431"/>
      <c r="I296" s="422"/>
      <c r="J296" s="433">
        <f t="shared" si="32"/>
        <v>0</v>
      </c>
      <c r="K296" s="630" t="str">
        <f t="shared" si="33"/>
        <v>TL</v>
      </c>
      <c r="M296" s="436">
        <f t="shared" si="34"/>
        <v>350</v>
      </c>
      <c r="N296" s="435">
        <f t="shared" si="35"/>
        <v>0</v>
      </c>
    </row>
    <row r="297" spans="1:14" s="224" customFormat="1" ht="21" customHeight="1" x14ac:dyDescent="0.2">
      <c r="A297" s="417">
        <f t="shared" si="37"/>
        <v>34</v>
      </c>
      <c r="B297" s="423"/>
      <c r="C297" s="424"/>
      <c r="D297" s="423"/>
      <c r="E297" s="425"/>
      <c r="F297" s="426"/>
      <c r="G297" s="422"/>
      <c r="H297" s="431"/>
      <c r="I297" s="422"/>
      <c r="J297" s="433">
        <f t="shared" si="32"/>
        <v>0</v>
      </c>
      <c r="K297" s="630" t="str">
        <f t="shared" si="33"/>
        <v>TL</v>
      </c>
      <c r="M297" s="436">
        <f t="shared" si="34"/>
        <v>350</v>
      </c>
      <c r="N297" s="435">
        <f t="shared" si="35"/>
        <v>0</v>
      </c>
    </row>
    <row r="298" spans="1:14" s="224" customFormat="1" ht="21" customHeight="1" x14ac:dyDescent="0.2">
      <c r="A298" s="417">
        <f t="shared" si="37"/>
        <v>35</v>
      </c>
      <c r="B298" s="423"/>
      <c r="C298" s="424"/>
      <c r="D298" s="423"/>
      <c r="E298" s="425"/>
      <c r="F298" s="426"/>
      <c r="G298" s="422"/>
      <c r="H298" s="431"/>
      <c r="I298" s="422"/>
      <c r="J298" s="433">
        <f t="shared" si="32"/>
        <v>0</v>
      </c>
      <c r="K298" s="630" t="str">
        <f t="shared" si="33"/>
        <v>TL</v>
      </c>
      <c r="M298" s="436">
        <f t="shared" si="34"/>
        <v>350</v>
      </c>
      <c r="N298" s="435">
        <f t="shared" si="35"/>
        <v>0</v>
      </c>
    </row>
    <row r="299" spans="1:14" s="224" customFormat="1" ht="21" customHeight="1" x14ac:dyDescent="0.2">
      <c r="A299" s="417">
        <f t="shared" si="37"/>
        <v>36</v>
      </c>
      <c r="B299" s="423"/>
      <c r="C299" s="424"/>
      <c r="D299" s="423"/>
      <c r="E299" s="425"/>
      <c r="F299" s="426"/>
      <c r="G299" s="422"/>
      <c r="H299" s="431"/>
      <c r="I299" s="422"/>
      <c r="J299" s="433">
        <f t="shared" si="32"/>
        <v>0</v>
      </c>
      <c r="K299" s="630" t="str">
        <f t="shared" si="33"/>
        <v>TL</v>
      </c>
      <c r="M299" s="436">
        <f t="shared" si="34"/>
        <v>350</v>
      </c>
      <c r="N299" s="435">
        <f t="shared" si="35"/>
        <v>0</v>
      </c>
    </row>
    <row r="300" spans="1:14" s="224" customFormat="1" ht="21" customHeight="1" x14ac:dyDescent="0.2">
      <c r="A300" s="417">
        <f t="shared" si="37"/>
        <v>37</v>
      </c>
      <c r="B300" s="423"/>
      <c r="C300" s="424"/>
      <c r="D300" s="423"/>
      <c r="E300" s="425"/>
      <c r="F300" s="426"/>
      <c r="G300" s="422"/>
      <c r="H300" s="431"/>
      <c r="I300" s="422"/>
      <c r="J300" s="433">
        <f t="shared" si="32"/>
        <v>0</v>
      </c>
      <c r="K300" s="630" t="str">
        <f t="shared" si="33"/>
        <v>TL</v>
      </c>
      <c r="M300" s="436">
        <f t="shared" si="34"/>
        <v>350</v>
      </c>
      <c r="N300" s="435">
        <f t="shared" si="35"/>
        <v>0</v>
      </c>
    </row>
    <row r="301" spans="1:14" s="224" customFormat="1" ht="21" customHeight="1" x14ac:dyDescent="0.2">
      <c r="A301" s="417">
        <f t="shared" si="37"/>
        <v>38</v>
      </c>
      <c r="B301" s="423"/>
      <c r="C301" s="424"/>
      <c r="D301" s="423"/>
      <c r="E301" s="425"/>
      <c r="F301" s="426"/>
      <c r="G301" s="422"/>
      <c r="H301" s="431"/>
      <c r="I301" s="422"/>
      <c r="J301" s="433">
        <f t="shared" si="32"/>
        <v>0</v>
      </c>
      <c r="K301" s="630" t="str">
        <f t="shared" si="33"/>
        <v>TL</v>
      </c>
      <c r="M301" s="436">
        <f t="shared" si="34"/>
        <v>350</v>
      </c>
      <c r="N301" s="435">
        <f t="shared" si="35"/>
        <v>0</v>
      </c>
    </row>
    <row r="302" spans="1:14" s="224" customFormat="1" ht="21" customHeight="1" x14ac:dyDescent="0.2">
      <c r="A302" s="417">
        <f t="shared" si="37"/>
        <v>39</v>
      </c>
      <c r="B302" s="423"/>
      <c r="C302" s="424"/>
      <c r="D302" s="423"/>
      <c r="E302" s="425"/>
      <c r="F302" s="426"/>
      <c r="G302" s="422"/>
      <c r="H302" s="431"/>
      <c r="I302" s="422"/>
      <c r="J302" s="433">
        <f t="shared" si="32"/>
        <v>0</v>
      </c>
      <c r="K302" s="630" t="str">
        <f t="shared" si="33"/>
        <v>TL</v>
      </c>
      <c r="M302" s="436">
        <f t="shared" si="34"/>
        <v>350</v>
      </c>
      <c r="N302" s="435">
        <f t="shared" si="35"/>
        <v>0</v>
      </c>
    </row>
    <row r="303" spans="1:14" s="224" customFormat="1" ht="21" customHeight="1" x14ac:dyDescent="0.2">
      <c r="A303" s="417">
        <f t="shared" si="37"/>
        <v>40</v>
      </c>
      <c r="B303" s="423"/>
      <c r="C303" s="424"/>
      <c r="D303" s="423"/>
      <c r="E303" s="425"/>
      <c r="F303" s="426"/>
      <c r="G303" s="422"/>
      <c r="H303" s="431"/>
      <c r="I303" s="422"/>
      <c r="J303" s="433">
        <f t="shared" si="32"/>
        <v>0</v>
      </c>
      <c r="K303" s="630" t="str">
        <f t="shared" si="33"/>
        <v>TL</v>
      </c>
      <c r="M303" s="436">
        <f t="shared" si="34"/>
        <v>350</v>
      </c>
      <c r="N303" s="435">
        <f t="shared" si="35"/>
        <v>0</v>
      </c>
    </row>
    <row r="304" spans="1:14" ht="15" x14ac:dyDescent="0.2">
      <c r="C304" s="71"/>
      <c r="G304" s="427"/>
      <c r="H304" s="427"/>
      <c r="I304" s="427"/>
      <c r="J304" s="428"/>
      <c r="K304" s="429"/>
    </row>
    <row r="305" spans="1:14" x14ac:dyDescent="0.2">
      <c r="A305" s="238" t="s">
        <v>279</v>
      </c>
      <c r="C305" s="135"/>
      <c r="E305" s="1" t="s">
        <v>280</v>
      </c>
      <c r="F305" s="1"/>
      <c r="I305" s="238" t="s">
        <v>281</v>
      </c>
    </row>
    <row r="306" spans="1:14" ht="19.5" customHeight="1" x14ac:dyDescent="0.2">
      <c r="A306" s="528" t="s">
        <v>286</v>
      </c>
      <c r="B306" s="528"/>
      <c r="C306" s="528"/>
      <c r="D306" s="528"/>
      <c r="E306" s="1"/>
      <c r="F306" s="1"/>
      <c r="I306" s="135"/>
    </row>
    <row r="307" spans="1:14" ht="17.25" customHeight="1" x14ac:dyDescent="0.2">
      <c r="A307" s="622" t="s">
        <v>287</v>
      </c>
      <c r="B307" s="622"/>
      <c r="C307" s="622"/>
      <c r="D307" s="622"/>
      <c r="E307" s="1"/>
      <c r="F307" s="1"/>
    </row>
    <row r="308" spans="1:14" ht="19.5" customHeight="1" x14ac:dyDescent="0.2">
      <c r="A308" s="622" t="s">
        <v>288</v>
      </c>
      <c r="B308" s="622"/>
      <c r="C308" s="622"/>
      <c r="D308" s="622"/>
      <c r="E308" s="238" t="s">
        <v>282</v>
      </c>
      <c r="F308" s="1"/>
      <c r="I308" s="135" t="s">
        <v>289</v>
      </c>
    </row>
    <row r="309" spans="1:14" ht="15.75" customHeight="1" x14ac:dyDescent="0.2">
      <c r="C309" s="71"/>
      <c r="E309" s="17" t="s">
        <v>283</v>
      </c>
      <c r="F309" s="1"/>
      <c r="I309" s="17" t="s">
        <v>283</v>
      </c>
    </row>
    <row r="310" spans="1:14" ht="15.75" customHeight="1" x14ac:dyDescent="0.2">
      <c r="C310" s="71"/>
      <c r="E310" s="17" t="s">
        <v>284</v>
      </c>
      <c r="F310" s="1"/>
      <c r="I310" s="17" t="s">
        <v>284</v>
      </c>
    </row>
    <row r="311" spans="1:14" ht="15" x14ac:dyDescent="0.25">
      <c r="A311" s="88" t="s">
        <v>295</v>
      </c>
      <c r="B311" s="88"/>
      <c r="C311" s="88"/>
      <c r="D311" s="88"/>
      <c r="E311" s="88"/>
      <c r="F311" s="88"/>
      <c r="G311" s="88"/>
      <c r="H311" s="88"/>
      <c r="I311" s="88"/>
      <c r="J311" s="88"/>
      <c r="K311" s="89"/>
    </row>
    <row r="312" spans="1:14" ht="6" customHeight="1" x14ac:dyDescent="0.2">
      <c r="C312" s="71"/>
      <c r="G312" s="1"/>
    </row>
    <row r="313" spans="1:14" s="1" customFormat="1" ht="30" customHeight="1" x14ac:dyDescent="0.2">
      <c r="A313" s="623" t="s">
        <v>268</v>
      </c>
      <c r="B313" s="623" t="s">
        <v>269</v>
      </c>
      <c r="C313" s="623" t="s">
        <v>270</v>
      </c>
      <c r="D313" s="623" t="s">
        <v>271</v>
      </c>
      <c r="E313" s="623" t="s">
        <v>181</v>
      </c>
      <c r="F313" s="625" t="s">
        <v>272</v>
      </c>
      <c r="G313" s="627" t="s">
        <v>273</v>
      </c>
      <c r="H313" s="628"/>
      <c r="I313" s="415" t="s">
        <v>274</v>
      </c>
      <c r="J313" s="623" t="s">
        <v>275</v>
      </c>
      <c r="K313" s="623" t="s">
        <v>285</v>
      </c>
      <c r="M313" s="629" t="s">
        <v>299</v>
      </c>
      <c r="N313" s="621" t="s">
        <v>300</v>
      </c>
    </row>
    <row r="314" spans="1:14" s="1" customFormat="1" ht="28.5" customHeight="1" x14ac:dyDescent="0.2">
      <c r="A314" s="624"/>
      <c r="B314" s="624"/>
      <c r="C314" s="624"/>
      <c r="D314" s="624"/>
      <c r="E314" s="624"/>
      <c r="F314" s="626"/>
      <c r="G314" s="416" t="s">
        <v>276</v>
      </c>
      <c r="H314" s="430"/>
      <c r="I314" s="416" t="s">
        <v>278</v>
      </c>
      <c r="J314" s="624"/>
      <c r="K314" s="624"/>
      <c r="M314" s="629"/>
      <c r="N314" s="621"/>
    </row>
    <row r="315" spans="1:14" s="224" customFormat="1" ht="21" customHeight="1" x14ac:dyDescent="0.2">
      <c r="A315" s="417">
        <v>1</v>
      </c>
      <c r="B315" s="418"/>
      <c r="C315" s="419"/>
      <c r="D315" s="418"/>
      <c r="E315" s="420"/>
      <c r="F315" s="421"/>
      <c r="G315" s="432">
        <v>70</v>
      </c>
      <c r="H315" s="431"/>
      <c r="I315" s="432">
        <v>280</v>
      </c>
      <c r="J315" s="433">
        <f>SUM(G315:I315)</f>
        <v>350</v>
      </c>
      <c r="K315" s="630" t="str">
        <f t="shared" ref="K315" si="38">IF(J315&gt;=M315,"L","TL")</f>
        <v>L</v>
      </c>
      <c r="M315" s="436">
        <f>500*70%</f>
        <v>350</v>
      </c>
      <c r="N315" s="435">
        <f>J315/500*100%</f>
        <v>0.7</v>
      </c>
    </row>
    <row r="316" spans="1:14" s="224" customFormat="1" ht="21" customHeight="1" x14ac:dyDescent="0.2">
      <c r="A316" s="417">
        <f>A315+1</f>
        <v>2</v>
      </c>
      <c r="B316" s="418"/>
      <c r="C316" s="419"/>
      <c r="D316" s="418"/>
      <c r="E316" s="420"/>
      <c r="F316" s="421"/>
      <c r="G316" s="422"/>
      <c r="H316" s="431"/>
      <c r="I316" s="422"/>
      <c r="J316" s="433">
        <f t="shared" ref="J316:J354" si="39">SUM(G316:I316)</f>
        <v>0</v>
      </c>
      <c r="K316" s="630" t="str">
        <f t="shared" ref="K315:K354" si="40">IF(J316&gt;=M316,"L","TL")</f>
        <v>TL</v>
      </c>
      <c r="M316" s="436">
        <f t="shared" ref="M316:M354" si="41">500*70%</f>
        <v>350</v>
      </c>
      <c r="N316" s="435">
        <f t="shared" ref="N316:N354" si="42">J316/500*100%</f>
        <v>0</v>
      </c>
    </row>
    <row r="317" spans="1:14" s="224" customFormat="1" ht="21" customHeight="1" x14ac:dyDescent="0.2">
      <c r="A317" s="417">
        <f t="shared" ref="A317:A332" si="43">A316+1</f>
        <v>3</v>
      </c>
      <c r="B317" s="423"/>
      <c r="C317" s="424"/>
      <c r="D317" s="423"/>
      <c r="E317" s="425"/>
      <c r="F317" s="426"/>
      <c r="G317" s="422"/>
      <c r="H317" s="431"/>
      <c r="I317" s="422"/>
      <c r="J317" s="433">
        <f t="shared" si="39"/>
        <v>0</v>
      </c>
      <c r="K317" s="630" t="str">
        <f t="shared" si="40"/>
        <v>TL</v>
      </c>
      <c r="M317" s="436">
        <f t="shared" si="41"/>
        <v>350</v>
      </c>
      <c r="N317" s="435">
        <f t="shared" si="42"/>
        <v>0</v>
      </c>
    </row>
    <row r="318" spans="1:14" s="224" customFormat="1" ht="21" customHeight="1" x14ac:dyDescent="0.2">
      <c r="A318" s="417">
        <f t="shared" si="43"/>
        <v>4</v>
      </c>
      <c r="B318" s="423"/>
      <c r="C318" s="424"/>
      <c r="D318" s="423"/>
      <c r="E318" s="425"/>
      <c r="F318" s="426"/>
      <c r="G318" s="422"/>
      <c r="H318" s="431"/>
      <c r="I318" s="422"/>
      <c r="J318" s="433">
        <f t="shared" si="39"/>
        <v>0</v>
      </c>
      <c r="K318" s="630" t="str">
        <f t="shared" si="40"/>
        <v>TL</v>
      </c>
      <c r="M318" s="436">
        <f t="shared" si="41"/>
        <v>350</v>
      </c>
      <c r="N318" s="435">
        <f t="shared" si="42"/>
        <v>0</v>
      </c>
    </row>
    <row r="319" spans="1:14" s="224" customFormat="1" ht="21" customHeight="1" x14ac:dyDescent="0.2">
      <c r="A319" s="417">
        <f t="shared" si="43"/>
        <v>5</v>
      </c>
      <c r="B319" s="423"/>
      <c r="C319" s="424"/>
      <c r="D319" s="423"/>
      <c r="E319" s="425"/>
      <c r="F319" s="426"/>
      <c r="G319" s="422"/>
      <c r="H319" s="431"/>
      <c r="I319" s="422"/>
      <c r="J319" s="433">
        <f t="shared" si="39"/>
        <v>0</v>
      </c>
      <c r="K319" s="630" t="str">
        <f t="shared" si="40"/>
        <v>TL</v>
      </c>
      <c r="M319" s="436">
        <f t="shared" si="41"/>
        <v>350</v>
      </c>
      <c r="N319" s="435">
        <f t="shared" si="42"/>
        <v>0</v>
      </c>
    </row>
    <row r="320" spans="1:14" s="224" customFormat="1" ht="21" customHeight="1" x14ac:dyDescent="0.2">
      <c r="A320" s="417">
        <f t="shared" si="43"/>
        <v>6</v>
      </c>
      <c r="B320" s="423"/>
      <c r="C320" s="424"/>
      <c r="D320" s="423"/>
      <c r="E320" s="425"/>
      <c r="F320" s="426"/>
      <c r="G320" s="422"/>
      <c r="H320" s="431"/>
      <c r="I320" s="422"/>
      <c r="J320" s="433">
        <f t="shared" si="39"/>
        <v>0</v>
      </c>
      <c r="K320" s="630" t="str">
        <f t="shared" si="40"/>
        <v>TL</v>
      </c>
      <c r="M320" s="436">
        <f t="shared" si="41"/>
        <v>350</v>
      </c>
      <c r="N320" s="435">
        <f t="shared" si="42"/>
        <v>0</v>
      </c>
    </row>
    <row r="321" spans="1:14" s="224" customFormat="1" ht="21" customHeight="1" x14ac:dyDescent="0.2">
      <c r="A321" s="417">
        <f t="shared" si="43"/>
        <v>7</v>
      </c>
      <c r="B321" s="423"/>
      <c r="C321" s="424"/>
      <c r="D321" s="423"/>
      <c r="E321" s="425"/>
      <c r="F321" s="426"/>
      <c r="G321" s="422"/>
      <c r="H321" s="431"/>
      <c r="I321" s="422"/>
      <c r="J321" s="433">
        <f t="shared" si="39"/>
        <v>0</v>
      </c>
      <c r="K321" s="630" t="str">
        <f t="shared" si="40"/>
        <v>TL</v>
      </c>
      <c r="M321" s="436">
        <f t="shared" si="41"/>
        <v>350</v>
      </c>
      <c r="N321" s="435">
        <f t="shared" si="42"/>
        <v>0</v>
      </c>
    </row>
    <row r="322" spans="1:14" s="224" customFormat="1" ht="21" customHeight="1" x14ac:dyDescent="0.2">
      <c r="A322" s="417">
        <f t="shared" si="43"/>
        <v>8</v>
      </c>
      <c r="B322" s="423"/>
      <c r="C322" s="424"/>
      <c r="D322" s="423"/>
      <c r="E322" s="425"/>
      <c r="F322" s="426"/>
      <c r="G322" s="422"/>
      <c r="H322" s="431"/>
      <c r="I322" s="422"/>
      <c r="J322" s="433">
        <f t="shared" si="39"/>
        <v>0</v>
      </c>
      <c r="K322" s="630" t="str">
        <f t="shared" si="40"/>
        <v>TL</v>
      </c>
      <c r="M322" s="436">
        <f t="shared" si="41"/>
        <v>350</v>
      </c>
      <c r="N322" s="435">
        <f t="shared" si="42"/>
        <v>0</v>
      </c>
    </row>
    <row r="323" spans="1:14" s="224" customFormat="1" ht="21" customHeight="1" x14ac:dyDescent="0.2">
      <c r="A323" s="417">
        <f t="shared" si="43"/>
        <v>9</v>
      </c>
      <c r="B323" s="423"/>
      <c r="C323" s="424"/>
      <c r="D323" s="423"/>
      <c r="E323" s="425"/>
      <c r="F323" s="426"/>
      <c r="G323" s="422"/>
      <c r="H323" s="431"/>
      <c r="I323" s="422"/>
      <c r="J323" s="433">
        <f t="shared" si="39"/>
        <v>0</v>
      </c>
      <c r="K323" s="630" t="str">
        <f t="shared" si="40"/>
        <v>TL</v>
      </c>
      <c r="M323" s="436">
        <f t="shared" si="41"/>
        <v>350</v>
      </c>
      <c r="N323" s="435">
        <f t="shared" si="42"/>
        <v>0</v>
      </c>
    </row>
    <row r="324" spans="1:14" s="224" customFormat="1" ht="21" customHeight="1" x14ac:dyDescent="0.2">
      <c r="A324" s="417">
        <f t="shared" si="43"/>
        <v>10</v>
      </c>
      <c r="B324" s="423"/>
      <c r="C324" s="424"/>
      <c r="D324" s="423"/>
      <c r="E324" s="425"/>
      <c r="F324" s="426"/>
      <c r="G324" s="422"/>
      <c r="H324" s="431"/>
      <c r="I324" s="422"/>
      <c r="J324" s="433">
        <f t="shared" si="39"/>
        <v>0</v>
      </c>
      <c r="K324" s="630" t="str">
        <f t="shared" si="40"/>
        <v>TL</v>
      </c>
      <c r="M324" s="436">
        <f t="shared" si="41"/>
        <v>350</v>
      </c>
      <c r="N324" s="435">
        <f t="shared" si="42"/>
        <v>0</v>
      </c>
    </row>
    <row r="325" spans="1:14" s="224" customFormat="1" ht="21" customHeight="1" x14ac:dyDescent="0.2">
      <c r="A325" s="417">
        <f t="shared" si="43"/>
        <v>11</v>
      </c>
      <c r="B325" s="423"/>
      <c r="C325" s="424"/>
      <c r="D325" s="423"/>
      <c r="E325" s="425"/>
      <c r="F325" s="426"/>
      <c r="G325" s="422"/>
      <c r="H325" s="431"/>
      <c r="I325" s="422"/>
      <c r="J325" s="433">
        <f t="shared" si="39"/>
        <v>0</v>
      </c>
      <c r="K325" s="630" t="str">
        <f t="shared" si="40"/>
        <v>TL</v>
      </c>
      <c r="M325" s="436">
        <f t="shared" si="41"/>
        <v>350</v>
      </c>
      <c r="N325" s="435">
        <f t="shared" si="42"/>
        <v>0</v>
      </c>
    </row>
    <row r="326" spans="1:14" s="224" customFormat="1" ht="21" customHeight="1" x14ac:dyDescent="0.2">
      <c r="A326" s="417">
        <f t="shared" si="43"/>
        <v>12</v>
      </c>
      <c r="B326" s="423"/>
      <c r="C326" s="424"/>
      <c r="D326" s="423"/>
      <c r="E326" s="425"/>
      <c r="F326" s="426"/>
      <c r="G326" s="422"/>
      <c r="H326" s="431"/>
      <c r="I326" s="422"/>
      <c r="J326" s="433">
        <f t="shared" si="39"/>
        <v>0</v>
      </c>
      <c r="K326" s="630" t="str">
        <f t="shared" si="40"/>
        <v>TL</v>
      </c>
      <c r="M326" s="436">
        <f t="shared" si="41"/>
        <v>350</v>
      </c>
      <c r="N326" s="435">
        <f t="shared" si="42"/>
        <v>0</v>
      </c>
    </row>
    <row r="327" spans="1:14" s="224" customFormat="1" ht="21" customHeight="1" x14ac:dyDescent="0.2">
      <c r="A327" s="417">
        <f t="shared" si="43"/>
        <v>13</v>
      </c>
      <c r="B327" s="423"/>
      <c r="C327" s="424"/>
      <c r="D327" s="423"/>
      <c r="E327" s="425"/>
      <c r="F327" s="426"/>
      <c r="G327" s="422"/>
      <c r="H327" s="431"/>
      <c r="I327" s="422"/>
      <c r="J327" s="433">
        <f t="shared" si="39"/>
        <v>0</v>
      </c>
      <c r="K327" s="630" t="str">
        <f t="shared" si="40"/>
        <v>TL</v>
      </c>
      <c r="M327" s="436">
        <f t="shared" si="41"/>
        <v>350</v>
      </c>
      <c r="N327" s="435">
        <f t="shared" si="42"/>
        <v>0</v>
      </c>
    </row>
    <row r="328" spans="1:14" s="224" customFormat="1" ht="21" customHeight="1" x14ac:dyDescent="0.2">
      <c r="A328" s="417">
        <f t="shared" si="43"/>
        <v>14</v>
      </c>
      <c r="B328" s="423"/>
      <c r="C328" s="424"/>
      <c r="D328" s="423"/>
      <c r="E328" s="425"/>
      <c r="F328" s="426"/>
      <c r="G328" s="422"/>
      <c r="H328" s="431"/>
      <c r="I328" s="422"/>
      <c r="J328" s="433">
        <f t="shared" si="39"/>
        <v>0</v>
      </c>
      <c r="K328" s="630" t="str">
        <f t="shared" si="40"/>
        <v>TL</v>
      </c>
      <c r="M328" s="436">
        <f t="shared" si="41"/>
        <v>350</v>
      </c>
      <c r="N328" s="435">
        <f t="shared" si="42"/>
        <v>0</v>
      </c>
    </row>
    <row r="329" spans="1:14" s="224" customFormat="1" ht="21" customHeight="1" x14ac:dyDescent="0.2">
      <c r="A329" s="417">
        <f t="shared" si="43"/>
        <v>15</v>
      </c>
      <c r="B329" s="423"/>
      <c r="C329" s="424"/>
      <c r="D329" s="423"/>
      <c r="E329" s="425"/>
      <c r="F329" s="426"/>
      <c r="G329" s="422"/>
      <c r="H329" s="431"/>
      <c r="I329" s="422"/>
      <c r="J329" s="433">
        <f t="shared" si="39"/>
        <v>0</v>
      </c>
      <c r="K329" s="630" t="str">
        <f t="shared" si="40"/>
        <v>TL</v>
      </c>
      <c r="M329" s="436">
        <f t="shared" si="41"/>
        <v>350</v>
      </c>
      <c r="N329" s="435">
        <f t="shared" si="42"/>
        <v>0</v>
      </c>
    </row>
    <row r="330" spans="1:14" s="224" customFormat="1" ht="21" customHeight="1" x14ac:dyDescent="0.2">
      <c r="A330" s="417">
        <f t="shared" si="43"/>
        <v>16</v>
      </c>
      <c r="B330" s="423"/>
      <c r="C330" s="424"/>
      <c r="D330" s="423"/>
      <c r="E330" s="425"/>
      <c r="F330" s="426"/>
      <c r="G330" s="422"/>
      <c r="H330" s="431"/>
      <c r="I330" s="422"/>
      <c r="J330" s="433">
        <f t="shared" si="39"/>
        <v>0</v>
      </c>
      <c r="K330" s="630" t="str">
        <f t="shared" si="40"/>
        <v>TL</v>
      </c>
      <c r="M330" s="436">
        <f t="shared" si="41"/>
        <v>350</v>
      </c>
      <c r="N330" s="435">
        <f t="shared" si="42"/>
        <v>0</v>
      </c>
    </row>
    <row r="331" spans="1:14" s="224" customFormat="1" ht="21" customHeight="1" x14ac:dyDescent="0.2">
      <c r="A331" s="417">
        <f t="shared" si="43"/>
        <v>17</v>
      </c>
      <c r="B331" s="423"/>
      <c r="C331" s="424"/>
      <c r="D331" s="423"/>
      <c r="E331" s="425"/>
      <c r="F331" s="426"/>
      <c r="G331" s="422"/>
      <c r="H331" s="431"/>
      <c r="I331" s="422"/>
      <c r="J331" s="433">
        <f t="shared" si="39"/>
        <v>0</v>
      </c>
      <c r="K331" s="630" t="str">
        <f t="shared" si="40"/>
        <v>TL</v>
      </c>
      <c r="M331" s="436">
        <f t="shared" si="41"/>
        <v>350</v>
      </c>
      <c r="N331" s="435">
        <f t="shared" si="42"/>
        <v>0</v>
      </c>
    </row>
    <row r="332" spans="1:14" s="224" customFormat="1" ht="21" customHeight="1" x14ac:dyDescent="0.2">
      <c r="A332" s="417">
        <f t="shared" si="43"/>
        <v>18</v>
      </c>
      <c r="B332" s="423"/>
      <c r="C332" s="424"/>
      <c r="D332" s="423"/>
      <c r="E332" s="425"/>
      <c r="F332" s="426"/>
      <c r="G332" s="422"/>
      <c r="H332" s="431"/>
      <c r="I332" s="422"/>
      <c r="J332" s="433">
        <f t="shared" si="39"/>
        <v>0</v>
      </c>
      <c r="K332" s="630" t="str">
        <f t="shared" si="40"/>
        <v>TL</v>
      </c>
      <c r="M332" s="436">
        <f t="shared" si="41"/>
        <v>350</v>
      </c>
      <c r="N332" s="435">
        <f t="shared" si="42"/>
        <v>0</v>
      </c>
    </row>
    <row r="333" spans="1:14" s="224" customFormat="1" ht="21" customHeight="1" x14ac:dyDescent="0.2">
      <c r="A333" s="417">
        <f>A332+1</f>
        <v>19</v>
      </c>
      <c r="B333" s="423"/>
      <c r="C333" s="424"/>
      <c r="D333" s="423"/>
      <c r="E333" s="425"/>
      <c r="F333" s="426"/>
      <c r="G333" s="422"/>
      <c r="H333" s="431"/>
      <c r="I333" s="422"/>
      <c r="J333" s="433">
        <f t="shared" si="39"/>
        <v>0</v>
      </c>
      <c r="K333" s="630" t="str">
        <f t="shared" si="40"/>
        <v>TL</v>
      </c>
      <c r="M333" s="436">
        <f t="shared" si="41"/>
        <v>350</v>
      </c>
      <c r="N333" s="435">
        <f t="shared" si="42"/>
        <v>0</v>
      </c>
    </row>
    <row r="334" spans="1:14" s="224" customFormat="1" ht="21" customHeight="1" x14ac:dyDescent="0.2">
      <c r="A334" s="417">
        <f t="shared" ref="A334:A354" si="44">A333+1</f>
        <v>20</v>
      </c>
      <c r="B334" s="423"/>
      <c r="C334" s="424"/>
      <c r="D334" s="423"/>
      <c r="E334" s="425"/>
      <c r="F334" s="426"/>
      <c r="G334" s="422"/>
      <c r="H334" s="431"/>
      <c r="I334" s="422"/>
      <c r="J334" s="433">
        <f t="shared" si="39"/>
        <v>0</v>
      </c>
      <c r="K334" s="630" t="str">
        <f t="shared" si="40"/>
        <v>TL</v>
      </c>
      <c r="M334" s="436">
        <f t="shared" si="41"/>
        <v>350</v>
      </c>
      <c r="N334" s="435">
        <f t="shared" si="42"/>
        <v>0</v>
      </c>
    </row>
    <row r="335" spans="1:14" s="224" customFormat="1" ht="21" customHeight="1" x14ac:dyDescent="0.2">
      <c r="A335" s="417">
        <f t="shared" si="44"/>
        <v>21</v>
      </c>
      <c r="B335" s="423"/>
      <c r="C335" s="424"/>
      <c r="D335" s="423"/>
      <c r="E335" s="425"/>
      <c r="F335" s="426"/>
      <c r="G335" s="422"/>
      <c r="H335" s="431"/>
      <c r="I335" s="422"/>
      <c r="J335" s="433">
        <f t="shared" si="39"/>
        <v>0</v>
      </c>
      <c r="K335" s="630" t="str">
        <f t="shared" si="40"/>
        <v>TL</v>
      </c>
      <c r="M335" s="436">
        <f t="shared" si="41"/>
        <v>350</v>
      </c>
      <c r="N335" s="435">
        <f t="shared" si="42"/>
        <v>0</v>
      </c>
    </row>
    <row r="336" spans="1:14" s="224" customFormat="1" ht="21" customHeight="1" x14ac:dyDescent="0.2">
      <c r="A336" s="417">
        <f t="shared" si="44"/>
        <v>22</v>
      </c>
      <c r="B336" s="423"/>
      <c r="C336" s="424"/>
      <c r="D336" s="423"/>
      <c r="E336" s="425"/>
      <c r="F336" s="426"/>
      <c r="G336" s="422"/>
      <c r="H336" s="431"/>
      <c r="I336" s="422"/>
      <c r="J336" s="433">
        <f t="shared" si="39"/>
        <v>0</v>
      </c>
      <c r="K336" s="630" t="str">
        <f t="shared" si="40"/>
        <v>TL</v>
      </c>
      <c r="M336" s="436">
        <f t="shared" si="41"/>
        <v>350</v>
      </c>
      <c r="N336" s="435">
        <f t="shared" si="42"/>
        <v>0</v>
      </c>
    </row>
    <row r="337" spans="1:14" s="224" customFormat="1" ht="21" customHeight="1" x14ac:dyDescent="0.2">
      <c r="A337" s="417">
        <f t="shared" si="44"/>
        <v>23</v>
      </c>
      <c r="B337" s="423"/>
      <c r="C337" s="424"/>
      <c r="D337" s="423"/>
      <c r="E337" s="425"/>
      <c r="F337" s="426"/>
      <c r="G337" s="422"/>
      <c r="H337" s="431"/>
      <c r="I337" s="422"/>
      <c r="J337" s="433">
        <f t="shared" si="39"/>
        <v>0</v>
      </c>
      <c r="K337" s="630" t="str">
        <f t="shared" si="40"/>
        <v>TL</v>
      </c>
      <c r="M337" s="436">
        <f t="shared" si="41"/>
        <v>350</v>
      </c>
      <c r="N337" s="435">
        <f t="shared" si="42"/>
        <v>0</v>
      </c>
    </row>
    <row r="338" spans="1:14" s="224" customFormat="1" ht="21" customHeight="1" x14ac:dyDescent="0.2">
      <c r="A338" s="417">
        <f t="shared" si="44"/>
        <v>24</v>
      </c>
      <c r="B338" s="423"/>
      <c r="C338" s="424"/>
      <c r="D338" s="423"/>
      <c r="E338" s="425"/>
      <c r="F338" s="426"/>
      <c r="G338" s="422"/>
      <c r="H338" s="431"/>
      <c r="I338" s="422"/>
      <c r="J338" s="433">
        <f t="shared" si="39"/>
        <v>0</v>
      </c>
      <c r="K338" s="630" t="str">
        <f t="shared" si="40"/>
        <v>TL</v>
      </c>
      <c r="M338" s="436">
        <f t="shared" si="41"/>
        <v>350</v>
      </c>
      <c r="N338" s="435">
        <f t="shared" si="42"/>
        <v>0</v>
      </c>
    </row>
    <row r="339" spans="1:14" s="224" customFormat="1" ht="21" customHeight="1" x14ac:dyDescent="0.2">
      <c r="A339" s="417">
        <f t="shared" si="44"/>
        <v>25</v>
      </c>
      <c r="B339" s="423"/>
      <c r="C339" s="424"/>
      <c r="D339" s="423"/>
      <c r="E339" s="425"/>
      <c r="F339" s="426"/>
      <c r="G339" s="422"/>
      <c r="H339" s="431"/>
      <c r="I339" s="422"/>
      <c r="J339" s="433">
        <f t="shared" si="39"/>
        <v>0</v>
      </c>
      <c r="K339" s="630" t="str">
        <f t="shared" si="40"/>
        <v>TL</v>
      </c>
      <c r="M339" s="436">
        <f t="shared" si="41"/>
        <v>350</v>
      </c>
      <c r="N339" s="435">
        <f t="shared" si="42"/>
        <v>0</v>
      </c>
    </row>
    <row r="340" spans="1:14" s="224" customFormat="1" ht="21" customHeight="1" x14ac:dyDescent="0.2">
      <c r="A340" s="417">
        <f t="shared" si="44"/>
        <v>26</v>
      </c>
      <c r="B340" s="423"/>
      <c r="C340" s="424"/>
      <c r="D340" s="423"/>
      <c r="E340" s="425"/>
      <c r="F340" s="426"/>
      <c r="G340" s="422"/>
      <c r="H340" s="431"/>
      <c r="I340" s="422"/>
      <c r="J340" s="433">
        <f t="shared" si="39"/>
        <v>0</v>
      </c>
      <c r="K340" s="630" t="str">
        <f t="shared" si="40"/>
        <v>TL</v>
      </c>
      <c r="M340" s="436">
        <f t="shared" si="41"/>
        <v>350</v>
      </c>
      <c r="N340" s="435">
        <f t="shared" si="42"/>
        <v>0</v>
      </c>
    </row>
    <row r="341" spans="1:14" s="224" customFormat="1" ht="21" customHeight="1" x14ac:dyDescent="0.2">
      <c r="A341" s="417">
        <f t="shared" si="44"/>
        <v>27</v>
      </c>
      <c r="B341" s="423"/>
      <c r="C341" s="424"/>
      <c r="D341" s="423"/>
      <c r="E341" s="425"/>
      <c r="F341" s="426"/>
      <c r="G341" s="422"/>
      <c r="H341" s="431"/>
      <c r="I341" s="422"/>
      <c r="J341" s="433">
        <f t="shared" si="39"/>
        <v>0</v>
      </c>
      <c r="K341" s="630" t="str">
        <f t="shared" si="40"/>
        <v>TL</v>
      </c>
      <c r="M341" s="436">
        <f t="shared" si="41"/>
        <v>350</v>
      </c>
      <c r="N341" s="435">
        <f t="shared" si="42"/>
        <v>0</v>
      </c>
    </row>
    <row r="342" spans="1:14" s="224" customFormat="1" ht="21" customHeight="1" x14ac:dyDescent="0.2">
      <c r="A342" s="417">
        <f t="shared" si="44"/>
        <v>28</v>
      </c>
      <c r="B342" s="423"/>
      <c r="C342" s="424"/>
      <c r="D342" s="423"/>
      <c r="E342" s="425"/>
      <c r="F342" s="426"/>
      <c r="G342" s="422"/>
      <c r="H342" s="431"/>
      <c r="I342" s="422"/>
      <c r="J342" s="433">
        <f t="shared" si="39"/>
        <v>0</v>
      </c>
      <c r="K342" s="630" t="str">
        <f t="shared" si="40"/>
        <v>TL</v>
      </c>
      <c r="M342" s="436">
        <f t="shared" si="41"/>
        <v>350</v>
      </c>
      <c r="N342" s="435">
        <f t="shared" si="42"/>
        <v>0</v>
      </c>
    </row>
    <row r="343" spans="1:14" s="224" customFormat="1" ht="21" customHeight="1" x14ac:dyDescent="0.2">
      <c r="A343" s="417">
        <f t="shared" si="44"/>
        <v>29</v>
      </c>
      <c r="B343" s="423"/>
      <c r="C343" s="424"/>
      <c r="D343" s="423"/>
      <c r="E343" s="425"/>
      <c r="F343" s="426"/>
      <c r="G343" s="422"/>
      <c r="H343" s="431"/>
      <c r="I343" s="422"/>
      <c r="J343" s="433">
        <f t="shared" si="39"/>
        <v>0</v>
      </c>
      <c r="K343" s="630" t="str">
        <f t="shared" si="40"/>
        <v>TL</v>
      </c>
      <c r="M343" s="436">
        <f t="shared" si="41"/>
        <v>350</v>
      </c>
      <c r="N343" s="435">
        <f t="shared" si="42"/>
        <v>0</v>
      </c>
    </row>
    <row r="344" spans="1:14" s="224" customFormat="1" ht="21" customHeight="1" x14ac:dyDescent="0.2">
      <c r="A344" s="417">
        <f t="shared" si="44"/>
        <v>30</v>
      </c>
      <c r="B344" s="423"/>
      <c r="C344" s="424"/>
      <c r="D344" s="423"/>
      <c r="E344" s="425"/>
      <c r="F344" s="426"/>
      <c r="G344" s="422"/>
      <c r="H344" s="431"/>
      <c r="I344" s="422"/>
      <c r="J344" s="433">
        <f t="shared" si="39"/>
        <v>0</v>
      </c>
      <c r="K344" s="630" t="str">
        <f t="shared" si="40"/>
        <v>TL</v>
      </c>
      <c r="M344" s="436">
        <f t="shared" si="41"/>
        <v>350</v>
      </c>
      <c r="N344" s="435">
        <f t="shared" si="42"/>
        <v>0</v>
      </c>
    </row>
    <row r="345" spans="1:14" s="224" customFormat="1" ht="21" customHeight="1" x14ac:dyDescent="0.2">
      <c r="A345" s="417">
        <f t="shared" si="44"/>
        <v>31</v>
      </c>
      <c r="B345" s="423"/>
      <c r="C345" s="424"/>
      <c r="D345" s="423"/>
      <c r="E345" s="425"/>
      <c r="F345" s="426"/>
      <c r="G345" s="422"/>
      <c r="H345" s="431"/>
      <c r="I345" s="422"/>
      <c r="J345" s="433">
        <f t="shared" si="39"/>
        <v>0</v>
      </c>
      <c r="K345" s="630" t="str">
        <f t="shared" si="40"/>
        <v>TL</v>
      </c>
      <c r="M345" s="436">
        <f t="shared" si="41"/>
        <v>350</v>
      </c>
      <c r="N345" s="435">
        <f t="shared" si="42"/>
        <v>0</v>
      </c>
    </row>
    <row r="346" spans="1:14" s="224" customFormat="1" ht="21" customHeight="1" x14ac:dyDescent="0.2">
      <c r="A346" s="417">
        <f t="shared" si="44"/>
        <v>32</v>
      </c>
      <c r="B346" s="423"/>
      <c r="C346" s="424"/>
      <c r="D346" s="423"/>
      <c r="E346" s="425"/>
      <c r="F346" s="426"/>
      <c r="G346" s="422"/>
      <c r="H346" s="431"/>
      <c r="I346" s="422"/>
      <c r="J346" s="433">
        <f t="shared" si="39"/>
        <v>0</v>
      </c>
      <c r="K346" s="630" t="str">
        <f t="shared" si="40"/>
        <v>TL</v>
      </c>
      <c r="M346" s="436">
        <f t="shared" si="41"/>
        <v>350</v>
      </c>
      <c r="N346" s="435">
        <f t="shared" si="42"/>
        <v>0</v>
      </c>
    </row>
    <row r="347" spans="1:14" s="224" customFormat="1" ht="21" customHeight="1" x14ac:dyDescent="0.2">
      <c r="A347" s="417">
        <f t="shared" si="44"/>
        <v>33</v>
      </c>
      <c r="B347" s="423"/>
      <c r="C347" s="424"/>
      <c r="D347" s="423"/>
      <c r="E347" s="425"/>
      <c r="F347" s="426"/>
      <c r="G347" s="422"/>
      <c r="H347" s="431"/>
      <c r="I347" s="422"/>
      <c r="J347" s="433">
        <f t="shared" si="39"/>
        <v>0</v>
      </c>
      <c r="K347" s="630" t="str">
        <f t="shared" si="40"/>
        <v>TL</v>
      </c>
      <c r="M347" s="436">
        <f t="shared" si="41"/>
        <v>350</v>
      </c>
      <c r="N347" s="435">
        <f t="shared" si="42"/>
        <v>0</v>
      </c>
    </row>
    <row r="348" spans="1:14" s="224" customFormat="1" ht="21" customHeight="1" x14ac:dyDescent="0.2">
      <c r="A348" s="417">
        <f t="shared" si="44"/>
        <v>34</v>
      </c>
      <c r="B348" s="423"/>
      <c r="C348" s="424"/>
      <c r="D348" s="423"/>
      <c r="E348" s="425"/>
      <c r="F348" s="426"/>
      <c r="G348" s="422"/>
      <c r="H348" s="431"/>
      <c r="I348" s="422"/>
      <c r="J348" s="433">
        <f t="shared" si="39"/>
        <v>0</v>
      </c>
      <c r="K348" s="630" t="str">
        <f t="shared" si="40"/>
        <v>TL</v>
      </c>
      <c r="M348" s="436">
        <f t="shared" si="41"/>
        <v>350</v>
      </c>
      <c r="N348" s="435">
        <f t="shared" si="42"/>
        <v>0</v>
      </c>
    </row>
    <row r="349" spans="1:14" s="224" customFormat="1" ht="21" customHeight="1" x14ac:dyDescent="0.2">
      <c r="A349" s="417">
        <f t="shared" si="44"/>
        <v>35</v>
      </c>
      <c r="B349" s="423"/>
      <c r="C349" s="424"/>
      <c r="D349" s="423"/>
      <c r="E349" s="425"/>
      <c r="F349" s="426"/>
      <c r="G349" s="422"/>
      <c r="H349" s="431"/>
      <c r="I349" s="422"/>
      <c r="J349" s="433">
        <f t="shared" si="39"/>
        <v>0</v>
      </c>
      <c r="K349" s="630" t="str">
        <f t="shared" si="40"/>
        <v>TL</v>
      </c>
      <c r="M349" s="436">
        <f t="shared" si="41"/>
        <v>350</v>
      </c>
      <c r="N349" s="435">
        <f t="shared" si="42"/>
        <v>0</v>
      </c>
    </row>
    <row r="350" spans="1:14" s="224" customFormat="1" ht="21" customHeight="1" x14ac:dyDescent="0.2">
      <c r="A350" s="417">
        <f t="shared" si="44"/>
        <v>36</v>
      </c>
      <c r="B350" s="423"/>
      <c r="C350" s="424"/>
      <c r="D350" s="423"/>
      <c r="E350" s="425"/>
      <c r="F350" s="426"/>
      <c r="G350" s="422"/>
      <c r="H350" s="431"/>
      <c r="I350" s="422"/>
      <c r="J350" s="433">
        <f t="shared" si="39"/>
        <v>0</v>
      </c>
      <c r="K350" s="630" t="str">
        <f t="shared" si="40"/>
        <v>TL</v>
      </c>
      <c r="M350" s="436">
        <f t="shared" si="41"/>
        <v>350</v>
      </c>
      <c r="N350" s="435">
        <f t="shared" si="42"/>
        <v>0</v>
      </c>
    </row>
    <row r="351" spans="1:14" s="224" customFormat="1" ht="21" customHeight="1" x14ac:dyDescent="0.2">
      <c r="A351" s="417">
        <f t="shared" si="44"/>
        <v>37</v>
      </c>
      <c r="B351" s="423"/>
      <c r="C351" s="424"/>
      <c r="D351" s="423"/>
      <c r="E351" s="425"/>
      <c r="F351" s="426"/>
      <c r="G351" s="422"/>
      <c r="H351" s="431"/>
      <c r="I351" s="422"/>
      <c r="J351" s="433">
        <f t="shared" si="39"/>
        <v>0</v>
      </c>
      <c r="K351" s="630" t="str">
        <f t="shared" si="40"/>
        <v>TL</v>
      </c>
      <c r="M351" s="436">
        <f t="shared" si="41"/>
        <v>350</v>
      </c>
      <c r="N351" s="435">
        <f t="shared" si="42"/>
        <v>0</v>
      </c>
    </row>
    <row r="352" spans="1:14" s="224" customFormat="1" ht="21" customHeight="1" x14ac:dyDescent="0.2">
      <c r="A352" s="417">
        <f t="shared" si="44"/>
        <v>38</v>
      </c>
      <c r="B352" s="423"/>
      <c r="C352" s="424"/>
      <c r="D352" s="423"/>
      <c r="E352" s="425"/>
      <c r="F352" s="426"/>
      <c r="G352" s="422"/>
      <c r="H352" s="431"/>
      <c r="I352" s="422"/>
      <c r="J352" s="433">
        <f t="shared" si="39"/>
        <v>0</v>
      </c>
      <c r="K352" s="630" t="str">
        <f t="shared" si="40"/>
        <v>TL</v>
      </c>
      <c r="M352" s="436">
        <f t="shared" si="41"/>
        <v>350</v>
      </c>
      <c r="N352" s="435">
        <f t="shared" si="42"/>
        <v>0</v>
      </c>
    </row>
    <row r="353" spans="1:14" s="224" customFormat="1" ht="21" customHeight="1" x14ac:dyDescent="0.2">
      <c r="A353" s="417">
        <f t="shared" si="44"/>
        <v>39</v>
      </c>
      <c r="B353" s="423"/>
      <c r="C353" s="424"/>
      <c r="D353" s="423"/>
      <c r="E353" s="425"/>
      <c r="F353" s="426"/>
      <c r="G353" s="422"/>
      <c r="H353" s="431"/>
      <c r="I353" s="422"/>
      <c r="J353" s="433">
        <f t="shared" si="39"/>
        <v>0</v>
      </c>
      <c r="K353" s="630" t="str">
        <f t="shared" si="40"/>
        <v>TL</v>
      </c>
      <c r="M353" s="436">
        <f t="shared" si="41"/>
        <v>350</v>
      </c>
      <c r="N353" s="435">
        <f t="shared" si="42"/>
        <v>0</v>
      </c>
    </row>
    <row r="354" spans="1:14" s="224" customFormat="1" ht="21" customHeight="1" x14ac:dyDescent="0.2">
      <c r="A354" s="417">
        <f t="shared" si="44"/>
        <v>40</v>
      </c>
      <c r="B354" s="423"/>
      <c r="C354" s="424"/>
      <c r="D354" s="423"/>
      <c r="E354" s="425"/>
      <c r="F354" s="426"/>
      <c r="G354" s="422"/>
      <c r="H354" s="431"/>
      <c r="I354" s="422"/>
      <c r="J354" s="433">
        <f t="shared" si="39"/>
        <v>0</v>
      </c>
      <c r="K354" s="630" t="str">
        <f t="shared" si="40"/>
        <v>TL</v>
      </c>
      <c r="M354" s="436">
        <f t="shared" si="41"/>
        <v>350</v>
      </c>
      <c r="N354" s="435">
        <f t="shared" si="42"/>
        <v>0</v>
      </c>
    </row>
    <row r="355" spans="1:14" ht="15" x14ac:dyDescent="0.2">
      <c r="C355" s="71"/>
      <c r="G355" s="427"/>
      <c r="H355" s="427"/>
      <c r="I355" s="427"/>
      <c r="J355" s="428"/>
      <c r="K355" s="429"/>
    </row>
    <row r="356" spans="1:14" x14ac:dyDescent="0.2">
      <c r="A356" s="238" t="s">
        <v>279</v>
      </c>
      <c r="C356" s="135"/>
      <c r="E356" s="1" t="s">
        <v>280</v>
      </c>
      <c r="F356" s="1"/>
      <c r="I356" s="238" t="s">
        <v>281</v>
      </c>
    </row>
    <row r="357" spans="1:14" ht="19.5" customHeight="1" x14ac:dyDescent="0.2">
      <c r="A357" s="528" t="s">
        <v>286</v>
      </c>
      <c r="B357" s="528"/>
      <c r="C357" s="528"/>
      <c r="D357" s="528"/>
      <c r="E357" s="1"/>
      <c r="F357" s="1"/>
      <c r="I357" s="135"/>
    </row>
    <row r="358" spans="1:14" ht="17.25" customHeight="1" x14ac:dyDescent="0.2">
      <c r="A358" s="622" t="s">
        <v>287</v>
      </c>
      <c r="B358" s="622"/>
      <c r="C358" s="622"/>
      <c r="D358" s="622"/>
      <c r="E358" s="1"/>
      <c r="F358" s="1"/>
    </row>
    <row r="359" spans="1:14" ht="19.5" customHeight="1" x14ac:dyDescent="0.2">
      <c r="A359" s="622" t="s">
        <v>288</v>
      </c>
      <c r="B359" s="622"/>
      <c r="C359" s="622"/>
      <c r="D359" s="622"/>
      <c r="E359" s="238" t="s">
        <v>282</v>
      </c>
      <c r="F359" s="1"/>
      <c r="I359" s="135" t="s">
        <v>289</v>
      </c>
    </row>
    <row r="360" spans="1:14" ht="15.75" customHeight="1" x14ac:dyDescent="0.2">
      <c r="C360" s="71"/>
      <c r="E360" s="17" t="s">
        <v>283</v>
      </c>
      <c r="F360" s="1"/>
      <c r="I360" s="17" t="s">
        <v>283</v>
      </c>
    </row>
    <row r="361" spans="1:14" ht="15.75" customHeight="1" x14ac:dyDescent="0.2">
      <c r="C361" s="71"/>
      <c r="E361" s="17" t="s">
        <v>284</v>
      </c>
      <c r="F361" s="1"/>
      <c r="I361" s="17" t="s">
        <v>284</v>
      </c>
    </row>
    <row r="362" spans="1:14" ht="15" x14ac:dyDescent="0.25">
      <c r="A362" s="88" t="s">
        <v>296</v>
      </c>
      <c r="B362" s="88"/>
      <c r="C362" s="88"/>
      <c r="D362" s="88"/>
      <c r="E362" s="88"/>
      <c r="F362" s="88"/>
      <c r="G362" s="88"/>
      <c r="H362" s="88"/>
      <c r="I362" s="88"/>
      <c r="J362" s="88"/>
      <c r="K362" s="89"/>
    </row>
    <row r="363" spans="1:14" ht="6" customHeight="1" x14ac:dyDescent="0.2">
      <c r="C363" s="71"/>
      <c r="G363" s="1"/>
    </row>
    <row r="364" spans="1:14" s="1" customFormat="1" ht="30" customHeight="1" x14ac:dyDescent="0.2">
      <c r="A364" s="623" t="s">
        <v>268</v>
      </c>
      <c r="B364" s="623" t="s">
        <v>269</v>
      </c>
      <c r="C364" s="623" t="s">
        <v>270</v>
      </c>
      <c r="D364" s="623" t="s">
        <v>271</v>
      </c>
      <c r="E364" s="623" t="s">
        <v>181</v>
      </c>
      <c r="F364" s="625" t="s">
        <v>272</v>
      </c>
      <c r="G364" s="627" t="s">
        <v>297</v>
      </c>
      <c r="H364" s="628"/>
      <c r="I364" s="415" t="s">
        <v>274</v>
      </c>
      <c r="J364" s="623" t="s">
        <v>275</v>
      </c>
      <c r="K364" s="623" t="s">
        <v>285</v>
      </c>
      <c r="M364" s="629" t="s">
        <v>299</v>
      </c>
      <c r="N364" s="621" t="s">
        <v>300</v>
      </c>
    </row>
    <row r="365" spans="1:14" s="1" customFormat="1" ht="28.5" customHeight="1" x14ac:dyDescent="0.2">
      <c r="A365" s="624"/>
      <c r="B365" s="624"/>
      <c r="C365" s="624"/>
      <c r="D365" s="624"/>
      <c r="E365" s="624"/>
      <c r="F365" s="626"/>
      <c r="G365" s="416" t="s">
        <v>276</v>
      </c>
      <c r="H365" s="416" t="s">
        <v>277</v>
      </c>
      <c r="I365" s="416" t="s">
        <v>278</v>
      </c>
      <c r="J365" s="624"/>
      <c r="K365" s="624"/>
      <c r="M365" s="629"/>
      <c r="N365" s="621"/>
    </row>
    <row r="366" spans="1:14" s="224" customFormat="1" ht="21" customHeight="1" x14ac:dyDescent="0.2">
      <c r="A366" s="417">
        <v>1</v>
      </c>
      <c r="B366" s="418"/>
      <c r="C366" s="419"/>
      <c r="D366" s="418"/>
      <c r="E366" s="420"/>
      <c r="F366" s="421"/>
      <c r="G366" s="432">
        <v>70</v>
      </c>
      <c r="H366" s="432">
        <v>70</v>
      </c>
      <c r="I366" s="432">
        <v>280</v>
      </c>
      <c r="J366" s="433">
        <f>SUM(G366:I366)</f>
        <v>420</v>
      </c>
      <c r="K366" s="630" t="str">
        <f>IF(J366&gt;=M366,"L","TL")</f>
        <v>L</v>
      </c>
      <c r="M366" s="436">
        <f>600*70%</f>
        <v>420</v>
      </c>
      <c r="N366" s="435">
        <f>J366/600*100%</f>
        <v>0.7</v>
      </c>
    </row>
    <row r="367" spans="1:14" s="224" customFormat="1" ht="21" customHeight="1" x14ac:dyDescent="0.2">
      <c r="A367" s="417">
        <f>A366+1</f>
        <v>2</v>
      </c>
      <c r="B367" s="418"/>
      <c r="C367" s="419"/>
      <c r="D367" s="418"/>
      <c r="E367" s="420"/>
      <c r="F367" s="421"/>
      <c r="G367" s="422"/>
      <c r="H367" s="422"/>
      <c r="I367" s="422"/>
      <c r="J367" s="433">
        <f t="shared" ref="J367:J405" si="45">SUM(G367:I367)</f>
        <v>0</v>
      </c>
      <c r="K367" s="630" t="str">
        <f t="shared" ref="K366:K405" si="46">IF(J367&gt;=M367,"L","TL")</f>
        <v>TL</v>
      </c>
      <c r="M367" s="436">
        <f t="shared" ref="M367:M405" si="47">600*70%</f>
        <v>420</v>
      </c>
      <c r="N367" s="435">
        <f t="shared" ref="N367:N405" si="48">J367/600*100%</f>
        <v>0</v>
      </c>
    </row>
    <row r="368" spans="1:14" s="224" customFormat="1" ht="21" customHeight="1" x14ac:dyDescent="0.2">
      <c r="A368" s="417">
        <f t="shared" ref="A368:A383" si="49">A367+1</f>
        <v>3</v>
      </c>
      <c r="B368" s="423"/>
      <c r="C368" s="424"/>
      <c r="D368" s="423"/>
      <c r="E368" s="425"/>
      <c r="F368" s="426"/>
      <c r="G368" s="422"/>
      <c r="H368" s="422"/>
      <c r="I368" s="422"/>
      <c r="J368" s="433">
        <f t="shared" si="45"/>
        <v>0</v>
      </c>
      <c r="K368" s="630" t="str">
        <f t="shared" si="46"/>
        <v>TL</v>
      </c>
      <c r="M368" s="436">
        <f t="shared" si="47"/>
        <v>420</v>
      </c>
      <c r="N368" s="435">
        <f t="shared" si="48"/>
        <v>0</v>
      </c>
    </row>
    <row r="369" spans="1:14" s="224" customFormat="1" ht="21" customHeight="1" x14ac:dyDescent="0.2">
      <c r="A369" s="417">
        <f t="shared" si="49"/>
        <v>4</v>
      </c>
      <c r="B369" s="423"/>
      <c r="C369" s="424"/>
      <c r="D369" s="423"/>
      <c r="E369" s="425"/>
      <c r="F369" s="426"/>
      <c r="G369" s="422"/>
      <c r="H369" s="422"/>
      <c r="I369" s="422"/>
      <c r="J369" s="433">
        <f t="shared" si="45"/>
        <v>0</v>
      </c>
      <c r="K369" s="630" t="str">
        <f t="shared" si="46"/>
        <v>TL</v>
      </c>
      <c r="M369" s="436">
        <f t="shared" si="47"/>
        <v>420</v>
      </c>
      <c r="N369" s="435">
        <f t="shared" si="48"/>
        <v>0</v>
      </c>
    </row>
    <row r="370" spans="1:14" s="224" customFormat="1" ht="21" customHeight="1" x14ac:dyDescent="0.2">
      <c r="A370" s="417">
        <f t="shared" si="49"/>
        <v>5</v>
      </c>
      <c r="B370" s="423"/>
      <c r="C370" s="424"/>
      <c r="D370" s="423"/>
      <c r="E370" s="425"/>
      <c r="F370" s="426"/>
      <c r="G370" s="422"/>
      <c r="H370" s="422"/>
      <c r="I370" s="422"/>
      <c r="J370" s="433">
        <f t="shared" si="45"/>
        <v>0</v>
      </c>
      <c r="K370" s="630" t="str">
        <f t="shared" si="46"/>
        <v>TL</v>
      </c>
      <c r="M370" s="436">
        <f t="shared" si="47"/>
        <v>420</v>
      </c>
      <c r="N370" s="435">
        <f t="shared" si="48"/>
        <v>0</v>
      </c>
    </row>
    <row r="371" spans="1:14" s="224" customFormat="1" ht="21" customHeight="1" x14ac:dyDescent="0.2">
      <c r="A371" s="417">
        <f t="shared" si="49"/>
        <v>6</v>
      </c>
      <c r="B371" s="423"/>
      <c r="C371" s="424"/>
      <c r="D371" s="423"/>
      <c r="E371" s="425"/>
      <c r="F371" s="426"/>
      <c r="G371" s="422"/>
      <c r="H371" s="422"/>
      <c r="I371" s="422"/>
      <c r="J371" s="433">
        <f t="shared" si="45"/>
        <v>0</v>
      </c>
      <c r="K371" s="630" t="str">
        <f t="shared" si="46"/>
        <v>TL</v>
      </c>
      <c r="M371" s="436">
        <f t="shared" si="47"/>
        <v>420</v>
      </c>
      <c r="N371" s="435">
        <f t="shared" si="48"/>
        <v>0</v>
      </c>
    </row>
    <row r="372" spans="1:14" s="224" customFormat="1" ht="21" customHeight="1" x14ac:dyDescent="0.2">
      <c r="A372" s="417">
        <f t="shared" si="49"/>
        <v>7</v>
      </c>
      <c r="B372" s="423"/>
      <c r="C372" s="424"/>
      <c r="D372" s="423"/>
      <c r="E372" s="425"/>
      <c r="F372" s="426"/>
      <c r="G372" s="422"/>
      <c r="H372" s="422"/>
      <c r="I372" s="422"/>
      <c r="J372" s="433">
        <f t="shared" si="45"/>
        <v>0</v>
      </c>
      <c r="K372" s="630" t="str">
        <f t="shared" si="46"/>
        <v>TL</v>
      </c>
      <c r="M372" s="436">
        <f t="shared" si="47"/>
        <v>420</v>
      </c>
      <c r="N372" s="435">
        <f t="shared" si="48"/>
        <v>0</v>
      </c>
    </row>
    <row r="373" spans="1:14" s="224" customFormat="1" ht="21" customHeight="1" x14ac:dyDescent="0.2">
      <c r="A373" s="417">
        <f t="shared" si="49"/>
        <v>8</v>
      </c>
      <c r="B373" s="423"/>
      <c r="C373" s="424"/>
      <c r="D373" s="423"/>
      <c r="E373" s="425"/>
      <c r="F373" s="426"/>
      <c r="G373" s="422"/>
      <c r="H373" s="422"/>
      <c r="I373" s="422"/>
      <c r="J373" s="433">
        <f t="shared" si="45"/>
        <v>0</v>
      </c>
      <c r="K373" s="630" t="str">
        <f t="shared" si="46"/>
        <v>TL</v>
      </c>
      <c r="M373" s="436">
        <f t="shared" si="47"/>
        <v>420</v>
      </c>
      <c r="N373" s="435">
        <f t="shared" si="48"/>
        <v>0</v>
      </c>
    </row>
    <row r="374" spans="1:14" s="224" customFormat="1" ht="21" customHeight="1" x14ac:dyDescent="0.2">
      <c r="A374" s="417">
        <f t="shared" si="49"/>
        <v>9</v>
      </c>
      <c r="B374" s="423"/>
      <c r="C374" s="424"/>
      <c r="D374" s="423"/>
      <c r="E374" s="425"/>
      <c r="F374" s="426"/>
      <c r="G374" s="422"/>
      <c r="H374" s="422"/>
      <c r="I374" s="422"/>
      <c r="J374" s="433">
        <f t="shared" si="45"/>
        <v>0</v>
      </c>
      <c r="K374" s="630" t="str">
        <f t="shared" si="46"/>
        <v>TL</v>
      </c>
      <c r="M374" s="436">
        <f t="shared" si="47"/>
        <v>420</v>
      </c>
      <c r="N374" s="435">
        <f t="shared" si="48"/>
        <v>0</v>
      </c>
    </row>
    <row r="375" spans="1:14" s="224" customFormat="1" ht="21" customHeight="1" x14ac:dyDescent="0.2">
      <c r="A375" s="417">
        <f t="shared" si="49"/>
        <v>10</v>
      </c>
      <c r="B375" s="423"/>
      <c r="C375" s="424"/>
      <c r="D375" s="423"/>
      <c r="E375" s="425"/>
      <c r="F375" s="426"/>
      <c r="G375" s="422"/>
      <c r="H375" s="422"/>
      <c r="I375" s="422"/>
      <c r="J375" s="433">
        <f t="shared" si="45"/>
        <v>0</v>
      </c>
      <c r="K375" s="630" t="str">
        <f t="shared" si="46"/>
        <v>TL</v>
      </c>
      <c r="M375" s="436">
        <f t="shared" si="47"/>
        <v>420</v>
      </c>
      <c r="N375" s="435">
        <f t="shared" si="48"/>
        <v>0</v>
      </c>
    </row>
    <row r="376" spans="1:14" s="224" customFormat="1" ht="21" customHeight="1" x14ac:dyDescent="0.2">
      <c r="A376" s="417">
        <f t="shared" si="49"/>
        <v>11</v>
      </c>
      <c r="B376" s="423"/>
      <c r="C376" s="424"/>
      <c r="D376" s="423"/>
      <c r="E376" s="425"/>
      <c r="F376" s="426"/>
      <c r="G376" s="422"/>
      <c r="H376" s="422"/>
      <c r="I376" s="422"/>
      <c r="J376" s="433">
        <f t="shared" si="45"/>
        <v>0</v>
      </c>
      <c r="K376" s="630" t="str">
        <f t="shared" si="46"/>
        <v>TL</v>
      </c>
      <c r="M376" s="436">
        <f t="shared" si="47"/>
        <v>420</v>
      </c>
      <c r="N376" s="435">
        <f t="shared" si="48"/>
        <v>0</v>
      </c>
    </row>
    <row r="377" spans="1:14" s="224" customFormat="1" ht="21" customHeight="1" x14ac:dyDescent="0.2">
      <c r="A377" s="417">
        <f t="shared" si="49"/>
        <v>12</v>
      </c>
      <c r="B377" s="423"/>
      <c r="C377" s="424"/>
      <c r="D377" s="423"/>
      <c r="E377" s="425"/>
      <c r="F377" s="426"/>
      <c r="G377" s="422"/>
      <c r="H377" s="422"/>
      <c r="I377" s="422"/>
      <c r="J377" s="433">
        <f t="shared" si="45"/>
        <v>0</v>
      </c>
      <c r="K377" s="630" t="str">
        <f t="shared" si="46"/>
        <v>TL</v>
      </c>
      <c r="M377" s="436">
        <f t="shared" si="47"/>
        <v>420</v>
      </c>
      <c r="N377" s="435">
        <f t="shared" si="48"/>
        <v>0</v>
      </c>
    </row>
    <row r="378" spans="1:14" s="224" customFormat="1" ht="21" customHeight="1" x14ac:dyDescent="0.2">
      <c r="A378" s="417">
        <f t="shared" si="49"/>
        <v>13</v>
      </c>
      <c r="B378" s="423"/>
      <c r="C378" s="424"/>
      <c r="D378" s="423"/>
      <c r="E378" s="425"/>
      <c r="F378" s="426"/>
      <c r="G378" s="422"/>
      <c r="H378" s="422"/>
      <c r="I378" s="422"/>
      <c r="J378" s="433">
        <f t="shared" si="45"/>
        <v>0</v>
      </c>
      <c r="K378" s="630" t="str">
        <f t="shared" si="46"/>
        <v>TL</v>
      </c>
      <c r="M378" s="436">
        <f t="shared" si="47"/>
        <v>420</v>
      </c>
      <c r="N378" s="435">
        <f t="shared" si="48"/>
        <v>0</v>
      </c>
    </row>
    <row r="379" spans="1:14" s="224" customFormat="1" ht="21" customHeight="1" x14ac:dyDescent="0.2">
      <c r="A379" s="417">
        <f t="shared" si="49"/>
        <v>14</v>
      </c>
      <c r="B379" s="423"/>
      <c r="C379" s="424"/>
      <c r="D379" s="423"/>
      <c r="E379" s="425"/>
      <c r="F379" s="426"/>
      <c r="G379" s="422"/>
      <c r="H379" s="422"/>
      <c r="I379" s="422"/>
      <c r="J379" s="433">
        <f t="shared" si="45"/>
        <v>0</v>
      </c>
      <c r="K379" s="630" t="str">
        <f t="shared" si="46"/>
        <v>TL</v>
      </c>
      <c r="M379" s="436">
        <f t="shared" si="47"/>
        <v>420</v>
      </c>
      <c r="N379" s="435">
        <f t="shared" si="48"/>
        <v>0</v>
      </c>
    </row>
    <row r="380" spans="1:14" s="224" customFormat="1" ht="21" customHeight="1" x14ac:dyDescent="0.2">
      <c r="A380" s="417">
        <f t="shared" si="49"/>
        <v>15</v>
      </c>
      <c r="B380" s="423"/>
      <c r="C380" s="424"/>
      <c r="D380" s="423"/>
      <c r="E380" s="425"/>
      <c r="F380" s="426"/>
      <c r="G380" s="422"/>
      <c r="H380" s="422"/>
      <c r="I380" s="422"/>
      <c r="J380" s="433">
        <f t="shared" si="45"/>
        <v>0</v>
      </c>
      <c r="K380" s="630" t="str">
        <f t="shared" si="46"/>
        <v>TL</v>
      </c>
      <c r="M380" s="436">
        <f t="shared" si="47"/>
        <v>420</v>
      </c>
      <c r="N380" s="435">
        <f t="shared" si="48"/>
        <v>0</v>
      </c>
    </row>
    <row r="381" spans="1:14" s="224" customFormat="1" ht="21" customHeight="1" x14ac:dyDescent="0.2">
      <c r="A381" s="417">
        <f t="shared" si="49"/>
        <v>16</v>
      </c>
      <c r="B381" s="423"/>
      <c r="C381" s="424"/>
      <c r="D381" s="423"/>
      <c r="E381" s="425"/>
      <c r="F381" s="426"/>
      <c r="G381" s="422"/>
      <c r="H381" s="422"/>
      <c r="I381" s="422"/>
      <c r="J381" s="433">
        <f t="shared" si="45"/>
        <v>0</v>
      </c>
      <c r="K381" s="630" t="str">
        <f t="shared" si="46"/>
        <v>TL</v>
      </c>
      <c r="M381" s="436">
        <f t="shared" si="47"/>
        <v>420</v>
      </c>
      <c r="N381" s="435">
        <f t="shared" si="48"/>
        <v>0</v>
      </c>
    </row>
    <row r="382" spans="1:14" s="224" customFormat="1" ht="21" customHeight="1" x14ac:dyDescent="0.2">
      <c r="A382" s="417">
        <f t="shared" si="49"/>
        <v>17</v>
      </c>
      <c r="B382" s="423"/>
      <c r="C382" s="424"/>
      <c r="D382" s="423"/>
      <c r="E382" s="425"/>
      <c r="F382" s="426"/>
      <c r="G382" s="422"/>
      <c r="H382" s="422"/>
      <c r="I382" s="422"/>
      <c r="J382" s="433">
        <f t="shared" si="45"/>
        <v>0</v>
      </c>
      <c r="K382" s="630" t="str">
        <f t="shared" si="46"/>
        <v>TL</v>
      </c>
      <c r="M382" s="436">
        <f t="shared" si="47"/>
        <v>420</v>
      </c>
      <c r="N382" s="435">
        <f t="shared" si="48"/>
        <v>0</v>
      </c>
    </row>
    <row r="383" spans="1:14" s="224" customFormat="1" ht="21" customHeight="1" x14ac:dyDescent="0.2">
      <c r="A383" s="417">
        <f t="shared" si="49"/>
        <v>18</v>
      </c>
      <c r="B383" s="423"/>
      <c r="C383" s="424"/>
      <c r="D383" s="423"/>
      <c r="E383" s="425"/>
      <c r="F383" s="426"/>
      <c r="G383" s="422"/>
      <c r="H383" s="422"/>
      <c r="I383" s="422"/>
      <c r="J383" s="433">
        <f t="shared" si="45"/>
        <v>0</v>
      </c>
      <c r="K383" s="630" t="str">
        <f t="shared" si="46"/>
        <v>TL</v>
      </c>
      <c r="M383" s="436">
        <f t="shared" si="47"/>
        <v>420</v>
      </c>
      <c r="N383" s="435">
        <f t="shared" si="48"/>
        <v>0</v>
      </c>
    </row>
    <row r="384" spans="1:14" s="224" customFormat="1" ht="21" customHeight="1" x14ac:dyDescent="0.2">
      <c r="A384" s="417">
        <f>A383+1</f>
        <v>19</v>
      </c>
      <c r="B384" s="423"/>
      <c r="C384" s="424"/>
      <c r="D384" s="423"/>
      <c r="E384" s="425"/>
      <c r="F384" s="426"/>
      <c r="G384" s="422"/>
      <c r="H384" s="422"/>
      <c r="I384" s="422"/>
      <c r="J384" s="433">
        <f t="shared" si="45"/>
        <v>0</v>
      </c>
      <c r="K384" s="630" t="str">
        <f t="shared" si="46"/>
        <v>TL</v>
      </c>
      <c r="M384" s="436">
        <f t="shared" si="47"/>
        <v>420</v>
      </c>
      <c r="N384" s="435">
        <f t="shared" si="48"/>
        <v>0</v>
      </c>
    </row>
    <row r="385" spans="1:14" s="224" customFormat="1" ht="21" customHeight="1" x14ac:dyDescent="0.2">
      <c r="A385" s="417">
        <f t="shared" ref="A385:A405" si="50">A384+1</f>
        <v>20</v>
      </c>
      <c r="B385" s="423"/>
      <c r="C385" s="424"/>
      <c r="D385" s="423"/>
      <c r="E385" s="425"/>
      <c r="F385" s="426"/>
      <c r="G385" s="422"/>
      <c r="H385" s="422"/>
      <c r="I385" s="422"/>
      <c r="J385" s="433">
        <f t="shared" si="45"/>
        <v>0</v>
      </c>
      <c r="K385" s="630" t="str">
        <f t="shared" si="46"/>
        <v>TL</v>
      </c>
      <c r="M385" s="436">
        <f t="shared" si="47"/>
        <v>420</v>
      </c>
      <c r="N385" s="435">
        <f t="shared" si="48"/>
        <v>0</v>
      </c>
    </row>
    <row r="386" spans="1:14" s="224" customFormat="1" ht="21" customHeight="1" x14ac:dyDescent="0.2">
      <c r="A386" s="417">
        <f t="shared" si="50"/>
        <v>21</v>
      </c>
      <c r="B386" s="423"/>
      <c r="C386" s="424"/>
      <c r="D386" s="423"/>
      <c r="E386" s="425"/>
      <c r="F386" s="426"/>
      <c r="G386" s="422"/>
      <c r="H386" s="422"/>
      <c r="I386" s="422"/>
      <c r="J386" s="433">
        <f t="shared" si="45"/>
        <v>0</v>
      </c>
      <c r="K386" s="630" t="str">
        <f t="shared" si="46"/>
        <v>TL</v>
      </c>
      <c r="M386" s="436">
        <f t="shared" si="47"/>
        <v>420</v>
      </c>
      <c r="N386" s="435">
        <f t="shared" si="48"/>
        <v>0</v>
      </c>
    </row>
    <row r="387" spans="1:14" s="224" customFormat="1" ht="21" customHeight="1" x14ac:dyDescent="0.2">
      <c r="A387" s="417">
        <f t="shared" si="50"/>
        <v>22</v>
      </c>
      <c r="B387" s="423"/>
      <c r="C387" s="424"/>
      <c r="D387" s="423"/>
      <c r="E387" s="425"/>
      <c r="F387" s="426"/>
      <c r="G387" s="422"/>
      <c r="H387" s="422"/>
      <c r="I387" s="422"/>
      <c r="J387" s="433">
        <f t="shared" si="45"/>
        <v>0</v>
      </c>
      <c r="K387" s="630" t="str">
        <f t="shared" si="46"/>
        <v>TL</v>
      </c>
      <c r="M387" s="436">
        <f t="shared" si="47"/>
        <v>420</v>
      </c>
      <c r="N387" s="435">
        <f t="shared" si="48"/>
        <v>0</v>
      </c>
    </row>
    <row r="388" spans="1:14" s="224" customFormat="1" ht="21" customHeight="1" x14ac:dyDescent="0.2">
      <c r="A388" s="417">
        <f t="shared" si="50"/>
        <v>23</v>
      </c>
      <c r="B388" s="423"/>
      <c r="C388" s="424"/>
      <c r="D388" s="423"/>
      <c r="E388" s="425"/>
      <c r="F388" s="426"/>
      <c r="G388" s="422"/>
      <c r="H388" s="422"/>
      <c r="I388" s="422"/>
      <c r="J388" s="433">
        <f t="shared" si="45"/>
        <v>0</v>
      </c>
      <c r="K388" s="630" t="str">
        <f t="shared" si="46"/>
        <v>TL</v>
      </c>
      <c r="M388" s="436">
        <f t="shared" si="47"/>
        <v>420</v>
      </c>
      <c r="N388" s="435">
        <f t="shared" si="48"/>
        <v>0</v>
      </c>
    </row>
    <row r="389" spans="1:14" s="224" customFormat="1" ht="21" customHeight="1" x14ac:dyDescent="0.2">
      <c r="A389" s="417">
        <f t="shared" si="50"/>
        <v>24</v>
      </c>
      <c r="B389" s="423"/>
      <c r="C389" s="424"/>
      <c r="D389" s="423"/>
      <c r="E389" s="425"/>
      <c r="F389" s="426"/>
      <c r="G389" s="422"/>
      <c r="H389" s="422"/>
      <c r="I389" s="422"/>
      <c r="J389" s="433">
        <f t="shared" si="45"/>
        <v>0</v>
      </c>
      <c r="K389" s="630" t="str">
        <f t="shared" si="46"/>
        <v>TL</v>
      </c>
      <c r="M389" s="436">
        <f t="shared" si="47"/>
        <v>420</v>
      </c>
      <c r="N389" s="435">
        <f t="shared" si="48"/>
        <v>0</v>
      </c>
    </row>
    <row r="390" spans="1:14" s="224" customFormat="1" ht="21" customHeight="1" x14ac:dyDescent="0.2">
      <c r="A390" s="417">
        <f t="shared" si="50"/>
        <v>25</v>
      </c>
      <c r="B390" s="423"/>
      <c r="C390" s="424"/>
      <c r="D390" s="423"/>
      <c r="E390" s="425"/>
      <c r="F390" s="426"/>
      <c r="G390" s="422"/>
      <c r="H390" s="422"/>
      <c r="I390" s="422"/>
      <c r="J390" s="433">
        <f t="shared" si="45"/>
        <v>0</v>
      </c>
      <c r="K390" s="630" t="str">
        <f t="shared" si="46"/>
        <v>TL</v>
      </c>
      <c r="M390" s="436">
        <f t="shared" si="47"/>
        <v>420</v>
      </c>
      <c r="N390" s="435">
        <f t="shared" si="48"/>
        <v>0</v>
      </c>
    </row>
    <row r="391" spans="1:14" s="224" customFormat="1" ht="21" customHeight="1" x14ac:dyDescent="0.2">
      <c r="A391" s="417">
        <f t="shared" si="50"/>
        <v>26</v>
      </c>
      <c r="B391" s="423"/>
      <c r="C391" s="424"/>
      <c r="D391" s="423"/>
      <c r="E391" s="425"/>
      <c r="F391" s="426"/>
      <c r="G391" s="422"/>
      <c r="H391" s="422"/>
      <c r="I391" s="422"/>
      <c r="J391" s="433">
        <f t="shared" si="45"/>
        <v>0</v>
      </c>
      <c r="K391" s="630" t="str">
        <f t="shared" si="46"/>
        <v>TL</v>
      </c>
      <c r="M391" s="436">
        <f t="shared" si="47"/>
        <v>420</v>
      </c>
      <c r="N391" s="435">
        <f t="shared" si="48"/>
        <v>0</v>
      </c>
    </row>
    <row r="392" spans="1:14" s="224" customFormat="1" ht="21" customHeight="1" x14ac:dyDescent="0.2">
      <c r="A392" s="417">
        <f t="shared" si="50"/>
        <v>27</v>
      </c>
      <c r="B392" s="423"/>
      <c r="C392" s="424"/>
      <c r="D392" s="423"/>
      <c r="E392" s="425"/>
      <c r="F392" s="426"/>
      <c r="G392" s="422"/>
      <c r="H392" s="422"/>
      <c r="I392" s="422"/>
      <c r="J392" s="433">
        <f t="shared" si="45"/>
        <v>0</v>
      </c>
      <c r="K392" s="630" t="str">
        <f t="shared" si="46"/>
        <v>TL</v>
      </c>
      <c r="M392" s="436">
        <f t="shared" si="47"/>
        <v>420</v>
      </c>
      <c r="N392" s="435">
        <f t="shared" si="48"/>
        <v>0</v>
      </c>
    </row>
    <row r="393" spans="1:14" s="224" customFormat="1" ht="21" customHeight="1" x14ac:dyDescent="0.2">
      <c r="A393" s="417">
        <f t="shared" si="50"/>
        <v>28</v>
      </c>
      <c r="B393" s="423"/>
      <c r="C393" s="424"/>
      <c r="D393" s="423"/>
      <c r="E393" s="425"/>
      <c r="F393" s="426"/>
      <c r="G393" s="422"/>
      <c r="H393" s="422"/>
      <c r="I393" s="422"/>
      <c r="J393" s="433">
        <f t="shared" si="45"/>
        <v>0</v>
      </c>
      <c r="K393" s="630" t="str">
        <f t="shared" si="46"/>
        <v>TL</v>
      </c>
      <c r="M393" s="436">
        <f t="shared" si="47"/>
        <v>420</v>
      </c>
      <c r="N393" s="435">
        <f t="shared" si="48"/>
        <v>0</v>
      </c>
    </row>
    <row r="394" spans="1:14" s="224" customFormat="1" ht="21" customHeight="1" x14ac:dyDescent="0.2">
      <c r="A394" s="417">
        <f t="shared" si="50"/>
        <v>29</v>
      </c>
      <c r="B394" s="423"/>
      <c r="C394" s="424"/>
      <c r="D394" s="423"/>
      <c r="E394" s="425"/>
      <c r="F394" s="426"/>
      <c r="G394" s="422"/>
      <c r="H394" s="422"/>
      <c r="I394" s="422"/>
      <c r="J394" s="433">
        <f t="shared" si="45"/>
        <v>0</v>
      </c>
      <c r="K394" s="630" t="str">
        <f t="shared" si="46"/>
        <v>TL</v>
      </c>
      <c r="M394" s="436">
        <f t="shared" si="47"/>
        <v>420</v>
      </c>
      <c r="N394" s="435">
        <f t="shared" si="48"/>
        <v>0</v>
      </c>
    </row>
    <row r="395" spans="1:14" s="224" customFormat="1" ht="21" customHeight="1" x14ac:dyDescent="0.2">
      <c r="A395" s="417">
        <f t="shared" si="50"/>
        <v>30</v>
      </c>
      <c r="B395" s="423"/>
      <c r="C395" s="424"/>
      <c r="D395" s="423"/>
      <c r="E395" s="425"/>
      <c r="F395" s="426"/>
      <c r="G395" s="422"/>
      <c r="H395" s="422"/>
      <c r="I395" s="422"/>
      <c r="J395" s="433">
        <f t="shared" si="45"/>
        <v>0</v>
      </c>
      <c r="K395" s="630" t="str">
        <f t="shared" si="46"/>
        <v>TL</v>
      </c>
      <c r="M395" s="436">
        <f t="shared" si="47"/>
        <v>420</v>
      </c>
      <c r="N395" s="435">
        <f t="shared" si="48"/>
        <v>0</v>
      </c>
    </row>
    <row r="396" spans="1:14" s="224" customFormat="1" ht="21" customHeight="1" x14ac:dyDescent="0.2">
      <c r="A396" s="417">
        <f t="shared" si="50"/>
        <v>31</v>
      </c>
      <c r="B396" s="423"/>
      <c r="C396" s="424"/>
      <c r="D396" s="423"/>
      <c r="E396" s="425"/>
      <c r="F396" s="426"/>
      <c r="G396" s="422"/>
      <c r="H396" s="422"/>
      <c r="I396" s="422"/>
      <c r="J396" s="433">
        <f t="shared" si="45"/>
        <v>0</v>
      </c>
      <c r="K396" s="630" t="str">
        <f t="shared" si="46"/>
        <v>TL</v>
      </c>
      <c r="M396" s="436">
        <f t="shared" si="47"/>
        <v>420</v>
      </c>
      <c r="N396" s="435">
        <f t="shared" si="48"/>
        <v>0</v>
      </c>
    </row>
    <row r="397" spans="1:14" s="224" customFormat="1" ht="21" customHeight="1" x14ac:dyDescent="0.2">
      <c r="A397" s="417">
        <f t="shared" si="50"/>
        <v>32</v>
      </c>
      <c r="B397" s="423"/>
      <c r="C397" s="424"/>
      <c r="D397" s="423"/>
      <c r="E397" s="425"/>
      <c r="F397" s="426"/>
      <c r="G397" s="422"/>
      <c r="H397" s="422"/>
      <c r="I397" s="422"/>
      <c r="J397" s="433">
        <f t="shared" si="45"/>
        <v>0</v>
      </c>
      <c r="K397" s="630" t="str">
        <f t="shared" si="46"/>
        <v>TL</v>
      </c>
      <c r="M397" s="436">
        <f t="shared" si="47"/>
        <v>420</v>
      </c>
      <c r="N397" s="435">
        <f t="shared" si="48"/>
        <v>0</v>
      </c>
    </row>
    <row r="398" spans="1:14" s="224" customFormat="1" ht="21" customHeight="1" x14ac:dyDescent="0.2">
      <c r="A398" s="417">
        <f t="shared" si="50"/>
        <v>33</v>
      </c>
      <c r="B398" s="423"/>
      <c r="C398" s="424"/>
      <c r="D398" s="423"/>
      <c r="E398" s="425"/>
      <c r="F398" s="426"/>
      <c r="G398" s="422"/>
      <c r="H398" s="422"/>
      <c r="I398" s="422"/>
      <c r="J398" s="433">
        <f t="shared" si="45"/>
        <v>0</v>
      </c>
      <c r="K398" s="630" t="str">
        <f t="shared" si="46"/>
        <v>TL</v>
      </c>
      <c r="M398" s="436">
        <f t="shared" si="47"/>
        <v>420</v>
      </c>
      <c r="N398" s="435">
        <f t="shared" si="48"/>
        <v>0</v>
      </c>
    </row>
    <row r="399" spans="1:14" s="224" customFormat="1" ht="21" customHeight="1" x14ac:dyDescent="0.2">
      <c r="A399" s="417">
        <f t="shared" si="50"/>
        <v>34</v>
      </c>
      <c r="B399" s="423"/>
      <c r="C399" s="424"/>
      <c r="D399" s="423"/>
      <c r="E399" s="425"/>
      <c r="F399" s="426"/>
      <c r="G399" s="422"/>
      <c r="H399" s="422"/>
      <c r="I399" s="422"/>
      <c r="J399" s="433">
        <f t="shared" si="45"/>
        <v>0</v>
      </c>
      <c r="K399" s="630" t="str">
        <f t="shared" si="46"/>
        <v>TL</v>
      </c>
      <c r="M399" s="436">
        <f t="shared" si="47"/>
        <v>420</v>
      </c>
      <c r="N399" s="435">
        <f t="shared" si="48"/>
        <v>0</v>
      </c>
    </row>
    <row r="400" spans="1:14" s="224" customFormat="1" ht="21" customHeight="1" x14ac:dyDescent="0.2">
      <c r="A400" s="417">
        <f t="shared" si="50"/>
        <v>35</v>
      </c>
      <c r="B400" s="423"/>
      <c r="C400" s="424"/>
      <c r="D400" s="423"/>
      <c r="E400" s="425"/>
      <c r="F400" s="426"/>
      <c r="G400" s="422"/>
      <c r="H400" s="422"/>
      <c r="I400" s="422"/>
      <c r="J400" s="433">
        <f t="shared" si="45"/>
        <v>0</v>
      </c>
      <c r="K400" s="630" t="str">
        <f t="shared" si="46"/>
        <v>TL</v>
      </c>
      <c r="M400" s="436">
        <f t="shared" si="47"/>
        <v>420</v>
      </c>
      <c r="N400" s="435">
        <f t="shared" si="48"/>
        <v>0</v>
      </c>
    </row>
    <row r="401" spans="1:14" s="224" customFormat="1" ht="21" customHeight="1" x14ac:dyDescent="0.2">
      <c r="A401" s="417">
        <f t="shared" si="50"/>
        <v>36</v>
      </c>
      <c r="B401" s="423"/>
      <c r="C401" s="424"/>
      <c r="D401" s="423"/>
      <c r="E401" s="425"/>
      <c r="F401" s="426"/>
      <c r="G401" s="422"/>
      <c r="H401" s="422"/>
      <c r="I401" s="422"/>
      <c r="J401" s="433">
        <f t="shared" si="45"/>
        <v>0</v>
      </c>
      <c r="K401" s="630" t="str">
        <f t="shared" si="46"/>
        <v>TL</v>
      </c>
      <c r="M401" s="436">
        <f t="shared" si="47"/>
        <v>420</v>
      </c>
      <c r="N401" s="435">
        <f t="shared" si="48"/>
        <v>0</v>
      </c>
    </row>
    <row r="402" spans="1:14" s="224" customFormat="1" ht="21" customHeight="1" x14ac:dyDescent="0.2">
      <c r="A402" s="417">
        <f t="shared" si="50"/>
        <v>37</v>
      </c>
      <c r="B402" s="423"/>
      <c r="C402" s="424"/>
      <c r="D402" s="423"/>
      <c r="E402" s="425"/>
      <c r="F402" s="426"/>
      <c r="G402" s="422"/>
      <c r="H402" s="422"/>
      <c r="I402" s="422"/>
      <c r="J402" s="433">
        <f t="shared" si="45"/>
        <v>0</v>
      </c>
      <c r="K402" s="630" t="str">
        <f t="shared" si="46"/>
        <v>TL</v>
      </c>
      <c r="M402" s="436">
        <f t="shared" si="47"/>
        <v>420</v>
      </c>
      <c r="N402" s="435">
        <f t="shared" si="48"/>
        <v>0</v>
      </c>
    </row>
    <row r="403" spans="1:14" s="224" customFormat="1" ht="21" customHeight="1" x14ac:dyDescent="0.2">
      <c r="A403" s="417">
        <f t="shared" si="50"/>
        <v>38</v>
      </c>
      <c r="B403" s="423"/>
      <c r="C403" s="424"/>
      <c r="D403" s="423"/>
      <c r="E403" s="425"/>
      <c r="F403" s="426"/>
      <c r="G403" s="422"/>
      <c r="H403" s="422"/>
      <c r="I403" s="422"/>
      <c r="J403" s="433">
        <f t="shared" si="45"/>
        <v>0</v>
      </c>
      <c r="K403" s="630" t="str">
        <f t="shared" si="46"/>
        <v>TL</v>
      </c>
      <c r="M403" s="436">
        <f t="shared" si="47"/>
        <v>420</v>
      </c>
      <c r="N403" s="435">
        <f t="shared" si="48"/>
        <v>0</v>
      </c>
    </row>
    <row r="404" spans="1:14" s="224" customFormat="1" ht="21" customHeight="1" x14ac:dyDescent="0.2">
      <c r="A404" s="417">
        <f t="shared" si="50"/>
        <v>39</v>
      </c>
      <c r="B404" s="423"/>
      <c r="C404" s="424"/>
      <c r="D404" s="423"/>
      <c r="E404" s="425"/>
      <c r="F404" s="426"/>
      <c r="G404" s="422"/>
      <c r="H404" s="422"/>
      <c r="I404" s="422"/>
      <c r="J404" s="433">
        <f t="shared" si="45"/>
        <v>0</v>
      </c>
      <c r="K404" s="630" t="str">
        <f t="shared" si="46"/>
        <v>TL</v>
      </c>
      <c r="M404" s="436">
        <f t="shared" si="47"/>
        <v>420</v>
      </c>
      <c r="N404" s="435">
        <f t="shared" si="48"/>
        <v>0</v>
      </c>
    </row>
    <row r="405" spans="1:14" s="224" customFormat="1" ht="21" customHeight="1" x14ac:dyDescent="0.2">
      <c r="A405" s="417">
        <f t="shared" si="50"/>
        <v>40</v>
      </c>
      <c r="B405" s="423"/>
      <c r="C405" s="424"/>
      <c r="D405" s="423"/>
      <c r="E405" s="425"/>
      <c r="F405" s="426"/>
      <c r="G405" s="422"/>
      <c r="H405" s="422"/>
      <c r="I405" s="422"/>
      <c r="J405" s="433">
        <f t="shared" si="45"/>
        <v>0</v>
      </c>
      <c r="K405" s="630" t="str">
        <f t="shared" si="46"/>
        <v>TL</v>
      </c>
      <c r="M405" s="436">
        <f t="shared" si="47"/>
        <v>420</v>
      </c>
      <c r="N405" s="435">
        <f t="shared" si="48"/>
        <v>0</v>
      </c>
    </row>
    <row r="406" spans="1:14" ht="15" x14ac:dyDescent="0.2">
      <c r="C406" s="71"/>
      <c r="G406" s="427"/>
      <c r="H406" s="427"/>
      <c r="I406" s="427"/>
      <c r="J406" s="428"/>
      <c r="K406" s="429"/>
    </row>
    <row r="407" spans="1:14" x14ac:dyDescent="0.2">
      <c r="A407" s="238" t="s">
        <v>279</v>
      </c>
      <c r="C407" s="135"/>
      <c r="E407" s="1" t="s">
        <v>280</v>
      </c>
      <c r="F407" s="1"/>
      <c r="I407" s="238" t="s">
        <v>281</v>
      </c>
    </row>
    <row r="408" spans="1:14" ht="19.5" customHeight="1" x14ac:dyDescent="0.2">
      <c r="A408" s="528" t="s">
        <v>286</v>
      </c>
      <c r="B408" s="528"/>
      <c r="C408" s="528"/>
      <c r="D408" s="528"/>
      <c r="E408" s="1"/>
      <c r="F408" s="1"/>
      <c r="I408" s="135"/>
    </row>
    <row r="409" spans="1:14" ht="17.25" customHeight="1" x14ac:dyDescent="0.2">
      <c r="A409" s="622" t="s">
        <v>287</v>
      </c>
      <c r="B409" s="622"/>
      <c r="C409" s="622"/>
      <c r="D409" s="622"/>
      <c r="E409" s="1"/>
      <c r="F409" s="1"/>
    </row>
    <row r="410" spans="1:14" ht="19.5" customHeight="1" x14ac:dyDescent="0.2">
      <c r="A410" s="622" t="s">
        <v>288</v>
      </c>
      <c r="B410" s="622"/>
      <c r="C410" s="622"/>
      <c r="D410" s="622"/>
      <c r="E410" s="238" t="s">
        <v>282</v>
      </c>
      <c r="F410" s="1"/>
      <c r="I410" s="135" t="s">
        <v>289</v>
      </c>
    </row>
    <row r="411" spans="1:14" ht="15.75" customHeight="1" x14ac:dyDescent="0.2">
      <c r="C411" s="71"/>
      <c r="E411" s="17" t="s">
        <v>283</v>
      </c>
      <c r="F411" s="1"/>
      <c r="I411" s="17" t="s">
        <v>283</v>
      </c>
    </row>
    <row r="412" spans="1:14" ht="15.75" customHeight="1" x14ac:dyDescent="0.2">
      <c r="C412" s="71"/>
      <c r="E412" s="17" t="s">
        <v>284</v>
      </c>
      <c r="F412" s="1"/>
      <c r="I412" s="17" t="s">
        <v>284</v>
      </c>
    </row>
    <row r="413" spans="1:14" ht="15" x14ac:dyDescent="0.25">
      <c r="A413" s="88" t="s">
        <v>298</v>
      </c>
      <c r="B413" s="88"/>
      <c r="C413" s="88"/>
      <c r="D413" s="88"/>
      <c r="E413" s="88"/>
      <c r="F413" s="88"/>
      <c r="G413" s="88"/>
      <c r="H413" s="88"/>
      <c r="I413" s="88"/>
      <c r="J413" s="88"/>
      <c r="K413" s="89"/>
    </row>
    <row r="414" spans="1:14" ht="6" customHeight="1" x14ac:dyDescent="0.2">
      <c r="C414" s="71"/>
      <c r="G414" s="1"/>
    </row>
    <row r="415" spans="1:14" s="1" customFormat="1" ht="30" customHeight="1" x14ac:dyDescent="0.2">
      <c r="A415" s="623" t="s">
        <v>268</v>
      </c>
      <c r="B415" s="623" t="s">
        <v>269</v>
      </c>
      <c r="C415" s="623" t="s">
        <v>270</v>
      </c>
      <c r="D415" s="623" t="s">
        <v>271</v>
      </c>
      <c r="E415" s="623" t="s">
        <v>181</v>
      </c>
      <c r="F415" s="625" t="s">
        <v>272</v>
      </c>
      <c r="G415" s="627" t="s">
        <v>297</v>
      </c>
      <c r="H415" s="628"/>
      <c r="I415" s="415" t="s">
        <v>274</v>
      </c>
      <c r="J415" s="623" t="s">
        <v>275</v>
      </c>
      <c r="K415" s="623" t="s">
        <v>285</v>
      </c>
      <c r="M415" s="629" t="s">
        <v>299</v>
      </c>
      <c r="N415" s="621" t="s">
        <v>300</v>
      </c>
    </row>
    <row r="416" spans="1:14" s="1" customFormat="1" ht="28.5" customHeight="1" x14ac:dyDescent="0.2">
      <c r="A416" s="624"/>
      <c r="B416" s="624"/>
      <c r="C416" s="624"/>
      <c r="D416" s="624"/>
      <c r="E416" s="624"/>
      <c r="F416" s="626"/>
      <c r="G416" s="416" t="s">
        <v>276</v>
      </c>
      <c r="H416" s="416" t="s">
        <v>277</v>
      </c>
      <c r="I416" s="416" t="s">
        <v>278</v>
      </c>
      <c r="J416" s="624"/>
      <c r="K416" s="624"/>
      <c r="M416" s="629"/>
      <c r="N416" s="621"/>
    </row>
    <row r="417" spans="1:14" s="224" customFormat="1" ht="21" customHeight="1" x14ac:dyDescent="0.2">
      <c r="A417" s="417">
        <v>1</v>
      </c>
      <c r="B417" s="418"/>
      <c r="C417" s="419"/>
      <c r="D417" s="418"/>
      <c r="E417" s="420"/>
      <c r="F417" s="421"/>
      <c r="G417" s="432">
        <v>70</v>
      </c>
      <c r="H417" s="432">
        <v>70</v>
      </c>
      <c r="I417" s="432">
        <v>280</v>
      </c>
      <c r="J417" s="433">
        <f>SUM(G417:I417)</f>
        <v>420</v>
      </c>
      <c r="K417" s="630" t="str">
        <f>IF(J417&gt;=M417,"L","TL")</f>
        <v>L</v>
      </c>
      <c r="M417" s="436">
        <f>600*70%</f>
        <v>420</v>
      </c>
      <c r="N417" s="435">
        <f>J417/600*100%</f>
        <v>0.7</v>
      </c>
    </row>
    <row r="418" spans="1:14" s="224" customFormat="1" ht="21" customHeight="1" x14ac:dyDescent="0.2">
      <c r="A418" s="417">
        <f>A417+1</f>
        <v>2</v>
      </c>
      <c r="B418" s="418"/>
      <c r="C418" s="419"/>
      <c r="D418" s="418"/>
      <c r="E418" s="420"/>
      <c r="F418" s="421"/>
      <c r="G418" s="422"/>
      <c r="H418" s="422"/>
      <c r="I418" s="422"/>
      <c r="J418" s="433">
        <f t="shared" ref="J418:J456" si="51">SUM(G418:I418)</f>
        <v>0</v>
      </c>
      <c r="K418" s="630" t="str">
        <f t="shared" ref="K418:K456" si="52">IF(J418&gt;=M418,"L","TL")</f>
        <v>TL</v>
      </c>
      <c r="M418" s="436">
        <f t="shared" ref="M418:M456" si="53">600*70%</f>
        <v>420</v>
      </c>
      <c r="N418" s="435">
        <f t="shared" ref="N418:N456" si="54">J418/600*100%</f>
        <v>0</v>
      </c>
    </row>
    <row r="419" spans="1:14" s="224" customFormat="1" ht="21" customHeight="1" x14ac:dyDescent="0.2">
      <c r="A419" s="417">
        <f t="shared" ref="A419:A434" si="55">A418+1</f>
        <v>3</v>
      </c>
      <c r="B419" s="423"/>
      <c r="C419" s="424"/>
      <c r="D419" s="423"/>
      <c r="E419" s="425"/>
      <c r="F419" s="426"/>
      <c r="G419" s="422"/>
      <c r="H419" s="422"/>
      <c r="I419" s="422"/>
      <c r="J419" s="433">
        <f t="shared" si="51"/>
        <v>0</v>
      </c>
      <c r="K419" s="630" t="str">
        <f t="shared" si="52"/>
        <v>TL</v>
      </c>
      <c r="M419" s="436">
        <f t="shared" si="53"/>
        <v>420</v>
      </c>
      <c r="N419" s="435">
        <f t="shared" si="54"/>
        <v>0</v>
      </c>
    </row>
    <row r="420" spans="1:14" s="224" customFormat="1" ht="21" customHeight="1" x14ac:dyDescent="0.2">
      <c r="A420" s="417">
        <f t="shared" si="55"/>
        <v>4</v>
      </c>
      <c r="B420" s="423"/>
      <c r="C420" s="424"/>
      <c r="D420" s="423"/>
      <c r="E420" s="425"/>
      <c r="F420" s="426"/>
      <c r="G420" s="422"/>
      <c r="H420" s="422"/>
      <c r="I420" s="422"/>
      <c r="J420" s="433">
        <f t="shared" si="51"/>
        <v>0</v>
      </c>
      <c r="K420" s="630" t="str">
        <f t="shared" si="52"/>
        <v>TL</v>
      </c>
      <c r="M420" s="436">
        <f t="shared" si="53"/>
        <v>420</v>
      </c>
      <c r="N420" s="435">
        <f t="shared" si="54"/>
        <v>0</v>
      </c>
    </row>
    <row r="421" spans="1:14" s="224" customFormat="1" ht="21" customHeight="1" x14ac:dyDescent="0.2">
      <c r="A421" s="417">
        <f t="shared" si="55"/>
        <v>5</v>
      </c>
      <c r="B421" s="423"/>
      <c r="C421" s="424"/>
      <c r="D421" s="423"/>
      <c r="E421" s="425"/>
      <c r="F421" s="426"/>
      <c r="G421" s="422"/>
      <c r="H421" s="422"/>
      <c r="I421" s="422"/>
      <c r="J421" s="433">
        <f t="shared" si="51"/>
        <v>0</v>
      </c>
      <c r="K421" s="630" t="str">
        <f t="shared" si="52"/>
        <v>TL</v>
      </c>
      <c r="M421" s="436">
        <f t="shared" si="53"/>
        <v>420</v>
      </c>
      <c r="N421" s="435">
        <f t="shared" si="54"/>
        <v>0</v>
      </c>
    </row>
    <row r="422" spans="1:14" s="224" customFormat="1" ht="21" customHeight="1" x14ac:dyDescent="0.2">
      <c r="A422" s="417">
        <f t="shared" si="55"/>
        <v>6</v>
      </c>
      <c r="B422" s="423"/>
      <c r="C422" s="424"/>
      <c r="D422" s="423"/>
      <c r="E422" s="425"/>
      <c r="F422" s="426"/>
      <c r="G422" s="422"/>
      <c r="H422" s="422"/>
      <c r="I422" s="422"/>
      <c r="J422" s="433">
        <f t="shared" si="51"/>
        <v>0</v>
      </c>
      <c r="K422" s="630" t="str">
        <f t="shared" si="52"/>
        <v>TL</v>
      </c>
      <c r="M422" s="436">
        <f t="shared" si="53"/>
        <v>420</v>
      </c>
      <c r="N422" s="435">
        <f t="shared" si="54"/>
        <v>0</v>
      </c>
    </row>
    <row r="423" spans="1:14" s="224" customFormat="1" ht="21" customHeight="1" x14ac:dyDescent="0.2">
      <c r="A423" s="417">
        <f t="shared" si="55"/>
        <v>7</v>
      </c>
      <c r="B423" s="423"/>
      <c r="C423" s="424"/>
      <c r="D423" s="423"/>
      <c r="E423" s="425"/>
      <c r="F423" s="426"/>
      <c r="G423" s="422"/>
      <c r="H423" s="422"/>
      <c r="I423" s="422"/>
      <c r="J423" s="433">
        <f t="shared" si="51"/>
        <v>0</v>
      </c>
      <c r="K423" s="630" t="str">
        <f t="shared" si="52"/>
        <v>TL</v>
      </c>
      <c r="M423" s="436">
        <f t="shared" si="53"/>
        <v>420</v>
      </c>
      <c r="N423" s="435">
        <f t="shared" si="54"/>
        <v>0</v>
      </c>
    </row>
    <row r="424" spans="1:14" s="224" customFormat="1" ht="21" customHeight="1" x14ac:dyDescent="0.2">
      <c r="A424" s="417">
        <f t="shared" si="55"/>
        <v>8</v>
      </c>
      <c r="B424" s="423"/>
      <c r="C424" s="424"/>
      <c r="D424" s="423"/>
      <c r="E424" s="425"/>
      <c r="F424" s="426"/>
      <c r="G424" s="422"/>
      <c r="H424" s="422"/>
      <c r="I424" s="422"/>
      <c r="J424" s="433">
        <f t="shared" si="51"/>
        <v>0</v>
      </c>
      <c r="K424" s="630" t="str">
        <f t="shared" si="52"/>
        <v>TL</v>
      </c>
      <c r="M424" s="436">
        <f t="shared" si="53"/>
        <v>420</v>
      </c>
      <c r="N424" s="435">
        <f t="shared" si="54"/>
        <v>0</v>
      </c>
    </row>
    <row r="425" spans="1:14" s="224" customFormat="1" ht="21" customHeight="1" x14ac:dyDescent="0.2">
      <c r="A425" s="417">
        <f t="shared" si="55"/>
        <v>9</v>
      </c>
      <c r="B425" s="423"/>
      <c r="C425" s="424"/>
      <c r="D425" s="423"/>
      <c r="E425" s="425"/>
      <c r="F425" s="426"/>
      <c r="G425" s="422"/>
      <c r="H425" s="422"/>
      <c r="I425" s="422"/>
      <c r="J425" s="433">
        <f t="shared" si="51"/>
        <v>0</v>
      </c>
      <c r="K425" s="630" t="str">
        <f t="shared" si="52"/>
        <v>TL</v>
      </c>
      <c r="M425" s="436">
        <f t="shared" si="53"/>
        <v>420</v>
      </c>
      <c r="N425" s="435">
        <f t="shared" si="54"/>
        <v>0</v>
      </c>
    </row>
    <row r="426" spans="1:14" s="224" customFormat="1" ht="21" customHeight="1" x14ac:dyDescent="0.2">
      <c r="A426" s="417">
        <f t="shared" si="55"/>
        <v>10</v>
      </c>
      <c r="B426" s="423"/>
      <c r="C426" s="424"/>
      <c r="D426" s="423"/>
      <c r="E426" s="425"/>
      <c r="F426" s="426"/>
      <c r="G426" s="422"/>
      <c r="H426" s="422"/>
      <c r="I426" s="422"/>
      <c r="J426" s="433">
        <f t="shared" si="51"/>
        <v>0</v>
      </c>
      <c r="K426" s="630" t="str">
        <f t="shared" si="52"/>
        <v>TL</v>
      </c>
      <c r="M426" s="436">
        <f t="shared" si="53"/>
        <v>420</v>
      </c>
      <c r="N426" s="435">
        <f t="shared" si="54"/>
        <v>0</v>
      </c>
    </row>
    <row r="427" spans="1:14" s="224" customFormat="1" ht="21" customHeight="1" x14ac:dyDescent="0.2">
      <c r="A427" s="417">
        <f t="shared" si="55"/>
        <v>11</v>
      </c>
      <c r="B427" s="423"/>
      <c r="C427" s="424"/>
      <c r="D427" s="423"/>
      <c r="E427" s="425"/>
      <c r="F427" s="426"/>
      <c r="G427" s="422"/>
      <c r="H427" s="422"/>
      <c r="I427" s="422"/>
      <c r="J427" s="433">
        <f t="shared" si="51"/>
        <v>0</v>
      </c>
      <c r="K427" s="630" t="str">
        <f t="shared" si="52"/>
        <v>TL</v>
      </c>
      <c r="M427" s="436">
        <f t="shared" si="53"/>
        <v>420</v>
      </c>
      <c r="N427" s="435">
        <f t="shared" si="54"/>
        <v>0</v>
      </c>
    </row>
    <row r="428" spans="1:14" s="224" customFormat="1" ht="21" customHeight="1" x14ac:dyDescent="0.2">
      <c r="A428" s="417">
        <f t="shared" si="55"/>
        <v>12</v>
      </c>
      <c r="B428" s="423"/>
      <c r="C428" s="424"/>
      <c r="D428" s="423"/>
      <c r="E428" s="425"/>
      <c r="F428" s="426"/>
      <c r="G428" s="422"/>
      <c r="H428" s="422"/>
      <c r="I428" s="422"/>
      <c r="J428" s="433">
        <f t="shared" si="51"/>
        <v>0</v>
      </c>
      <c r="K428" s="630" t="str">
        <f t="shared" si="52"/>
        <v>TL</v>
      </c>
      <c r="M428" s="436">
        <f t="shared" si="53"/>
        <v>420</v>
      </c>
      <c r="N428" s="435">
        <f t="shared" si="54"/>
        <v>0</v>
      </c>
    </row>
    <row r="429" spans="1:14" s="224" customFormat="1" ht="21" customHeight="1" x14ac:dyDescent="0.2">
      <c r="A429" s="417">
        <f t="shared" si="55"/>
        <v>13</v>
      </c>
      <c r="B429" s="423"/>
      <c r="C429" s="424"/>
      <c r="D429" s="423"/>
      <c r="E429" s="425"/>
      <c r="F429" s="426"/>
      <c r="G429" s="422"/>
      <c r="H429" s="422"/>
      <c r="I429" s="422"/>
      <c r="J429" s="433">
        <f t="shared" si="51"/>
        <v>0</v>
      </c>
      <c r="K429" s="630" t="str">
        <f t="shared" si="52"/>
        <v>TL</v>
      </c>
      <c r="M429" s="436">
        <f t="shared" si="53"/>
        <v>420</v>
      </c>
      <c r="N429" s="435">
        <f t="shared" si="54"/>
        <v>0</v>
      </c>
    </row>
    <row r="430" spans="1:14" s="224" customFormat="1" ht="21" customHeight="1" x14ac:dyDescent="0.2">
      <c r="A430" s="417">
        <f t="shared" si="55"/>
        <v>14</v>
      </c>
      <c r="B430" s="423"/>
      <c r="C430" s="424"/>
      <c r="D430" s="423"/>
      <c r="E430" s="425"/>
      <c r="F430" s="426"/>
      <c r="G430" s="422"/>
      <c r="H430" s="422"/>
      <c r="I430" s="422"/>
      <c r="J430" s="433">
        <f t="shared" si="51"/>
        <v>0</v>
      </c>
      <c r="K430" s="630" t="str">
        <f t="shared" si="52"/>
        <v>TL</v>
      </c>
      <c r="M430" s="436">
        <f t="shared" si="53"/>
        <v>420</v>
      </c>
      <c r="N430" s="435">
        <f t="shared" si="54"/>
        <v>0</v>
      </c>
    </row>
    <row r="431" spans="1:14" s="224" customFormat="1" ht="21" customHeight="1" x14ac:dyDescent="0.2">
      <c r="A431" s="417">
        <f t="shared" si="55"/>
        <v>15</v>
      </c>
      <c r="B431" s="423"/>
      <c r="C431" s="424"/>
      <c r="D431" s="423"/>
      <c r="E431" s="425"/>
      <c r="F431" s="426"/>
      <c r="G431" s="422"/>
      <c r="H431" s="422"/>
      <c r="I431" s="422"/>
      <c r="J431" s="433">
        <f t="shared" si="51"/>
        <v>0</v>
      </c>
      <c r="K431" s="630" t="str">
        <f t="shared" si="52"/>
        <v>TL</v>
      </c>
      <c r="M431" s="436">
        <f t="shared" si="53"/>
        <v>420</v>
      </c>
      <c r="N431" s="435">
        <f t="shared" si="54"/>
        <v>0</v>
      </c>
    </row>
    <row r="432" spans="1:14" s="224" customFormat="1" ht="21" customHeight="1" x14ac:dyDescent="0.2">
      <c r="A432" s="417">
        <f t="shared" si="55"/>
        <v>16</v>
      </c>
      <c r="B432" s="423"/>
      <c r="C432" s="424"/>
      <c r="D432" s="423"/>
      <c r="E432" s="425"/>
      <c r="F432" s="426"/>
      <c r="G432" s="422"/>
      <c r="H432" s="422"/>
      <c r="I432" s="422"/>
      <c r="J432" s="433">
        <f t="shared" si="51"/>
        <v>0</v>
      </c>
      <c r="K432" s="630" t="str">
        <f t="shared" si="52"/>
        <v>TL</v>
      </c>
      <c r="M432" s="436">
        <f t="shared" si="53"/>
        <v>420</v>
      </c>
      <c r="N432" s="435">
        <f t="shared" si="54"/>
        <v>0</v>
      </c>
    </row>
    <row r="433" spans="1:14" s="224" customFormat="1" ht="21" customHeight="1" x14ac:dyDescent="0.2">
      <c r="A433" s="417">
        <f t="shared" si="55"/>
        <v>17</v>
      </c>
      <c r="B433" s="423"/>
      <c r="C433" s="424"/>
      <c r="D433" s="423"/>
      <c r="E433" s="425"/>
      <c r="F433" s="426"/>
      <c r="G433" s="422"/>
      <c r="H433" s="422"/>
      <c r="I433" s="422"/>
      <c r="J433" s="433">
        <f t="shared" si="51"/>
        <v>0</v>
      </c>
      <c r="K433" s="630" t="str">
        <f t="shared" si="52"/>
        <v>TL</v>
      </c>
      <c r="M433" s="436">
        <f t="shared" si="53"/>
        <v>420</v>
      </c>
      <c r="N433" s="435">
        <f t="shared" si="54"/>
        <v>0</v>
      </c>
    </row>
    <row r="434" spans="1:14" s="224" customFormat="1" ht="21" customHeight="1" x14ac:dyDescent="0.2">
      <c r="A434" s="417">
        <f t="shared" si="55"/>
        <v>18</v>
      </c>
      <c r="B434" s="423"/>
      <c r="C434" s="424"/>
      <c r="D434" s="423"/>
      <c r="E434" s="425"/>
      <c r="F434" s="426"/>
      <c r="G434" s="422"/>
      <c r="H434" s="422"/>
      <c r="I434" s="422"/>
      <c r="J434" s="433">
        <f t="shared" si="51"/>
        <v>0</v>
      </c>
      <c r="K434" s="630" t="str">
        <f t="shared" si="52"/>
        <v>TL</v>
      </c>
      <c r="M434" s="436">
        <f t="shared" si="53"/>
        <v>420</v>
      </c>
      <c r="N434" s="435">
        <f t="shared" si="54"/>
        <v>0</v>
      </c>
    </row>
    <row r="435" spans="1:14" s="224" customFormat="1" ht="21" customHeight="1" x14ac:dyDescent="0.2">
      <c r="A435" s="417">
        <f>A434+1</f>
        <v>19</v>
      </c>
      <c r="B435" s="423"/>
      <c r="C435" s="424"/>
      <c r="D435" s="423"/>
      <c r="E435" s="425"/>
      <c r="F435" s="426"/>
      <c r="G435" s="422"/>
      <c r="H435" s="422"/>
      <c r="I435" s="422"/>
      <c r="J435" s="433">
        <f t="shared" si="51"/>
        <v>0</v>
      </c>
      <c r="K435" s="630" t="str">
        <f t="shared" si="52"/>
        <v>TL</v>
      </c>
      <c r="M435" s="436">
        <f t="shared" si="53"/>
        <v>420</v>
      </c>
      <c r="N435" s="435">
        <f t="shared" si="54"/>
        <v>0</v>
      </c>
    </row>
    <row r="436" spans="1:14" s="224" customFormat="1" ht="21" customHeight="1" x14ac:dyDescent="0.2">
      <c r="A436" s="417">
        <f t="shared" ref="A436:A456" si="56">A435+1</f>
        <v>20</v>
      </c>
      <c r="B436" s="423"/>
      <c r="C436" s="424"/>
      <c r="D436" s="423"/>
      <c r="E436" s="425"/>
      <c r="F436" s="426"/>
      <c r="G436" s="422"/>
      <c r="H436" s="422"/>
      <c r="I436" s="422"/>
      <c r="J436" s="433">
        <f t="shared" si="51"/>
        <v>0</v>
      </c>
      <c r="K436" s="630" t="str">
        <f t="shared" si="52"/>
        <v>TL</v>
      </c>
      <c r="M436" s="436">
        <f t="shared" si="53"/>
        <v>420</v>
      </c>
      <c r="N436" s="435">
        <f t="shared" si="54"/>
        <v>0</v>
      </c>
    </row>
    <row r="437" spans="1:14" s="224" customFormat="1" ht="21" customHeight="1" x14ac:dyDescent="0.2">
      <c r="A437" s="417">
        <f t="shared" si="56"/>
        <v>21</v>
      </c>
      <c r="B437" s="423"/>
      <c r="C437" s="424"/>
      <c r="D437" s="423"/>
      <c r="E437" s="425"/>
      <c r="F437" s="426"/>
      <c r="G437" s="422"/>
      <c r="H437" s="422"/>
      <c r="I437" s="422"/>
      <c r="J437" s="433">
        <f t="shared" si="51"/>
        <v>0</v>
      </c>
      <c r="K437" s="630" t="str">
        <f t="shared" si="52"/>
        <v>TL</v>
      </c>
      <c r="M437" s="436">
        <f t="shared" si="53"/>
        <v>420</v>
      </c>
      <c r="N437" s="435">
        <f t="shared" si="54"/>
        <v>0</v>
      </c>
    </row>
    <row r="438" spans="1:14" s="224" customFormat="1" ht="21" customHeight="1" x14ac:dyDescent="0.2">
      <c r="A438" s="417">
        <f t="shared" si="56"/>
        <v>22</v>
      </c>
      <c r="B438" s="423"/>
      <c r="C438" s="424"/>
      <c r="D438" s="423"/>
      <c r="E438" s="425"/>
      <c r="F438" s="426"/>
      <c r="G438" s="422"/>
      <c r="H438" s="422"/>
      <c r="I438" s="422"/>
      <c r="J438" s="433">
        <f t="shared" si="51"/>
        <v>0</v>
      </c>
      <c r="K438" s="630" t="str">
        <f t="shared" si="52"/>
        <v>TL</v>
      </c>
      <c r="M438" s="436">
        <f t="shared" si="53"/>
        <v>420</v>
      </c>
      <c r="N438" s="435">
        <f t="shared" si="54"/>
        <v>0</v>
      </c>
    </row>
    <row r="439" spans="1:14" s="224" customFormat="1" ht="21" customHeight="1" x14ac:dyDescent="0.2">
      <c r="A439" s="417">
        <f t="shared" si="56"/>
        <v>23</v>
      </c>
      <c r="B439" s="423"/>
      <c r="C439" s="424"/>
      <c r="D439" s="423"/>
      <c r="E439" s="425"/>
      <c r="F439" s="426"/>
      <c r="G439" s="422"/>
      <c r="H439" s="422"/>
      <c r="I439" s="422"/>
      <c r="J439" s="433">
        <f t="shared" si="51"/>
        <v>0</v>
      </c>
      <c r="K439" s="630" t="str">
        <f t="shared" si="52"/>
        <v>TL</v>
      </c>
      <c r="M439" s="436">
        <f t="shared" si="53"/>
        <v>420</v>
      </c>
      <c r="N439" s="435">
        <f t="shared" si="54"/>
        <v>0</v>
      </c>
    </row>
    <row r="440" spans="1:14" s="224" customFormat="1" ht="21" customHeight="1" x14ac:dyDescent="0.2">
      <c r="A440" s="417">
        <f t="shared" si="56"/>
        <v>24</v>
      </c>
      <c r="B440" s="423"/>
      <c r="C440" s="424"/>
      <c r="D440" s="423"/>
      <c r="E440" s="425"/>
      <c r="F440" s="426"/>
      <c r="G440" s="422"/>
      <c r="H440" s="422"/>
      <c r="I440" s="422"/>
      <c r="J440" s="433">
        <f t="shared" si="51"/>
        <v>0</v>
      </c>
      <c r="K440" s="630" t="str">
        <f t="shared" si="52"/>
        <v>TL</v>
      </c>
      <c r="M440" s="436">
        <f t="shared" si="53"/>
        <v>420</v>
      </c>
      <c r="N440" s="435">
        <f t="shared" si="54"/>
        <v>0</v>
      </c>
    </row>
    <row r="441" spans="1:14" s="224" customFormat="1" ht="21" customHeight="1" x14ac:dyDescent="0.2">
      <c r="A441" s="417">
        <f t="shared" si="56"/>
        <v>25</v>
      </c>
      <c r="B441" s="423"/>
      <c r="C441" s="424"/>
      <c r="D441" s="423"/>
      <c r="E441" s="425"/>
      <c r="F441" s="426"/>
      <c r="G441" s="422"/>
      <c r="H441" s="422"/>
      <c r="I441" s="422"/>
      <c r="J441" s="433">
        <f t="shared" si="51"/>
        <v>0</v>
      </c>
      <c r="K441" s="630" t="str">
        <f t="shared" si="52"/>
        <v>TL</v>
      </c>
      <c r="M441" s="436">
        <f t="shared" si="53"/>
        <v>420</v>
      </c>
      <c r="N441" s="435">
        <f t="shared" si="54"/>
        <v>0</v>
      </c>
    </row>
    <row r="442" spans="1:14" s="224" customFormat="1" ht="21" customHeight="1" x14ac:dyDescent="0.2">
      <c r="A442" s="417">
        <f t="shared" si="56"/>
        <v>26</v>
      </c>
      <c r="B442" s="423"/>
      <c r="C442" s="424"/>
      <c r="D442" s="423"/>
      <c r="E442" s="425"/>
      <c r="F442" s="426"/>
      <c r="G442" s="422"/>
      <c r="H442" s="422"/>
      <c r="I442" s="422"/>
      <c r="J442" s="433">
        <f t="shared" si="51"/>
        <v>0</v>
      </c>
      <c r="K442" s="630" t="str">
        <f t="shared" si="52"/>
        <v>TL</v>
      </c>
      <c r="M442" s="436">
        <f t="shared" si="53"/>
        <v>420</v>
      </c>
      <c r="N442" s="435">
        <f t="shared" si="54"/>
        <v>0</v>
      </c>
    </row>
    <row r="443" spans="1:14" s="224" customFormat="1" ht="21" customHeight="1" x14ac:dyDescent="0.2">
      <c r="A443" s="417">
        <f t="shared" si="56"/>
        <v>27</v>
      </c>
      <c r="B443" s="423"/>
      <c r="C443" s="424"/>
      <c r="D443" s="423"/>
      <c r="E443" s="425"/>
      <c r="F443" s="426"/>
      <c r="G443" s="422"/>
      <c r="H443" s="422"/>
      <c r="I443" s="422"/>
      <c r="J443" s="433">
        <f t="shared" si="51"/>
        <v>0</v>
      </c>
      <c r="K443" s="630" t="str">
        <f t="shared" si="52"/>
        <v>TL</v>
      </c>
      <c r="M443" s="436">
        <f t="shared" si="53"/>
        <v>420</v>
      </c>
      <c r="N443" s="435">
        <f t="shared" si="54"/>
        <v>0</v>
      </c>
    </row>
    <row r="444" spans="1:14" s="224" customFormat="1" ht="21" customHeight="1" x14ac:dyDescent="0.2">
      <c r="A444" s="417">
        <f t="shared" si="56"/>
        <v>28</v>
      </c>
      <c r="B444" s="423"/>
      <c r="C444" s="424"/>
      <c r="D444" s="423"/>
      <c r="E444" s="425"/>
      <c r="F444" s="426"/>
      <c r="G444" s="422"/>
      <c r="H444" s="422"/>
      <c r="I444" s="422"/>
      <c r="J444" s="433">
        <f t="shared" si="51"/>
        <v>0</v>
      </c>
      <c r="K444" s="630" t="str">
        <f t="shared" si="52"/>
        <v>TL</v>
      </c>
      <c r="M444" s="436">
        <f t="shared" si="53"/>
        <v>420</v>
      </c>
      <c r="N444" s="435">
        <f t="shared" si="54"/>
        <v>0</v>
      </c>
    </row>
    <row r="445" spans="1:14" s="224" customFormat="1" ht="21" customHeight="1" x14ac:dyDescent="0.2">
      <c r="A445" s="417">
        <f t="shared" si="56"/>
        <v>29</v>
      </c>
      <c r="B445" s="423"/>
      <c r="C445" s="424"/>
      <c r="D445" s="423"/>
      <c r="E445" s="425"/>
      <c r="F445" s="426"/>
      <c r="G445" s="422"/>
      <c r="H445" s="422"/>
      <c r="I445" s="422"/>
      <c r="J445" s="433">
        <f t="shared" si="51"/>
        <v>0</v>
      </c>
      <c r="K445" s="630" t="str">
        <f t="shared" si="52"/>
        <v>TL</v>
      </c>
      <c r="M445" s="436">
        <f t="shared" si="53"/>
        <v>420</v>
      </c>
      <c r="N445" s="435">
        <f t="shared" si="54"/>
        <v>0</v>
      </c>
    </row>
    <row r="446" spans="1:14" s="224" customFormat="1" ht="21" customHeight="1" x14ac:dyDescent="0.2">
      <c r="A446" s="417">
        <f t="shared" si="56"/>
        <v>30</v>
      </c>
      <c r="B446" s="423"/>
      <c r="C446" s="424"/>
      <c r="D446" s="423"/>
      <c r="E446" s="425"/>
      <c r="F446" s="426"/>
      <c r="G446" s="422"/>
      <c r="H446" s="422"/>
      <c r="I446" s="422"/>
      <c r="J446" s="433">
        <f t="shared" si="51"/>
        <v>0</v>
      </c>
      <c r="K446" s="630" t="str">
        <f t="shared" si="52"/>
        <v>TL</v>
      </c>
      <c r="M446" s="436">
        <f t="shared" si="53"/>
        <v>420</v>
      </c>
      <c r="N446" s="435">
        <f t="shared" si="54"/>
        <v>0</v>
      </c>
    </row>
    <row r="447" spans="1:14" s="224" customFormat="1" ht="21" customHeight="1" x14ac:dyDescent="0.2">
      <c r="A447" s="417">
        <f t="shared" si="56"/>
        <v>31</v>
      </c>
      <c r="B447" s="423"/>
      <c r="C447" s="424"/>
      <c r="D447" s="423"/>
      <c r="E447" s="425"/>
      <c r="F447" s="426"/>
      <c r="G447" s="422"/>
      <c r="H447" s="422"/>
      <c r="I447" s="422"/>
      <c r="J447" s="433">
        <f t="shared" si="51"/>
        <v>0</v>
      </c>
      <c r="K447" s="630" t="str">
        <f t="shared" si="52"/>
        <v>TL</v>
      </c>
      <c r="M447" s="436">
        <f t="shared" si="53"/>
        <v>420</v>
      </c>
      <c r="N447" s="435">
        <f t="shared" si="54"/>
        <v>0</v>
      </c>
    </row>
    <row r="448" spans="1:14" s="224" customFormat="1" ht="21" customHeight="1" x14ac:dyDescent="0.2">
      <c r="A448" s="417">
        <f t="shared" si="56"/>
        <v>32</v>
      </c>
      <c r="B448" s="423"/>
      <c r="C448" s="424"/>
      <c r="D448" s="423"/>
      <c r="E448" s="425"/>
      <c r="F448" s="426"/>
      <c r="G448" s="422"/>
      <c r="H448" s="422"/>
      <c r="I448" s="422"/>
      <c r="J448" s="433">
        <f t="shared" si="51"/>
        <v>0</v>
      </c>
      <c r="K448" s="630" t="str">
        <f t="shared" si="52"/>
        <v>TL</v>
      </c>
      <c r="M448" s="436">
        <f t="shared" si="53"/>
        <v>420</v>
      </c>
      <c r="N448" s="435">
        <f t="shared" si="54"/>
        <v>0</v>
      </c>
    </row>
    <row r="449" spans="1:14" s="224" customFormat="1" ht="21" customHeight="1" x14ac:dyDescent="0.2">
      <c r="A449" s="417">
        <f t="shared" si="56"/>
        <v>33</v>
      </c>
      <c r="B449" s="423"/>
      <c r="C449" s="424"/>
      <c r="D449" s="423"/>
      <c r="E449" s="425"/>
      <c r="F449" s="426"/>
      <c r="G449" s="422"/>
      <c r="H449" s="422"/>
      <c r="I449" s="422"/>
      <c r="J449" s="433">
        <f t="shared" si="51"/>
        <v>0</v>
      </c>
      <c r="K449" s="630" t="str">
        <f t="shared" si="52"/>
        <v>TL</v>
      </c>
      <c r="M449" s="436">
        <f t="shared" si="53"/>
        <v>420</v>
      </c>
      <c r="N449" s="435">
        <f t="shared" si="54"/>
        <v>0</v>
      </c>
    </row>
    <row r="450" spans="1:14" s="224" customFormat="1" ht="21" customHeight="1" x14ac:dyDescent="0.2">
      <c r="A450" s="417">
        <f t="shared" si="56"/>
        <v>34</v>
      </c>
      <c r="B450" s="423"/>
      <c r="C450" s="424"/>
      <c r="D450" s="423"/>
      <c r="E450" s="425"/>
      <c r="F450" s="426"/>
      <c r="G450" s="422"/>
      <c r="H450" s="422"/>
      <c r="I450" s="422"/>
      <c r="J450" s="433">
        <f t="shared" si="51"/>
        <v>0</v>
      </c>
      <c r="K450" s="630" t="str">
        <f t="shared" si="52"/>
        <v>TL</v>
      </c>
      <c r="M450" s="436">
        <f t="shared" si="53"/>
        <v>420</v>
      </c>
      <c r="N450" s="435">
        <f t="shared" si="54"/>
        <v>0</v>
      </c>
    </row>
    <row r="451" spans="1:14" s="224" customFormat="1" ht="21" customHeight="1" x14ac:dyDescent="0.2">
      <c r="A451" s="417">
        <f t="shared" si="56"/>
        <v>35</v>
      </c>
      <c r="B451" s="423"/>
      <c r="C451" s="424"/>
      <c r="D451" s="423"/>
      <c r="E451" s="425"/>
      <c r="F451" s="426"/>
      <c r="G451" s="422"/>
      <c r="H451" s="422"/>
      <c r="I451" s="422"/>
      <c r="J451" s="433">
        <f t="shared" si="51"/>
        <v>0</v>
      </c>
      <c r="K451" s="630" t="str">
        <f t="shared" si="52"/>
        <v>TL</v>
      </c>
      <c r="M451" s="436">
        <f t="shared" si="53"/>
        <v>420</v>
      </c>
      <c r="N451" s="435">
        <f t="shared" si="54"/>
        <v>0</v>
      </c>
    </row>
    <row r="452" spans="1:14" s="224" customFormat="1" ht="21" customHeight="1" x14ac:dyDescent="0.2">
      <c r="A452" s="417">
        <f t="shared" si="56"/>
        <v>36</v>
      </c>
      <c r="B452" s="423"/>
      <c r="C452" s="424"/>
      <c r="D452" s="423"/>
      <c r="E452" s="425"/>
      <c r="F452" s="426"/>
      <c r="G452" s="422"/>
      <c r="H452" s="422"/>
      <c r="I452" s="422"/>
      <c r="J452" s="433">
        <f t="shared" si="51"/>
        <v>0</v>
      </c>
      <c r="K452" s="630" t="str">
        <f t="shared" si="52"/>
        <v>TL</v>
      </c>
      <c r="M452" s="436">
        <f t="shared" si="53"/>
        <v>420</v>
      </c>
      <c r="N452" s="435">
        <f t="shared" si="54"/>
        <v>0</v>
      </c>
    </row>
    <row r="453" spans="1:14" s="224" customFormat="1" ht="21" customHeight="1" x14ac:dyDescent="0.2">
      <c r="A453" s="417">
        <f t="shared" si="56"/>
        <v>37</v>
      </c>
      <c r="B453" s="423"/>
      <c r="C453" s="424"/>
      <c r="D453" s="423"/>
      <c r="E453" s="425"/>
      <c r="F453" s="426"/>
      <c r="G453" s="422"/>
      <c r="H453" s="422"/>
      <c r="I453" s="422"/>
      <c r="J453" s="433">
        <f t="shared" si="51"/>
        <v>0</v>
      </c>
      <c r="K453" s="630" t="str">
        <f t="shared" si="52"/>
        <v>TL</v>
      </c>
      <c r="M453" s="436">
        <f t="shared" si="53"/>
        <v>420</v>
      </c>
      <c r="N453" s="435">
        <f t="shared" si="54"/>
        <v>0</v>
      </c>
    </row>
    <row r="454" spans="1:14" s="224" customFormat="1" ht="21" customHeight="1" x14ac:dyDescent="0.2">
      <c r="A454" s="417">
        <f t="shared" si="56"/>
        <v>38</v>
      </c>
      <c r="B454" s="423"/>
      <c r="C454" s="424"/>
      <c r="D454" s="423"/>
      <c r="E454" s="425"/>
      <c r="F454" s="426"/>
      <c r="G454" s="422"/>
      <c r="H454" s="422"/>
      <c r="I454" s="422"/>
      <c r="J454" s="433">
        <f t="shared" si="51"/>
        <v>0</v>
      </c>
      <c r="K454" s="630" t="str">
        <f t="shared" si="52"/>
        <v>TL</v>
      </c>
      <c r="M454" s="436">
        <f t="shared" si="53"/>
        <v>420</v>
      </c>
      <c r="N454" s="435">
        <f t="shared" si="54"/>
        <v>0</v>
      </c>
    </row>
    <row r="455" spans="1:14" s="224" customFormat="1" ht="21" customHeight="1" x14ac:dyDescent="0.2">
      <c r="A455" s="417">
        <f t="shared" si="56"/>
        <v>39</v>
      </c>
      <c r="B455" s="423"/>
      <c r="C455" s="424"/>
      <c r="D455" s="423"/>
      <c r="E455" s="425"/>
      <c r="F455" s="426"/>
      <c r="G455" s="422"/>
      <c r="H455" s="422"/>
      <c r="I455" s="422"/>
      <c r="J455" s="433">
        <f t="shared" si="51"/>
        <v>0</v>
      </c>
      <c r="K455" s="630" t="str">
        <f t="shared" si="52"/>
        <v>TL</v>
      </c>
      <c r="M455" s="436">
        <f t="shared" si="53"/>
        <v>420</v>
      </c>
      <c r="N455" s="435">
        <f t="shared" si="54"/>
        <v>0</v>
      </c>
    </row>
    <row r="456" spans="1:14" s="224" customFormat="1" ht="21" customHeight="1" x14ac:dyDescent="0.2">
      <c r="A456" s="417">
        <f t="shared" si="56"/>
        <v>40</v>
      </c>
      <c r="B456" s="423"/>
      <c r="C456" s="424"/>
      <c r="D456" s="423"/>
      <c r="E456" s="425"/>
      <c r="F456" s="426"/>
      <c r="G456" s="422"/>
      <c r="H456" s="422"/>
      <c r="I456" s="422"/>
      <c r="J456" s="433">
        <f t="shared" si="51"/>
        <v>0</v>
      </c>
      <c r="K456" s="630" t="str">
        <f t="shared" si="52"/>
        <v>TL</v>
      </c>
      <c r="M456" s="436">
        <f t="shared" si="53"/>
        <v>420</v>
      </c>
      <c r="N456" s="435">
        <f t="shared" si="54"/>
        <v>0</v>
      </c>
    </row>
    <row r="457" spans="1:14" ht="15" x14ac:dyDescent="0.2">
      <c r="C457" s="71"/>
      <c r="G457" s="427"/>
      <c r="H457" s="427"/>
      <c r="I457" s="427"/>
      <c r="J457" s="428"/>
      <c r="K457" s="429"/>
    </row>
    <row r="458" spans="1:14" x14ac:dyDescent="0.2">
      <c r="A458" s="238" t="s">
        <v>279</v>
      </c>
      <c r="C458" s="135"/>
      <c r="E458" s="1" t="s">
        <v>280</v>
      </c>
      <c r="F458" s="1"/>
      <c r="I458" s="238" t="s">
        <v>281</v>
      </c>
    </row>
    <row r="459" spans="1:14" ht="19.5" customHeight="1" x14ac:dyDescent="0.2">
      <c r="A459" s="528" t="s">
        <v>286</v>
      </c>
      <c r="B459" s="528"/>
      <c r="C459" s="528"/>
      <c r="D459" s="528"/>
      <c r="E459" s="1"/>
      <c r="F459" s="1"/>
      <c r="I459" s="135"/>
    </row>
    <row r="460" spans="1:14" ht="17.25" customHeight="1" x14ac:dyDescent="0.2">
      <c r="A460" s="622" t="s">
        <v>287</v>
      </c>
      <c r="B460" s="622"/>
      <c r="C460" s="622"/>
      <c r="D460" s="622"/>
      <c r="E460" s="1"/>
      <c r="F460" s="1"/>
    </row>
    <row r="461" spans="1:14" ht="19.5" customHeight="1" x14ac:dyDescent="0.2">
      <c r="A461" s="622" t="s">
        <v>288</v>
      </c>
      <c r="B461" s="622"/>
      <c r="C461" s="622"/>
      <c r="D461" s="622"/>
      <c r="E461" s="238" t="s">
        <v>282</v>
      </c>
      <c r="F461" s="1"/>
      <c r="I461" s="135" t="s">
        <v>289</v>
      </c>
    </row>
    <row r="462" spans="1:14" ht="15.75" customHeight="1" x14ac:dyDescent="0.2">
      <c r="C462" s="71"/>
      <c r="E462" s="17" t="s">
        <v>283</v>
      </c>
      <c r="F462" s="1"/>
      <c r="I462" s="17" t="s">
        <v>283</v>
      </c>
    </row>
    <row r="463" spans="1:14" ht="15.75" customHeight="1" x14ac:dyDescent="0.2">
      <c r="C463" s="71"/>
      <c r="E463" s="17" t="s">
        <v>284</v>
      </c>
      <c r="F463" s="1"/>
      <c r="I463" s="17" t="s">
        <v>284</v>
      </c>
    </row>
  </sheetData>
  <mergeCells count="128">
    <mergeCell ref="A2:K2"/>
    <mergeCell ref="A3:K3"/>
    <mergeCell ref="A7:A8"/>
    <mergeCell ref="B7:B8"/>
    <mergeCell ref="C7:C8"/>
    <mergeCell ref="D7:D8"/>
    <mergeCell ref="E7:E8"/>
    <mergeCell ref="F7:F8"/>
    <mergeCell ref="G7:H7"/>
    <mergeCell ref="J7:J8"/>
    <mergeCell ref="F58:F59"/>
    <mergeCell ref="G58:H58"/>
    <mergeCell ref="J58:J59"/>
    <mergeCell ref="K58:K59"/>
    <mergeCell ref="M58:M59"/>
    <mergeCell ref="A102:D102"/>
    <mergeCell ref="K7:K8"/>
    <mergeCell ref="A51:D51"/>
    <mergeCell ref="A52:D52"/>
    <mergeCell ref="A53:D53"/>
    <mergeCell ref="M7:M8"/>
    <mergeCell ref="A58:A59"/>
    <mergeCell ref="B58:B59"/>
    <mergeCell ref="C58:C59"/>
    <mergeCell ref="D58:D59"/>
    <mergeCell ref="E58:E59"/>
    <mergeCell ref="E109:E110"/>
    <mergeCell ref="F109:F110"/>
    <mergeCell ref="G109:H109"/>
    <mergeCell ref="J109:J110"/>
    <mergeCell ref="K109:K110"/>
    <mergeCell ref="M109:M110"/>
    <mergeCell ref="A103:D103"/>
    <mergeCell ref="A104:D104"/>
    <mergeCell ref="A109:A110"/>
    <mergeCell ref="B109:B110"/>
    <mergeCell ref="C109:C110"/>
    <mergeCell ref="D109:D110"/>
    <mergeCell ref="E160:E161"/>
    <mergeCell ref="F160:F161"/>
    <mergeCell ref="G160:H160"/>
    <mergeCell ref="J160:J161"/>
    <mergeCell ref="K160:K161"/>
    <mergeCell ref="M160:M161"/>
    <mergeCell ref="A153:D153"/>
    <mergeCell ref="A154:D154"/>
    <mergeCell ref="A155:D155"/>
    <mergeCell ref="A160:A161"/>
    <mergeCell ref="B160:B161"/>
    <mergeCell ref="C160:C161"/>
    <mergeCell ref="D160:D161"/>
    <mergeCell ref="E211:E212"/>
    <mergeCell ref="F211:F212"/>
    <mergeCell ref="G211:H211"/>
    <mergeCell ref="J211:J212"/>
    <mergeCell ref="K211:K212"/>
    <mergeCell ref="M211:M212"/>
    <mergeCell ref="A204:D204"/>
    <mergeCell ref="A205:D205"/>
    <mergeCell ref="A206:D206"/>
    <mergeCell ref="A211:A212"/>
    <mergeCell ref="B211:B212"/>
    <mergeCell ref="C211:C212"/>
    <mergeCell ref="D211:D212"/>
    <mergeCell ref="E262:E263"/>
    <mergeCell ref="F262:F263"/>
    <mergeCell ref="G262:H262"/>
    <mergeCell ref="J262:J263"/>
    <mergeCell ref="K262:K263"/>
    <mergeCell ref="M262:M263"/>
    <mergeCell ref="A255:D255"/>
    <mergeCell ref="A256:D256"/>
    <mergeCell ref="A257:D257"/>
    <mergeCell ref="A262:A263"/>
    <mergeCell ref="B262:B263"/>
    <mergeCell ref="C262:C263"/>
    <mergeCell ref="D262:D263"/>
    <mergeCell ref="E313:E314"/>
    <mergeCell ref="F313:F314"/>
    <mergeCell ref="G313:H313"/>
    <mergeCell ref="J313:J314"/>
    <mergeCell ref="K313:K314"/>
    <mergeCell ref="M313:M314"/>
    <mergeCell ref="A306:D306"/>
    <mergeCell ref="A307:D307"/>
    <mergeCell ref="A308:D308"/>
    <mergeCell ref="A313:A314"/>
    <mergeCell ref="B313:B314"/>
    <mergeCell ref="C313:C314"/>
    <mergeCell ref="D313:D314"/>
    <mergeCell ref="D415:D416"/>
    <mergeCell ref="E364:E365"/>
    <mergeCell ref="F364:F365"/>
    <mergeCell ref="G364:H364"/>
    <mergeCell ref="J364:J365"/>
    <mergeCell ref="K364:K365"/>
    <mergeCell ref="M364:M365"/>
    <mergeCell ref="A357:D357"/>
    <mergeCell ref="A358:D358"/>
    <mergeCell ref="A359:D359"/>
    <mergeCell ref="A364:A365"/>
    <mergeCell ref="B364:B365"/>
    <mergeCell ref="C364:C365"/>
    <mergeCell ref="D364:D365"/>
    <mergeCell ref="N262:N263"/>
    <mergeCell ref="N211:N212"/>
    <mergeCell ref="N160:N161"/>
    <mergeCell ref="N109:N110"/>
    <mergeCell ref="N58:N59"/>
    <mergeCell ref="N7:N8"/>
    <mergeCell ref="A459:D459"/>
    <mergeCell ref="A460:D460"/>
    <mergeCell ref="A461:D461"/>
    <mergeCell ref="N364:N365"/>
    <mergeCell ref="N415:N416"/>
    <mergeCell ref="N313:N314"/>
    <mergeCell ref="E415:E416"/>
    <mergeCell ref="F415:F416"/>
    <mergeCell ref="G415:H415"/>
    <mergeCell ref="J415:J416"/>
    <mergeCell ref="K415:K416"/>
    <mergeCell ref="M415:M416"/>
    <mergeCell ref="A408:D408"/>
    <mergeCell ref="A409:D409"/>
    <mergeCell ref="A410:D410"/>
    <mergeCell ref="A415:A416"/>
    <mergeCell ref="B415:B416"/>
    <mergeCell ref="C415:C416"/>
  </mergeCells>
  <phoneticPr fontId="5" type="noConversion"/>
  <pageMargins left="0.49" right="0.33" top="0.26" bottom="0.24" header="0.3" footer="0.3"/>
  <pageSetup paperSize="9" scale="65" orientation="portrait" horizontalDpi="0" verticalDpi="0" r:id="rId1"/>
  <rowBreaks count="8" manualBreakCount="8">
    <brk id="55" max="10" man="1"/>
    <brk id="106" max="10" man="1"/>
    <brk id="157" max="10" man="1"/>
    <brk id="208" max="10" man="1"/>
    <brk id="259" max="10" man="1"/>
    <brk id="310" max="10" man="1"/>
    <brk id="361" max="10" man="1"/>
    <brk id="412" max="10" man="1"/>
  </rowBreaks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8 KYU</vt:lpstr>
      <vt:lpstr>7 KYU</vt:lpstr>
      <vt:lpstr>6 KYU</vt:lpstr>
      <vt:lpstr>5 KYU</vt:lpstr>
      <vt:lpstr>4 KYU</vt:lpstr>
      <vt:lpstr>3 KYU</vt:lpstr>
      <vt:lpstr>3 KYU (Hal 2)</vt:lpstr>
      <vt:lpstr>2 KYU</vt:lpstr>
      <vt:lpstr>2 KYU (Hal 2)</vt:lpstr>
      <vt:lpstr>1 KYU</vt:lpstr>
      <vt:lpstr>1 KYU (Hal 2)</vt:lpstr>
      <vt:lpstr>1 DAN</vt:lpstr>
      <vt:lpstr>1 DAN (Hal 2)</vt:lpstr>
      <vt:lpstr>F-27 Rekap</vt:lpstr>
      <vt:lpstr>'1 DAN'!Print_Area</vt:lpstr>
      <vt:lpstr>'1 DAN (Hal 2)'!Print_Area</vt:lpstr>
      <vt:lpstr>'1 KYU'!Print_Area</vt:lpstr>
      <vt:lpstr>'1 KYU (Hal 2)'!Print_Area</vt:lpstr>
      <vt:lpstr>'2 KYU'!Print_Area</vt:lpstr>
      <vt:lpstr>'2 KYU (Hal 2)'!Print_Area</vt:lpstr>
      <vt:lpstr>'3 KYU'!Print_Area</vt:lpstr>
      <vt:lpstr>'3 KYU (Hal 2)'!Print_Area</vt:lpstr>
      <vt:lpstr>'4 KYU'!Print_Area</vt:lpstr>
      <vt:lpstr>'5 KYU'!Print_Area</vt:lpstr>
      <vt:lpstr>'6 KYU'!Print_Area</vt:lpstr>
      <vt:lpstr>'7 KYU'!Print_Area</vt:lpstr>
      <vt:lpstr>'8 KYU'!Print_Area</vt:lpstr>
      <vt:lpstr>'F-27 Rekap'!Print_Area</vt:lpstr>
      <vt:lpstr>'1 DAN'!Print_Titles</vt:lpstr>
      <vt:lpstr>'1 DAN (Hal 2)'!Print_Titles</vt:lpstr>
      <vt:lpstr>'1 KYU'!Print_Titles</vt:lpstr>
      <vt:lpstr>'1 KYU (Hal 2)'!Print_Titles</vt:lpstr>
      <vt:lpstr>'2 KYU'!Print_Titles</vt:lpstr>
      <vt:lpstr>'2 KYU (Hal 2)'!Print_Titles</vt:lpstr>
      <vt:lpstr>'3 KYU'!Print_Titles</vt:lpstr>
      <vt:lpstr>'3 KYU (Hal 2)'!Print_Titles</vt:lpstr>
      <vt:lpstr>'4 KYU'!Print_Titles</vt:lpstr>
      <vt:lpstr>'5 KYU'!Print_Titles</vt:lpstr>
      <vt:lpstr>'6 KYU'!Print_Titles</vt:lpstr>
      <vt:lpstr>'7 KYU'!Print_Titles</vt:lpstr>
      <vt:lpstr>'8 KYU'!Print_Titles</vt:lpstr>
      <vt:lpstr>'F-27 Rekap'!Print_Titles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M Taufik Saleh</cp:lastModifiedBy>
  <cp:lastPrinted>2025-05-10T17:19:12Z</cp:lastPrinted>
  <dcterms:created xsi:type="dcterms:W3CDTF">2000-12-31T20:31:14Z</dcterms:created>
  <dcterms:modified xsi:type="dcterms:W3CDTF">2025-05-10T17:41:40Z</dcterms:modified>
</cp:coreProperties>
</file>